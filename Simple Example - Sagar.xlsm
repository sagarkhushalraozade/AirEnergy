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bc/Documents/Electrolux/AirEnergy/"/>
    </mc:Choice>
  </mc:AlternateContent>
  <xr:revisionPtr revIDLastSave="0" documentId="13_ncr:1_{0448341A-97F2-5645-A329-27C4AC479C4D}" xr6:coauthVersionLast="45" xr6:coauthVersionMax="47" xr10:uidLastSave="{00000000-0000-0000-0000-000000000000}"/>
  <bookViews>
    <workbookView xWindow="1360" yWindow="460" windowWidth="24240" windowHeight="15540" xr2:uid="{00000000-000D-0000-FFFF-FFFF00000000}"/>
  </bookViews>
  <sheets>
    <sheet name="System calc" sheetId="10" r:id="rId1"/>
    <sheet name="Compressor polynomial" sheetId="12" r:id="rId2"/>
    <sheet name="Blad1" sheetId="11" r:id="rId3"/>
  </sheets>
  <functionGroups builtInGroupCount="19"/>
  <externalReferences>
    <externalReference r:id="rId4"/>
  </externalReferences>
  <definedNames>
    <definedName name="Geom">[1]SucHex!$B$13:$B$19</definedName>
    <definedName name="solver_adj" localSheetId="1" hidden="1">'Compressor polynomial'!$M$3:$V$3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opt" localSheetId="1" hidden="1">'Compressor polynomial'!$N$33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10" l="1"/>
  <c r="H37" i="10"/>
  <c r="F37" i="10"/>
  <c r="G37" i="10" s="1"/>
  <c r="F36" i="10"/>
  <c r="G36" i="10" s="1"/>
  <c r="F39" i="10"/>
  <c r="E43" i="10"/>
  <c r="E45" i="10"/>
  <c r="E52" i="12"/>
  <c r="E51" i="12"/>
  <c r="E53" i="12" s="1"/>
  <c r="C53" i="12"/>
  <c r="G31" i="10" a="1"/>
  <c r="G52" i="12" a="1"/>
  <c r="G51" i="12" a="1"/>
  <c r="G31" i="10" l="1"/>
  <c r="G51" i="12"/>
  <c r="G52" i="12"/>
  <c r="H40" i="12"/>
  <c r="H41" i="12"/>
  <c r="H42" i="12"/>
  <c r="H43" i="12"/>
  <c r="H44" i="12"/>
  <c r="H45" i="12"/>
  <c r="H46" i="12"/>
  <c r="H47" i="12"/>
  <c r="H48" i="12"/>
  <c r="H39" i="12"/>
  <c r="G40" i="12"/>
  <c r="G41" i="12"/>
  <c r="G42" i="12"/>
  <c r="G43" i="12"/>
  <c r="G44" i="12"/>
  <c r="G45" i="12"/>
  <c r="G46" i="12"/>
  <c r="G47" i="12"/>
  <c r="G48" i="12"/>
  <c r="G39" i="12"/>
  <c r="D9" i="10"/>
  <c r="C55" i="12" a="1"/>
  <c r="C56" i="12" a="1"/>
  <c r="C55" i="12" l="1"/>
  <c r="E57" i="12" s="1"/>
  <c r="C56" i="12"/>
  <c r="M8" i="12"/>
  <c r="M9" i="12"/>
  <c r="M10" i="12"/>
  <c r="M11" i="12"/>
  <c r="M12" i="12"/>
  <c r="M7" i="12"/>
  <c r="B17" i="12"/>
  <c r="B18" i="12"/>
  <c r="B19" i="12"/>
  <c r="B20" i="12"/>
  <c r="B21" i="12"/>
  <c r="B16" i="12"/>
  <c r="C16" i="12" s="1"/>
  <c r="C25" i="12" s="1"/>
  <c r="T6" i="12"/>
  <c r="I15" i="12"/>
  <c r="T15" i="12" s="1"/>
  <c r="H6" i="12"/>
  <c r="G6" i="12" s="1"/>
  <c r="F6" i="12" s="1"/>
  <c r="E6" i="12" s="1"/>
  <c r="D6" i="12" s="1"/>
  <c r="C6" i="12" s="1"/>
  <c r="C15" i="12" s="1"/>
  <c r="N15" i="12" l="1"/>
  <c r="C24" i="12"/>
  <c r="N24" i="12" s="1"/>
  <c r="C20" i="12"/>
  <c r="C29" i="12" s="1"/>
  <c r="E15" i="12"/>
  <c r="E17" i="12" s="1"/>
  <c r="E26" i="12" s="1"/>
  <c r="S6" i="12"/>
  <c r="O6" i="12"/>
  <c r="M19" i="12"/>
  <c r="I24" i="12"/>
  <c r="T24" i="12" s="1"/>
  <c r="B28" i="12"/>
  <c r="M28" i="12" s="1"/>
  <c r="I16" i="12"/>
  <c r="I25" i="12" s="1"/>
  <c r="C21" i="12"/>
  <c r="C30" i="12" s="1"/>
  <c r="I19" i="12"/>
  <c r="I28" i="12" s="1"/>
  <c r="C17" i="12"/>
  <c r="C26" i="12" s="1"/>
  <c r="H15" i="12"/>
  <c r="H20" i="12" s="1"/>
  <c r="H29" i="12" s="1"/>
  <c r="D15" i="12"/>
  <c r="R6" i="12"/>
  <c r="M16" i="12"/>
  <c r="M20" i="12"/>
  <c r="B25" i="12"/>
  <c r="M25" i="12" s="1"/>
  <c r="B29" i="12"/>
  <c r="M29" i="12" s="1"/>
  <c r="D16" i="12"/>
  <c r="D25" i="12" s="1"/>
  <c r="I20" i="12"/>
  <c r="I29" i="12" s="1"/>
  <c r="D19" i="12"/>
  <c r="D28" i="12" s="1"/>
  <c r="C18" i="12"/>
  <c r="C27" i="12" s="1"/>
  <c r="G15" i="12"/>
  <c r="G17" i="12" s="1"/>
  <c r="G26" i="12" s="1"/>
  <c r="N6" i="12"/>
  <c r="Q6" i="12"/>
  <c r="M17" i="12"/>
  <c r="M21" i="12"/>
  <c r="B26" i="12"/>
  <c r="M26" i="12" s="1"/>
  <c r="B30" i="12"/>
  <c r="M30" i="12" s="1"/>
  <c r="I21" i="12"/>
  <c r="I30" i="12" s="1"/>
  <c r="E21" i="12"/>
  <c r="E30" i="12" s="1"/>
  <c r="D20" i="12"/>
  <c r="D29" i="12" s="1"/>
  <c r="G19" i="12"/>
  <c r="G28" i="12" s="1"/>
  <c r="C19" i="12"/>
  <c r="C28" i="12" s="1"/>
  <c r="I17" i="12"/>
  <c r="I26" i="12" s="1"/>
  <c r="F15" i="12"/>
  <c r="F18" i="12" s="1"/>
  <c r="F27" i="12" s="1"/>
  <c r="P6" i="12"/>
  <c r="M18" i="12"/>
  <c r="B27" i="12"/>
  <c r="M27" i="12" s="1"/>
  <c r="F16" i="12"/>
  <c r="F25" i="12" s="1"/>
  <c r="I18" i="12"/>
  <c r="I27" i="12" s="1"/>
  <c r="H17" i="12"/>
  <c r="H26" i="12" s="1"/>
  <c r="E41" i="10"/>
  <c r="E42" i="10"/>
  <c r="E31" i="10"/>
  <c r="H19" i="12" l="1"/>
  <c r="H28" i="12" s="1"/>
  <c r="E16" i="12"/>
  <c r="E25" i="12" s="1"/>
  <c r="G16" i="12"/>
  <c r="G25" i="12" s="1"/>
  <c r="E20" i="12"/>
  <c r="E29" i="12" s="1"/>
  <c r="E19" i="12"/>
  <c r="E28" i="12" s="1"/>
  <c r="H16" i="12"/>
  <c r="H25" i="12" s="1"/>
  <c r="G20" i="12"/>
  <c r="G29" i="12" s="1"/>
  <c r="H21" i="12"/>
  <c r="H30" i="12" s="1"/>
  <c r="G18" i="12"/>
  <c r="G27" i="12" s="1"/>
  <c r="T16" i="12"/>
  <c r="T25" i="12" s="1"/>
  <c r="N16" i="12"/>
  <c r="N25" i="12" s="1"/>
  <c r="G21" i="12"/>
  <c r="G30" i="12" s="1"/>
  <c r="P15" i="12"/>
  <c r="P16" i="12" s="1"/>
  <c r="P25" i="12" s="1"/>
  <c r="E24" i="12"/>
  <c r="P24" i="12" s="1"/>
  <c r="E18" i="12"/>
  <c r="E27" i="12" s="1"/>
  <c r="Q15" i="12"/>
  <c r="Q16" i="12" s="1"/>
  <c r="Q25" i="12" s="1"/>
  <c r="F24" i="12"/>
  <c r="Q24" i="12" s="1"/>
  <c r="T19" i="12"/>
  <c r="T28" i="12" s="1"/>
  <c r="N19" i="12"/>
  <c r="N28" i="12" s="1"/>
  <c r="F19" i="12"/>
  <c r="F28" i="12" s="1"/>
  <c r="N21" i="12"/>
  <c r="N30" i="12" s="1"/>
  <c r="P21" i="12"/>
  <c r="P30" i="12" s="1"/>
  <c r="T21" i="12"/>
  <c r="T30" i="12" s="1"/>
  <c r="R15" i="12"/>
  <c r="R16" i="12" s="1"/>
  <c r="R25" i="12" s="1"/>
  <c r="G24" i="12"/>
  <c r="R24" i="12" s="1"/>
  <c r="F21" i="12"/>
  <c r="F30" i="12" s="1"/>
  <c r="D24" i="12"/>
  <c r="O24" i="12" s="1"/>
  <c r="O15" i="12"/>
  <c r="O16" i="12" s="1"/>
  <c r="O25" i="12" s="1"/>
  <c r="D18" i="12"/>
  <c r="D27" i="12" s="1"/>
  <c r="F20" i="12"/>
  <c r="F29" i="12" s="1"/>
  <c r="D17" i="12"/>
  <c r="D26" i="12" s="1"/>
  <c r="N18" i="12"/>
  <c r="N27" i="12" s="1"/>
  <c r="P18" i="12"/>
  <c r="P27" i="12" s="1"/>
  <c r="T18" i="12"/>
  <c r="T27" i="12" s="1"/>
  <c r="Q17" i="12"/>
  <c r="Q26" i="12" s="1"/>
  <c r="N17" i="12"/>
  <c r="N26" i="12" s="1"/>
  <c r="R17" i="12"/>
  <c r="R26" i="12" s="1"/>
  <c r="O17" i="12"/>
  <c r="O26" i="12" s="1"/>
  <c r="P17" i="12"/>
  <c r="P26" i="12" s="1"/>
  <c r="T17" i="12"/>
  <c r="T26" i="12" s="1"/>
  <c r="F17" i="12"/>
  <c r="F26" i="12" s="1"/>
  <c r="P20" i="12"/>
  <c r="P29" i="12" s="1"/>
  <c r="T20" i="12"/>
  <c r="T29" i="12" s="1"/>
  <c r="N20" i="12"/>
  <c r="N29" i="12" s="1"/>
  <c r="R20" i="12"/>
  <c r="R29" i="12" s="1"/>
  <c r="O20" i="12"/>
  <c r="O29" i="12" s="1"/>
  <c r="H24" i="12"/>
  <c r="S24" i="12" s="1"/>
  <c r="S15" i="12"/>
  <c r="S17" i="12" s="1"/>
  <c r="S26" i="12" s="1"/>
  <c r="H18" i="12"/>
  <c r="H27" i="12" s="1"/>
  <c r="D21" i="12"/>
  <c r="D30" i="12" s="1"/>
  <c r="I22" i="10"/>
  <c r="P19" i="12" l="1"/>
  <c r="P28" i="12" s="1"/>
  <c r="O18" i="12"/>
  <c r="O27" i="12" s="1"/>
  <c r="R19" i="12"/>
  <c r="R28" i="12" s="1"/>
  <c r="R18" i="12"/>
  <c r="R27" i="12" s="1"/>
  <c r="R21" i="12"/>
  <c r="R30" i="12" s="1"/>
  <c r="S18" i="12"/>
  <c r="S27" i="12" s="1"/>
  <c r="S19" i="12"/>
  <c r="S28" i="12" s="1"/>
  <c r="C34" i="12"/>
  <c r="C33" i="12"/>
  <c r="Q18" i="12"/>
  <c r="Q27" i="12" s="1"/>
  <c r="S20" i="12"/>
  <c r="S29" i="12" s="1"/>
  <c r="Q20" i="12"/>
  <c r="Q29" i="12" s="1"/>
  <c r="S21" i="12"/>
  <c r="S30" i="12" s="1"/>
  <c r="Q21" i="12"/>
  <c r="Q30" i="12" s="1"/>
  <c r="Q19" i="12"/>
  <c r="Q28" i="12" s="1"/>
  <c r="O19" i="12"/>
  <c r="O28" i="12" s="1"/>
  <c r="S16" i="12"/>
  <c r="S25" i="12" s="1"/>
  <c r="O21" i="12"/>
  <c r="O30" i="12" s="1"/>
  <c r="I13" i="10"/>
  <c r="N34" i="12" l="1"/>
  <c r="N33" i="12"/>
  <c r="K11" i="10"/>
  <c r="I11" i="10" s="1"/>
  <c r="I10" i="10"/>
  <c r="I14" i="10" s="1"/>
  <c r="D4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1" authorId="0" shapeId="0" xr:uid="{897247F8-CA97-4CE5-8D07-09A923EC8B1D}">
      <text>
        <r>
          <rPr>
            <b/>
            <sz val="9"/>
            <color rgb="FF000000"/>
            <rFont val="Tahoma"/>
            <family val="2"/>
          </rPr>
          <t>Rel. logaritmic mean temperatur difference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C16" authorId="0" shapeId="0" xr:uid="{84A59A04-0DDF-4C9D-8B08-2F21A8DFAD06}">
      <text>
        <r>
          <rPr>
            <b/>
            <sz val="9"/>
            <color rgb="FF000000"/>
            <rFont val="Tahoma"/>
            <family val="2"/>
          </rPr>
          <t>Rel. logaritmic mean temperatur difference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<sst xmlns="http://schemas.openxmlformats.org/spreadsheetml/2006/main" count="135" uniqueCount="119">
  <si>
    <t>Data</t>
  </si>
  <si>
    <t>Tests</t>
  </si>
  <si>
    <t>https://electrolux.sharepoint.com/:x:/s/Azul/Ea48FFMUUdlBjcluuSpHhv0B3YxcP2ipm-pI08DG_88U4A?e=uWnrmh&amp;clickparams=eyJBcHBOYW1lIjoiVGVhbXMtRGVza3RvcCIsIkFwcFZlcnNpb24iOiIyNy8yMzAyMDUwMTQwMyIsIkhhc0ZlZGVyYXRlZFVzZXIiOmZhbHNlfQ%3D%3D</t>
  </si>
  <si>
    <t>Compressor</t>
  </si>
  <si>
    <t xml:space="preserve">https://areacooling.com/p/dsm135v11vdz/ </t>
  </si>
  <si>
    <t>Input data</t>
  </si>
  <si>
    <t>Refrigerant</t>
  </si>
  <si>
    <t>Propane</t>
  </si>
  <si>
    <t>T1</t>
  </si>
  <si>
    <t>Fan work</t>
  </si>
  <si>
    <t>Condenser air inlet temperature  [°C]</t>
  </si>
  <si>
    <t>T2</t>
  </si>
  <si>
    <r>
      <t>Condenser air flow  [m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/h]</t>
    </r>
  </si>
  <si>
    <t>Radiation</t>
  </si>
  <si>
    <t>Condenser UA-vlaue [W/K]</t>
  </si>
  <si>
    <t>(between the refrigerant and air)</t>
  </si>
  <si>
    <t>Convection</t>
  </si>
  <si>
    <t>h</t>
  </si>
  <si>
    <t>v (m/s - 2 to 20)</t>
  </si>
  <si>
    <t>Subcooling in condenser [K]</t>
  </si>
  <si>
    <t>COP_carnot</t>
  </si>
  <si>
    <t>Evaporator air inlet temperature  [°C]</t>
  </si>
  <si>
    <t>COP_actual</t>
  </si>
  <si>
    <r>
      <t>Evaporator air flow  [m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/h]</t>
    </r>
  </si>
  <si>
    <t>Evaporator UA-vlaue [W/K]</t>
  </si>
  <si>
    <t>Superheat in evaporator [K]</t>
  </si>
  <si>
    <t>Suction line pressure drop [Pa]</t>
  </si>
  <si>
    <t>Compressor speed [rpm]</t>
  </si>
  <si>
    <r>
      <t>Compressor displacement [cm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/turn]</t>
    </r>
  </si>
  <si>
    <t>Compressor Isentropic efficiency</t>
  </si>
  <si>
    <t>Compressor Volymetric efficiency</t>
  </si>
  <si>
    <t>Compressor electronic drive efficiency</t>
  </si>
  <si>
    <t>Condenser fan power [W]</t>
  </si>
  <si>
    <t>Evaporator fan power [W]</t>
  </si>
  <si>
    <t>Result</t>
  </si>
  <si>
    <t>Cooling capacity [W]</t>
  </si>
  <si>
    <t>Compressor input power [W]</t>
  </si>
  <si>
    <t>Condensing temperature [°C]</t>
  </si>
  <si>
    <t>Evaporating temperature [°C]</t>
  </si>
  <si>
    <t>Condenser air outlet temperature  [°C]</t>
  </si>
  <si>
    <t>Evaporator air outlet temperature  [°C]</t>
  </si>
  <si>
    <t>Evaporator refrigerant inlet quality</t>
  </si>
  <si>
    <t>Refrigerant mass flow  [g/s]</t>
  </si>
  <si>
    <r>
      <t>COP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tot</t>
    </r>
  </si>
  <si>
    <r>
      <t>COP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ref. sys.  only</t>
    </r>
  </si>
  <si>
    <t>R32</t>
  </si>
  <si>
    <t>R1234yf</t>
  </si>
  <si>
    <t>R152a</t>
  </si>
  <si>
    <t>Isobutane</t>
  </si>
  <si>
    <t>https://sourceforge.net/projects/coolprop/files/CoolProp/</t>
  </si>
  <si>
    <t>https://www.youtube.com/watch?v=I4nugwRtcZU</t>
  </si>
  <si>
    <t>Q2_comp</t>
  </si>
  <si>
    <t>E_comp</t>
  </si>
  <si>
    <t>T_evap, T_cond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</si>
  <si>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</si>
  <si>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</si>
  <si>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</si>
  <si>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</si>
  <si>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</si>
  <si>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</si>
  <si>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</si>
  <si>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</si>
  <si>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</si>
  <si>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</si>
  <si>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</si>
  <si>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</si>
  <si>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</si>
  <si>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</si>
  <si>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</si>
  <si>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</si>
  <si>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</si>
  <si>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</si>
  <si>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</si>
  <si>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</si>
  <si>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Exp data</t>
  </si>
  <si>
    <t>Predict</t>
  </si>
  <si>
    <t>Error</t>
  </si>
  <si>
    <t>Sum error Q2_comp</t>
  </si>
  <si>
    <t>Std error Q2_comp</t>
  </si>
  <si>
    <t>From data sheet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</si>
  <si>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</si>
  <si>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</si>
  <si>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</si>
  <si>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</si>
  <si>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</si>
  <si>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</si>
  <si>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</si>
  <si>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</si>
  <si>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</si>
  <si>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</si>
  <si>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m_flow</t>
  </si>
  <si>
    <t>Ambient temperature  [°C]</t>
  </si>
  <si>
    <t>A</t>
  </si>
  <si>
    <t>B</t>
  </si>
  <si>
    <t>Comparing m_flow from Q2/(h_comp_in-h_evap_in) and the polynomial</t>
  </si>
  <si>
    <t>T_evap</t>
  </si>
  <si>
    <t>T_cond</t>
  </si>
  <si>
    <t>Q2</t>
  </si>
  <si>
    <t>h_compin</t>
  </si>
  <si>
    <t>h_evapin</t>
  </si>
  <si>
    <t>m_flow_poly</t>
  </si>
  <si>
    <t>p2</t>
  </si>
  <si>
    <t>p1</t>
  </si>
  <si>
    <t>m_flow_Q/dH</t>
  </si>
  <si>
    <t>kg/hr</t>
  </si>
  <si>
    <t>Compressor Isentropic efficiency [%]</t>
  </si>
  <si>
    <t>Cooling power due to superheat</t>
  </si>
  <si>
    <t>Condensing in superheat</t>
  </si>
  <si>
    <t>Condensing in 2 phase</t>
  </si>
  <si>
    <t>Condensing in subcooling</t>
  </si>
  <si>
    <t>Cooling power in 2 phase</t>
  </si>
  <si>
    <t>Azul values</t>
  </si>
  <si>
    <t>LMTD_cond</t>
  </si>
  <si>
    <t>LMTD_evap</t>
  </si>
  <si>
    <t>UA*LMTD</t>
  </si>
  <si>
    <t>(mcpdT)_air</t>
  </si>
  <si>
    <t>mcp_evap</t>
  </si>
  <si>
    <t>mcp_cond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</si>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</sst>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0"/>
      <name val="Arial"/>
      <family val="2"/>
    </font>
    <font>
      <vertAlign val="subscript"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</font>
    <font>
      <sz val="9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2" fontId="0" fillId="0" borderId="0" xfId="0" applyNumberFormat="1"/>
    <xf numFmtId="1" fontId="0" fillId="0" borderId="0" xfId="0" applyNumberFormat="1"/>
    <xf numFmtId="0" fontId="0" fillId="2" borderId="0" xfId="0" applyFill="1"/>
    <xf numFmtId="2" fontId="0" fillId="0" borderId="0" xfId="0" applyNumberFormat="1" applyAlignment="1">
      <alignment horizontal="center"/>
    </xf>
    <xf numFmtId="0" fontId="0" fillId="3" borderId="0" xfId="0" applyFill="1"/>
    <xf numFmtId="0" fontId="0" fillId="2" borderId="0" xfId="0" applyFill="1" applyAlignment="1">
      <alignment horizontal="center"/>
    </xf>
    <xf numFmtId="1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0" fontId="5" fillId="0" borderId="1" xfId="0" applyFont="1" applyBorder="1"/>
    <xf numFmtId="164" fontId="0" fillId="3" borderId="0" xfId="0" applyNumberFormat="1" applyFill="1"/>
    <xf numFmtId="11" fontId="0" fillId="2" borderId="0" xfId="0" applyNumberFormat="1" applyFill="1" applyAlignment="1">
      <alignment horizontal="center"/>
    </xf>
    <xf numFmtId="0" fontId="6" fillId="0" borderId="0" xfId="3"/>
    <xf numFmtId="165" fontId="0" fillId="0" borderId="0" xfId="0" applyNumberFormat="1" applyAlignment="1">
      <alignment horizontal="center"/>
    </xf>
    <xf numFmtId="0" fontId="3" fillId="0" borderId="0" xfId="0" applyFont="1"/>
    <xf numFmtId="0" fontId="8" fillId="0" borderId="0" xfId="1" applyFont="1"/>
    <xf numFmtId="0" fontId="3" fillId="0" borderId="0" xfId="1"/>
    <xf numFmtId="164" fontId="0" fillId="0" borderId="0" xfId="0" applyNumberFormat="1"/>
    <xf numFmtId="164" fontId="3" fillId="0" borderId="0" xfId="1" applyNumberFormat="1"/>
    <xf numFmtId="11" fontId="0" fillId="0" borderId="0" xfId="0" applyNumberFormat="1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" fontId="0" fillId="3" borderId="0" xfId="0" applyNumberFormat="1" applyFill="1" applyAlignment="1">
      <alignment horizontal="center" vertical="center"/>
    </xf>
    <xf numFmtId="0" fontId="0" fillId="0" borderId="0" xfId="0" applyAlignment="1">
      <alignment horizontal="right"/>
    </xf>
    <xf numFmtId="1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Normal 4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20</xdr:row>
          <xdr:rowOff>50800</xdr:rowOff>
        </xdr:from>
        <xdr:to>
          <xdr:col>6</xdr:col>
          <xdr:colOff>1295400</xdr:colOff>
          <xdr:row>25</xdr:row>
          <xdr:rowOff>25400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lectrolux-my.sharepoint.com/Firman/V&#228;rmepump/NIBE/Komponenter/SucHex%202017-10-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cHex"/>
      <sheetName val="Copy SucHex Values"/>
      <sheetName val="Suc Hex Consideration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areacooling.com/p/dsm135v11vdz/" TargetMode="External"/><Relationship Id="rId1" Type="http://schemas.openxmlformats.org/officeDocument/2006/relationships/hyperlink" Target="https://electrolux.sharepoint.com/:x:/s/Azul/Ea48FFMUUdlBjcluuSpHhv0B3YxcP2ipm-pI08DG_88U4A?e=uWnrmh&amp;clickparams=eyJBcHBOYW1lIjoiVGVhbXMtRGVza3RvcCIsIkFwcFZlcnNpb24iOiIyNy8yMzAyMDUwMTQwMyIsIkhhc0ZlZGVyYXRlZFVzZXIiOmZhbHNlfQ%3D%3D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youtube.com/watch?v=I4nugwRtcZU" TargetMode="External"/><Relationship Id="rId1" Type="http://schemas.openxmlformats.org/officeDocument/2006/relationships/hyperlink" Target="https://sourceforge.net/projects/coolprop/files/CoolPro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7"/>
  <dimension ref="B4:M64"/>
  <sheetViews>
    <sheetView tabSelected="1" topLeftCell="A11" workbookViewId="0">
      <selection activeCell="D37" sqref="D37"/>
    </sheetView>
  </sheetViews>
  <sheetFormatPr baseColWidth="10" defaultColWidth="8.83203125" defaultRowHeight="16" x14ac:dyDescent="0.2"/>
  <cols>
    <col min="3" max="3" width="58.1640625" customWidth="1"/>
    <col min="4" max="4" width="13.5" customWidth="1"/>
    <col min="5" max="5" width="28" bestFit="1" customWidth="1"/>
    <col min="6" max="6" width="9.33203125" bestFit="1" customWidth="1"/>
    <col min="7" max="7" width="17.6640625" customWidth="1"/>
    <col min="8" max="8" width="11.1640625" bestFit="1" customWidth="1"/>
  </cols>
  <sheetData>
    <row r="4" spans="3:13" x14ac:dyDescent="0.2">
      <c r="C4" t="s">
        <v>0</v>
      </c>
      <c r="E4" t="s">
        <v>1</v>
      </c>
      <c r="F4" s="16" t="s">
        <v>2</v>
      </c>
      <c r="H4" s="2"/>
    </row>
    <row r="5" spans="3:13" x14ac:dyDescent="0.2">
      <c r="E5" t="s">
        <v>3</v>
      </c>
      <c r="F5" s="16" t="s">
        <v>4</v>
      </c>
      <c r="H5" s="2"/>
    </row>
    <row r="6" spans="3:13" x14ac:dyDescent="0.2">
      <c r="C6" s="13" t="s">
        <v>5</v>
      </c>
      <c r="D6" s="1"/>
      <c r="H6" s="2"/>
    </row>
    <row r="7" spans="3:13" x14ac:dyDescent="0.2">
      <c r="C7" s="5" t="s">
        <v>6</v>
      </c>
      <c r="D7" s="8" t="s">
        <v>7</v>
      </c>
      <c r="H7" s="2"/>
    </row>
    <row r="8" spans="3:13" ht="14.25" customHeight="1" x14ac:dyDescent="0.2">
      <c r="C8" s="5" t="s">
        <v>91</v>
      </c>
      <c r="D8" s="24">
        <v>35</v>
      </c>
      <c r="H8" s="2" t="s">
        <v>8</v>
      </c>
      <c r="I8">
        <v>27</v>
      </c>
      <c r="J8" t="s">
        <v>9</v>
      </c>
      <c r="K8">
        <v>0.5</v>
      </c>
    </row>
    <row r="9" spans="3:13" x14ac:dyDescent="0.2">
      <c r="C9" s="25" t="s">
        <v>10</v>
      </c>
      <c r="D9" s="26">
        <f>D8</f>
        <v>35</v>
      </c>
      <c r="H9" s="2" t="s">
        <v>11</v>
      </c>
      <c r="I9">
        <v>24.5</v>
      </c>
    </row>
    <row r="10" spans="3:13" ht="19" x14ac:dyDescent="0.2">
      <c r="C10" s="5" t="s">
        <v>12</v>
      </c>
      <c r="D10" s="8">
        <v>600</v>
      </c>
      <c r="H10" s="2" t="s">
        <v>13</v>
      </c>
      <c r="I10">
        <f>5.67*(10^-8)*((I8+273.15)^4-(I9+273.15)^4)</f>
        <v>15.141482515041726</v>
      </c>
    </row>
    <row r="11" spans="3:13" x14ac:dyDescent="0.2">
      <c r="C11" s="5" t="s">
        <v>14</v>
      </c>
      <c r="D11" s="8">
        <v>1000</v>
      </c>
      <c r="E11" t="s">
        <v>15</v>
      </c>
      <c r="H11" s="2" t="s">
        <v>16</v>
      </c>
      <c r="I11">
        <f>K11*(I8-I9)</f>
        <v>53.5</v>
      </c>
      <c r="J11" t="s">
        <v>17</v>
      </c>
      <c r="K11">
        <f>12.12 - 1.16*M11 + 11.6*M11/2</f>
        <v>21.4</v>
      </c>
      <c r="L11" t="s">
        <v>18</v>
      </c>
      <c r="M11">
        <v>2</v>
      </c>
    </row>
    <row r="12" spans="3:13" x14ac:dyDescent="0.2">
      <c r="C12" s="5" t="s">
        <v>19</v>
      </c>
      <c r="D12" s="8">
        <v>5</v>
      </c>
      <c r="H12" s="2"/>
    </row>
    <row r="13" spans="3:13" ht="13.5" customHeight="1" x14ac:dyDescent="0.2">
      <c r="C13" s="5"/>
      <c r="D13" s="8"/>
      <c r="H13" s="2" t="s">
        <v>20</v>
      </c>
      <c r="I13">
        <f>(273+I9)/(I8-I9)</f>
        <v>119</v>
      </c>
    </row>
    <row r="14" spans="3:13" x14ac:dyDescent="0.2">
      <c r="C14" s="5" t="s">
        <v>21</v>
      </c>
      <c r="D14" s="8">
        <v>35</v>
      </c>
      <c r="H14" s="2" t="s">
        <v>22</v>
      </c>
      <c r="I14">
        <f>I10/K8</f>
        <v>30.282965030083453</v>
      </c>
    </row>
    <row r="15" spans="3:13" ht="19" x14ac:dyDescent="0.2">
      <c r="C15" s="5" t="s">
        <v>23</v>
      </c>
      <c r="D15" s="8">
        <v>420</v>
      </c>
      <c r="H15" s="2"/>
    </row>
    <row r="16" spans="3:13" x14ac:dyDescent="0.2">
      <c r="C16" s="5" t="s">
        <v>24</v>
      </c>
      <c r="D16" s="8">
        <v>2000</v>
      </c>
      <c r="E16" t="s">
        <v>15</v>
      </c>
      <c r="H16" s="2"/>
    </row>
    <row r="17" spans="3:11" x14ac:dyDescent="0.2">
      <c r="C17" s="5" t="s">
        <v>25</v>
      </c>
      <c r="D17" s="8">
        <v>15</v>
      </c>
      <c r="H17" s="2"/>
    </row>
    <row r="18" spans="3:11" x14ac:dyDescent="0.2">
      <c r="C18" s="5" t="s">
        <v>26</v>
      </c>
      <c r="D18" s="15">
        <v>1000</v>
      </c>
      <c r="H18" s="2"/>
    </row>
    <row r="19" spans="3:11" ht="11.25" customHeight="1" x14ac:dyDescent="0.2">
      <c r="C19" s="5"/>
      <c r="D19" s="5"/>
      <c r="H19" s="11"/>
    </row>
    <row r="20" spans="3:11" x14ac:dyDescent="0.2">
      <c r="C20" s="5" t="s">
        <v>27</v>
      </c>
      <c r="D20" s="8">
        <v>3000</v>
      </c>
      <c r="H20" s="11"/>
      <c r="K20" s="3"/>
    </row>
    <row r="21" spans="3:11" ht="19" x14ac:dyDescent="0.2">
      <c r="C21" s="5" t="s">
        <v>28</v>
      </c>
      <c r="D21" s="8">
        <v>13.3</v>
      </c>
      <c r="H21" s="17">
        <v>130.32769523737508</v>
      </c>
    </row>
    <row r="22" spans="3:11" x14ac:dyDescent="0.2">
      <c r="C22" s="5" t="s">
        <v>29</v>
      </c>
      <c r="D22" s="8">
        <v>0.7</v>
      </c>
      <c r="H22" s="17">
        <v>7.7911569049025657E-3</v>
      </c>
      <c r="I22">
        <f>H22*3600</f>
        <v>28.048164857649237</v>
      </c>
      <c r="K22" s="4"/>
    </row>
    <row r="23" spans="3:11" x14ac:dyDescent="0.2">
      <c r="C23" s="5" t="s">
        <v>30</v>
      </c>
      <c r="D23" s="8">
        <v>0.96</v>
      </c>
      <c r="H23" s="11"/>
    </row>
    <row r="24" spans="3:11" x14ac:dyDescent="0.2">
      <c r="C24" s="5" t="s">
        <v>31</v>
      </c>
      <c r="D24" s="8">
        <v>0.96</v>
      </c>
      <c r="H24" s="11"/>
    </row>
    <row r="25" spans="3:11" ht="11.25" customHeight="1" x14ac:dyDescent="0.2">
      <c r="C25" s="5"/>
      <c r="D25" s="5"/>
      <c r="H25" s="6"/>
    </row>
    <row r="26" spans="3:11" x14ac:dyDescent="0.2">
      <c r="C26" s="5" t="s">
        <v>32</v>
      </c>
      <c r="D26" s="8">
        <v>48</v>
      </c>
    </row>
    <row r="27" spans="3:11" x14ac:dyDescent="0.2">
      <c r="C27" s="5" t="s">
        <v>33</v>
      </c>
      <c r="D27" s="8">
        <v>52.5</v>
      </c>
    </row>
    <row r="28" spans="3:11" x14ac:dyDescent="0.2">
      <c r="D28" s="2"/>
    </row>
    <row r="29" spans="3:11" x14ac:dyDescent="0.2">
      <c r="C29" s="13" t="s">
        <v>34</v>
      </c>
      <c r="D29" s="1"/>
      <c r="E29" s="28" t="s">
        <v>111</v>
      </c>
    </row>
    <row r="30" spans="3:11" x14ac:dyDescent="0.2">
      <c r="C30" s="7" t="s">
        <v>35</v>
      </c>
      <c r="D30" s="9">
        <v>2543.6437848834521</v>
      </c>
      <c r="E30">
        <v>2600</v>
      </c>
    </row>
    <row r="31" spans="3:11" x14ac:dyDescent="0.2">
      <c r="C31" s="7" t="s">
        <v>36</v>
      </c>
      <c r="D31" s="9">
        <v>562.95023487222886</v>
      </c>
      <c r="E31">
        <f>730-D27-D26</f>
        <v>629.5</v>
      </c>
      <c r="G31" cm="1">
        <f t="array" ref="G31">PropsSI("H", "T", 45 + 273.15, "P", 1600000, "Propane")</f>
        <v>321731.72461434937</v>
      </c>
    </row>
    <row r="32" spans="3:11" ht="18" customHeight="1" x14ac:dyDescent="0.2">
      <c r="C32" s="7" t="s">
        <v>105</v>
      </c>
      <c r="D32" s="27">
        <v>68.073957582297155</v>
      </c>
    </row>
    <row r="33" spans="3:8" x14ac:dyDescent="0.2">
      <c r="C33" s="7" t="s">
        <v>37</v>
      </c>
      <c r="D33" s="12">
        <v>51.608389167689964</v>
      </c>
      <c r="E33" s="21"/>
    </row>
    <row r="34" spans="3:8" x14ac:dyDescent="0.2">
      <c r="C34" s="7" t="s">
        <v>38</v>
      </c>
      <c r="D34" s="12">
        <v>15.481453392454767</v>
      </c>
      <c r="E34" s="21"/>
    </row>
    <row r="35" spans="3:8" ht="15" customHeight="1" x14ac:dyDescent="0.2">
      <c r="C35" s="7"/>
      <c r="D35" s="14"/>
      <c r="F35" t="s">
        <v>118</v>
      </c>
      <c r="G35" s="28" t="s">
        <v>114</v>
      </c>
      <c r="H35" t="s">
        <v>115</v>
      </c>
    </row>
    <row r="36" spans="3:8" x14ac:dyDescent="0.2">
      <c r="C36" s="7" t="s">
        <v>39</v>
      </c>
      <c r="D36" s="12">
        <v>51.534571195198026</v>
      </c>
      <c r="E36" t="s">
        <v>112</v>
      </c>
      <c r="F36" s="21">
        <f>((D33-D9)-(D33-D36))/LN((D33-D9)/(D33-D36))</f>
        <v>3.0528775868993283</v>
      </c>
      <c r="G36" s="4">
        <f>D11*F36</f>
        <v>3052.8775868993284</v>
      </c>
      <c r="H36" s="4">
        <f>D48*(D36-D9)</f>
        <v>3078.4465080120694</v>
      </c>
    </row>
    <row r="37" spans="3:8" x14ac:dyDescent="0.2">
      <c r="C37" s="7" t="s">
        <v>40</v>
      </c>
      <c r="D37" s="12">
        <v>15.482707223122965</v>
      </c>
      <c r="E37" t="s">
        <v>113</v>
      </c>
      <c r="F37" s="21">
        <f>((D14-D34)-(D37-D34))/LN((D14-D34)/(D37-D34))</f>
        <v>2.0219062046368657</v>
      </c>
      <c r="G37" s="4">
        <f>D16*F37</f>
        <v>4043.8124092737312</v>
      </c>
      <c r="H37" s="4">
        <f>D49*(D14-D37)</f>
        <v>2543.6437848834521</v>
      </c>
    </row>
    <row r="38" spans="3:8" ht="15" customHeight="1" x14ac:dyDescent="0.2">
      <c r="C38" s="7"/>
      <c r="D38" s="7"/>
    </row>
    <row r="39" spans="3:8" x14ac:dyDescent="0.2">
      <c r="C39" s="7" t="s">
        <v>41</v>
      </c>
      <c r="D39" s="10">
        <v>0.24656137140910495</v>
      </c>
      <c r="F39" s="21">
        <f>D36-D9</f>
        <v>16.534571195198026</v>
      </c>
    </row>
    <row r="40" spans="3:8" x14ac:dyDescent="0.2">
      <c r="C40" s="7" t="s">
        <v>42</v>
      </c>
      <c r="D40" s="12">
        <v>8.6692770587107404</v>
      </c>
    </row>
    <row r="41" spans="3:8" ht="18" x14ac:dyDescent="0.25">
      <c r="C41" s="7" t="s">
        <v>43</v>
      </c>
      <c r="D41" s="10">
        <v>3.8339631990232426</v>
      </c>
      <c r="E41">
        <f>E30/(E31+D27+D26)</f>
        <v>3.5616438356164384</v>
      </c>
    </row>
    <row r="42" spans="3:8" ht="18" x14ac:dyDescent="0.25">
      <c r="C42" s="7" t="s">
        <v>44</v>
      </c>
      <c r="D42" s="10">
        <f>D30/D31</f>
        <v>4.5184167752603841</v>
      </c>
      <c r="E42">
        <f>E30/E31</f>
        <v>4.1302621127879267</v>
      </c>
    </row>
    <row r="43" spans="3:8" x14ac:dyDescent="0.2">
      <c r="C43" s="7" t="s">
        <v>110</v>
      </c>
      <c r="D43" s="27">
        <v>2297.3021931570711</v>
      </c>
      <c r="E43" s="29">
        <f>D43+D44</f>
        <v>2543.6437848834521</v>
      </c>
    </row>
    <row r="44" spans="3:8" x14ac:dyDescent="0.2">
      <c r="C44" s="7" t="s">
        <v>106</v>
      </c>
      <c r="D44" s="27">
        <v>246.34159172638101</v>
      </c>
      <c r="E44" s="30"/>
    </row>
    <row r="45" spans="3:8" x14ac:dyDescent="0.2">
      <c r="C45" s="7" t="s">
        <v>107</v>
      </c>
      <c r="D45" s="27">
        <v>537.66827172367971</v>
      </c>
      <c r="E45" s="29">
        <f>D45+D46+D47</f>
        <v>3106.5940197556811</v>
      </c>
    </row>
    <row r="46" spans="3:8" x14ac:dyDescent="0.2">
      <c r="C46" s="7" t="s">
        <v>108</v>
      </c>
      <c r="D46" s="27">
        <v>2436.0356401986801</v>
      </c>
      <c r="E46" s="30"/>
    </row>
    <row r="47" spans="3:8" x14ac:dyDescent="0.2">
      <c r="C47" s="7" t="s">
        <v>109</v>
      </c>
      <c r="D47" s="27">
        <v>132.89010783332085</v>
      </c>
      <c r="E47" s="30"/>
    </row>
    <row r="48" spans="3:8" x14ac:dyDescent="0.2">
      <c r="C48" s="7" t="s">
        <v>117</v>
      </c>
      <c r="D48" s="31">
        <v>186.18242176767865</v>
      </c>
    </row>
    <row r="49" spans="2:4" x14ac:dyDescent="0.2">
      <c r="C49" s="7" t="s">
        <v>116</v>
      </c>
      <c r="D49" s="31">
        <v>130.32769523737508</v>
      </c>
    </row>
    <row r="60" spans="2:4" x14ac:dyDescent="0.2">
      <c r="B60" t="s">
        <v>45</v>
      </c>
    </row>
    <row r="61" spans="2:4" x14ac:dyDescent="0.2">
      <c r="B61" t="s">
        <v>46</v>
      </c>
    </row>
    <row r="62" spans="2:4" x14ac:dyDescent="0.2">
      <c r="B62" t="s">
        <v>47</v>
      </c>
    </row>
    <row r="63" spans="2:4" x14ac:dyDescent="0.2">
      <c r="B63" t="s">
        <v>7</v>
      </c>
    </row>
    <row r="64" spans="2:4" x14ac:dyDescent="0.2">
      <c r="B64" t="s">
        <v>48</v>
      </c>
    </row>
  </sheetData>
  <mergeCells count="2">
    <mergeCell ref="E45:E47"/>
    <mergeCell ref="E43:E44"/>
  </mergeCells>
  <dataValidations count="1">
    <dataValidation type="list" allowBlank="1" showInputMessage="1" showErrorMessage="1" sqref="D7" xr:uid="{2B4D1E28-B17C-400F-9B59-D84C94416763}">
      <formula1>$B$60:$B$67</formula1>
    </dataValidation>
  </dataValidations>
  <hyperlinks>
    <hyperlink ref="F4" r:id="rId1" xr:uid="{FAFF4194-7871-42F7-A5B5-024F0D2FEA98}"/>
    <hyperlink ref="F5" r:id="rId2" xr:uid="{6F529EE1-29F9-48EC-B3A4-84E69095EF53}"/>
  </hyperlinks>
  <pageMargins left="0.7" right="0.7" top="0.75" bottom="0.75" header="0.3" footer="0.3"/>
  <pageSetup paperSize="9" orientation="portrait" r:id="rId3"/>
  <headerFooter>
    <oddFooter>&amp;L&amp;1#&amp;"Calibri"&amp;8&amp;K000000Classified as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SysSim">
                <anchor moveWithCells="1" sizeWithCells="1">
                  <from>
                    <xdr:col>4</xdr:col>
                    <xdr:colOff>406400</xdr:colOff>
                    <xdr:row>20</xdr:row>
                    <xdr:rowOff>50800</xdr:rowOff>
                  </from>
                  <to>
                    <xdr:col>6</xdr:col>
                    <xdr:colOff>1295400</xdr:colOff>
                    <xdr:row>25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33BAC-2166-1F47-9E7D-9C0F7AAB3536}">
  <sheetPr codeName="Sheet1"/>
  <dimension ref="B2:V60"/>
  <sheetViews>
    <sheetView topLeftCell="A26" workbookViewId="0">
      <selection activeCell="C56" sqref="C56"/>
    </sheetView>
  </sheetViews>
  <sheetFormatPr baseColWidth="10" defaultRowHeight="16" x14ac:dyDescent="0.2"/>
  <cols>
    <col min="3" max="3" width="15.1640625" customWidth="1"/>
    <col min="7" max="7" width="18" bestFit="1" customWidth="1"/>
    <col min="8" max="8" width="19.6640625" bestFit="1" customWidth="1"/>
  </cols>
  <sheetData>
    <row r="2" spans="2:22" x14ac:dyDescent="0.2"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60</v>
      </c>
      <c r="I2" t="s">
        <v>61</v>
      </c>
      <c r="J2" t="s">
        <v>62</v>
      </c>
      <c r="K2" t="s">
        <v>63</v>
      </c>
      <c r="M2" t="s">
        <v>64</v>
      </c>
      <c r="N2" t="s">
        <v>65</v>
      </c>
      <c r="O2" t="s">
        <v>66</v>
      </c>
      <c r="P2" t="s">
        <v>67</v>
      </c>
      <c r="Q2" t="s">
        <v>68</v>
      </c>
      <c r="R2" t="s">
        <v>69</v>
      </c>
      <c r="S2" t="s">
        <v>70</v>
      </c>
      <c r="T2" t="s">
        <v>71</v>
      </c>
      <c r="U2" t="s">
        <v>72</v>
      </c>
      <c r="V2" t="s">
        <v>73</v>
      </c>
    </row>
    <row r="3" spans="2:22" x14ac:dyDescent="0.2">
      <c r="B3">
        <v>2401.4974391775745</v>
      </c>
      <c r="C3">
        <v>87.479046812072994</v>
      </c>
      <c r="D3">
        <v>-9.0457417163420271</v>
      </c>
      <c r="E3">
        <v>1.1455489275928121</v>
      </c>
      <c r="F3">
        <v>-0.74517562147764416</v>
      </c>
      <c r="G3">
        <v>-0.14126059815638864</v>
      </c>
      <c r="H3">
        <v>8.9983081396821755E-3</v>
      </c>
      <c r="I3">
        <v>-9.3710954660416144E-3</v>
      </c>
      <c r="J3">
        <v>1.4345874470564272E-3</v>
      </c>
      <c r="K3">
        <v>6.2988167278579224E-4</v>
      </c>
      <c r="M3">
        <v>115.66213097470538</v>
      </c>
      <c r="N3">
        <v>-11.098270577416406</v>
      </c>
      <c r="O3">
        <v>6.3963213208034668</v>
      </c>
      <c r="P3">
        <v>-0.2529851891958545</v>
      </c>
      <c r="Q3">
        <v>0.27451775381462934</v>
      </c>
      <c r="R3">
        <v>6.0758840046454606E-2</v>
      </c>
      <c r="S3">
        <v>-2.7775942382612683E-3</v>
      </c>
      <c r="T3">
        <v>2.2756695613436674E-3</v>
      </c>
      <c r="U3">
        <v>4.1067514140243351E-5</v>
      </c>
      <c r="V3">
        <v>-4.1560742513706793E-4</v>
      </c>
    </row>
    <row r="5" spans="2:22" x14ac:dyDescent="0.2">
      <c r="B5" t="s">
        <v>74</v>
      </c>
      <c r="C5" s="18" t="s">
        <v>51</v>
      </c>
      <c r="D5" s="19"/>
      <c r="E5" s="20"/>
      <c r="F5" s="20"/>
      <c r="G5" s="20"/>
      <c r="H5" s="20"/>
      <c r="I5" s="20"/>
      <c r="J5" s="20"/>
      <c r="M5" s="20"/>
      <c r="N5" s="20" t="s">
        <v>52</v>
      </c>
      <c r="O5" s="20"/>
      <c r="P5" s="20"/>
      <c r="Q5" s="20"/>
      <c r="R5" s="20"/>
      <c r="S5" s="20"/>
      <c r="T5" s="20"/>
    </row>
    <row r="6" spans="2:22" x14ac:dyDescent="0.2">
      <c r="B6" s="18" t="s">
        <v>53</v>
      </c>
      <c r="C6">
        <f t="shared" ref="C6:H6" si="0">D6-5</f>
        <v>30</v>
      </c>
      <c r="D6">
        <f t="shared" si="0"/>
        <v>35</v>
      </c>
      <c r="E6">
        <f t="shared" si="0"/>
        <v>40</v>
      </c>
      <c r="F6">
        <f t="shared" si="0"/>
        <v>45</v>
      </c>
      <c r="G6">
        <f t="shared" si="0"/>
        <v>50</v>
      </c>
      <c r="H6">
        <f t="shared" si="0"/>
        <v>55</v>
      </c>
      <c r="I6">
        <v>60</v>
      </c>
      <c r="M6" s="20" t="s">
        <v>53</v>
      </c>
      <c r="N6" s="20">
        <f>C6</f>
        <v>30</v>
      </c>
      <c r="O6" s="20">
        <f t="shared" ref="O6:T6" si="1">D6</f>
        <v>35</v>
      </c>
      <c r="P6" s="20">
        <f t="shared" si="1"/>
        <v>40</v>
      </c>
      <c r="Q6" s="20">
        <f t="shared" si="1"/>
        <v>45</v>
      </c>
      <c r="R6" s="20">
        <f t="shared" si="1"/>
        <v>50</v>
      </c>
      <c r="S6" s="20">
        <f t="shared" si="1"/>
        <v>55</v>
      </c>
      <c r="T6" s="20">
        <f t="shared" si="1"/>
        <v>60</v>
      </c>
    </row>
    <row r="7" spans="2:22" x14ac:dyDescent="0.2">
      <c r="B7">
        <v>-10</v>
      </c>
      <c r="C7" s="21">
        <v>1435.37414965986</v>
      </c>
      <c r="D7" s="21">
        <v>1384.3537414965899</v>
      </c>
      <c r="E7" s="21">
        <v>1316.32653061224</v>
      </c>
      <c r="F7" s="21">
        <v>1265.30612244897</v>
      </c>
      <c r="G7" s="21">
        <v>1197.2789115646201</v>
      </c>
      <c r="H7" s="22">
        <v>1112.24489795918</v>
      </c>
      <c r="I7" s="21">
        <v>1061.2244897959099</v>
      </c>
      <c r="M7">
        <f>B7</f>
        <v>-10</v>
      </c>
      <c r="N7" s="21">
        <v>362.126872309389</v>
      </c>
      <c r="O7" s="21">
        <v>395.87647205322497</v>
      </c>
      <c r="P7" s="21">
        <v>429.63318746219699</v>
      </c>
      <c r="Q7" s="21">
        <v>463.37567154089697</v>
      </c>
      <c r="R7" s="21">
        <v>497.125271284733</v>
      </c>
      <c r="S7" s="21">
        <v>530.87487102856903</v>
      </c>
      <c r="T7" s="21">
        <v>564.62447077240495</v>
      </c>
    </row>
    <row r="8" spans="2:22" x14ac:dyDescent="0.2">
      <c r="B8">
        <v>-5</v>
      </c>
      <c r="C8" s="21">
        <v>1707.4829931972699</v>
      </c>
      <c r="D8" s="21">
        <v>1639.4557823129201</v>
      </c>
      <c r="E8" s="21">
        <v>1571.42857142857</v>
      </c>
      <c r="F8" s="21">
        <v>1503.4013605442101</v>
      </c>
      <c r="G8" s="21">
        <v>1418.36734693877</v>
      </c>
      <c r="H8" s="22">
        <v>1350.3401360544201</v>
      </c>
      <c r="I8" s="21">
        <v>1265.30612244897</v>
      </c>
      <c r="M8">
        <f t="shared" ref="M8:M12" si="2">B8</f>
        <v>-5</v>
      </c>
      <c r="N8" s="21">
        <v>361.37261180488798</v>
      </c>
      <c r="O8" s="21">
        <v>402.62212260291</v>
      </c>
      <c r="P8" s="21">
        <v>440.12879353897603</v>
      </c>
      <c r="Q8" s="21">
        <v>477.62123314476798</v>
      </c>
      <c r="R8" s="21">
        <v>515.12078841569701</v>
      </c>
      <c r="S8" s="21">
        <v>560.12025474081099</v>
      </c>
      <c r="T8" s="21">
        <v>597.61981001174001</v>
      </c>
    </row>
    <row r="9" spans="2:22" x14ac:dyDescent="0.2">
      <c r="B9">
        <v>0</v>
      </c>
      <c r="C9" s="21">
        <v>2013.6054421768699</v>
      </c>
      <c r="D9" s="21">
        <v>1945.5782312925101</v>
      </c>
      <c r="E9" s="21">
        <v>1843.5374149659799</v>
      </c>
      <c r="F9" s="21">
        <v>1775.51020408163</v>
      </c>
      <c r="G9" s="21">
        <v>1673.4693877550999</v>
      </c>
      <c r="H9" s="22">
        <v>1571.42857142857</v>
      </c>
      <c r="I9" s="21">
        <v>1486.3945578231201</v>
      </c>
      <c r="M9">
        <f t="shared" si="2"/>
        <v>0</v>
      </c>
      <c r="N9" s="21">
        <v>349.37560038424499</v>
      </c>
      <c r="O9" s="21">
        <v>394.37506670936</v>
      </c>
      <c r="P9" s="21">
        <v>443.124488561568</v>
      </c>
      <c r="Q9" s="22">
        <v>488.12395488668199</v>
      </c>
      <c r="R9" s="21">
        <v>533.12342121179699</v>
      </c>
      <c r="S9" s="21">
        <v>585.62279859109799</v>
      </c>
      <c r="T9" s="21">
        <v>626.87230938912001</v>
      </c>
    </row>
    <row r="10" spans="2:22" x14ac:dyDescent="0.2">
      <c r="B10">
        <v>5</v>
      </c>
      <c r="C10" s="21">
        <v>2370.74829931972</v>
      </c>
      <c r="D10" s="22">
        <v>2268.7074829931898</v>
      </c>
      <c r="E10" s="21">
        <v>2183.6734693877502</v>
      </c>
      <c r="F10" s="21">
        <v>2081.63265306122</v>
      </c>
      <c r="G10" s="21">
        <v>1962.5850340136001</v>
      </c>
      <c r="H10" s="22">
        <v>1843.5374149659799</v>
      </c>
      <c r="I10" s="21">
        <v>1741.49659863945</v>
      </c>
      <c r="M10">
        <f t="shared" si="2"/>
        <v>5</v>
      </c>
      <c r="N10" s="21">
        <v>333.62151777137302</v>
      </c>
      <c r="O10" s="21">
        <v>386.12089515067402</v>
      </c>
      <c r="P10" s="21">
        <v>438.627388195111</v>
      </c>
      <c r="Q10" s="21">
        <v>487.376810047319</v>
      </c>
      <c r="R10" s="21">
        <v>543.62614295371202</v>
      </c>
      <c r="S10" s="21">
        <v>603.61831572206199</v>
      </c>
      <c r="T10" s="21">
        <v>652.37485323940598</v>
      </c>
    </row>
    <row r="11" spans="2:22" x14ac:dyDescent="0.2">
      <c r="B11">
        <v>10</v>
      </c>
      <c r="C11" s="21">
        <v>2795.9183673469302</v>
      </c>
      <c r="D11" s="21">
        <v>2659.86394557823</v>
      </c>
      <c r="E11" s="21">
        <v>2523.8095238095202</v>
      </c>
      <c r="F11" s="21">
        <v>2421.7687074829901</v>
      </c>
      <c r="G11" s="21">
        <v>2285.7142857142799</v>
      </c>
      <c r="H11" s="22">
        <v>2166.6666666666601</v>
      </c>
      <c r="I11" s="21">
        <v>2030.6122448979499</v>
      </c>
      <c r="M11">
        <f t="shared" si="2"/>
        <v>10</v>
      </c>
      <c r="N11" s="21">
        <v>299.11765752303597</v>
      </c>
      <c r="O11" s="21">
        <v>362.87401714875199</v>
      </c>
      <c r="P11" s="21">
        <v>422.86618991710202</v>
      </c>
      <c r="Q11" s="21">
        <v>482.87259401572499</v>
      </c>
      <c r="R11" s="21">
        <v>542.87188244921094</v>
      </c>
      <c r="S11" s="21">
        <v>614.12103746397599</v>
      </c>
      <c r="T11" s="21">
        <v>666.62041484327699</v>
      </c>
    </row>
    <row r="12" spans="2:22" x14ac:dyDescent="0.2">
      <c r="B12">
        <v>15</v>
      </c>
      <c r="C12" s="21">
        <v>3238.0952380952299</v>
      </c>
      <c r="D12" s="21">
        <v>3102.0408163265301</v>
      </c>
      <c r="E12" s="21">
        <v>2948.9795918367299</v>
      </c>
      <c r="F12" s="21">
        <v>2812.9251700680202</v>
      </c>
      <c r="G12" s="21">
        <v>2676.87074829931</v>
      </c>
      <c r="H12" s="22">
        <v>2506.8027210884302</v>
      </c>
      <c r="I12" s="21">
        <v>2370.74829931972</v>
      </c>
      <c r="M12">
        <f t="shared" si="2"/>
        <v>15</v>
      </c>
      <c r="N12" s="21">
        <v>257.12811755078701</v>
      </c>
      <c r="O12" s="21">
        <v>328.377272565552</v>
      </c>
      <c r="P12" s="21">
        <v>395.87647205322497</v>
      </c>
      <c r="Q12" s="21">
        <v>463.37567154089697</v>
      </c>
      <c r="R12" s="21">
        <v>534.62482655566203</v>
      </c>
      <c r="S12" s="21">
        <v>609.61682143238295</v>
      </c>
      <c r="T12" s="21">
        <v>673.37318105809902</v>
      </c>
    </row>
    <row r="14" spans="2:22" x14ac:dyDescent="0.2">
      <c r="B14" t="s">
        <v>75</v>
      </c>
      <c r="C14" s="18" t="s">
        <v>51</v>
      </c>
      <c r="N14" s="20" t="s">
        <v>52</v>
      </c>
    </row>
    <row r="15" spans="2:22" x14ac:dyDescent="0.2">
      <c r="B15" s="18" t="s">
        <v>53</v>
      </c>
      <c r="C15">
        <f>C6</f>
        <v>30</v>
      </c>
      <c r="D15">
        <f t="shared" ref="D15:I15" si="3">D6</f>
        <v>35</v>
      </c>
      <c r="E15">
        <f t="shared" si="3"/>
        <v>40</v>
      </c>
      <c r="F15">
        <f t="shared" si="3"/>
        <v>45</v>
      </c>
      <c r="G15">
        <f t="shared" si="3"/>
        <v>50</v>
      </c>
      <c r="H15">
        <f t="shared" si="3"/>
        <v>55</v>
      </c>
      <c r="I15">
        <f t="shared" si="3"/>
        <v>60</v>
      </c>
      <c r="M15" s="20" t="s">
        <v>53</v>
      </c>
      <c r="N15" s="20">
        <f>C15</f>
        <v>30</v>
      </c>
      <c r="O15" s="20">
        <f t="shared" ref="O15" si="4">D15</f>
        <v>35</v>
      </c>
      <c r="P15" s="20">
        <f t="shared" ref="P15" si="5">E15</f>
        <v>40</v>
      </c>
      <c r="Q15" s="20">
        <f t="shared" ref="Q15" si="6">F15</f>
        <v>45</v>
      </c>
      <c r="R15" s="20">
        <f t="shared" ref="R15" si="7">G15</f>
        <v>50</v>
      </c>
      <c r="S15" s="20">
        <f t="shared" ref="S15" si="8">H15</f>
        <v>55</v>
      </c>
      <c r="T15" s="20">
        <f t="shared" ref="T15" si="9">I15</f>
        <v>60</v>
      </c>
    </row>
    <row r="16" spans="2:22" x14ac:dyDescent="0.2">
      <c r="B16">
        <f>B7</f>
        <v>-10</v>
      </c>
      <c r="C16" s="21">
        <f>IF(C7="","",$B$3 + $C$3*$B16+$D$3*C$15  +$E$3*$B16^2+$F$3*C$15*$B16+$G$3*C$15^2 + $H$3*$B16^3+$I$3*C$15*$B16^2+$J$3*$B16*C$15^2+$K$3*C$15^3)</f>
        <v>1433.2916840323101</v>
      </c>
      <c r="D16" s="21">
        <f t="shared" ref="D16:I16" si="10">IF(D7="","",$B$3 + $C$3*$B16+$D$3*D$15  +$E$3*$B16^2+$F$3*D$15*$B16+$G$3*D$15^2 + $H$3*$B16^3+$I$3*D$15*$B16^2+$J$3*$B16*D$15^2+$K$3*D$15^3)</f>
        <v>1380.0634767431761</v>
      </c>
      <c r="E16" s="21">
        <f t="shared" si="10"/>
        <v>1322.3618246048197</v>
      </c>
      <c r="F16" s="21">
        <f t="shared" si="10"/>
        <v>1260.6591388718311</v>
      </c>
      <c r="G16" s="21">
        <f t="shared" si="10"/>
        <v>1195.4278307987981</v>
      </c>
      <c r="H16" s="21">
        <f t="shared" si="10"/>
        <v>1127.140311640311</v>
      </c>
      <c r="I16" s="21">
        <f t="shared" si="10"/>
        <v>1056.2689926509597</v>
      </c>
      <c r="M16">
        <f>B16</f>
        <v>-10</v>
      </c>
      <c r="N16" s="21">
        <f>IF(N7="","",$M$3 + $N$3*$M16+$O$3*N$15  +$P$3*$M16^2+$Q$3*N$15*$M16+$R$3*N$15^2 + $S$3*$M16^3+$T$3*N$15*$M16^2+$U$3*$M16*N$15^2+$V$3*N$15^3)</f>
        <v>363.57718216713755</v>
      </c>
      <c r="O16" s="21">
        <f t="shared" ref="O16:T16" si="11">IF(O7="","",$M$3 + $N$3*$M16+$O$3*O$15  +$P$3*$M16^2+$Q$3*O$15*$M16+$R$3*O$15^2 + $S$3*$M16^3+$T$3*O$15*$M16^2+$U$3*$M16*O$15^2+$V$3*O$15^3)</f>
        <v>395.98612158118635</v>
      </c>
      <c r="P16" s="21">
        <f t="shared" si="11"/>
        <v>429.23053025851789</v>
      </c>
      <c r="Q16" s="21">
        <f t="shared" si="11"/>
        <v>462.99870263027992</v>
      </c>
      <c r="R16" s="21">
        <f t="shared" si="11"/>
        <v>496.9789331276192</v>
      </c>
      <c r="S16" s="21">
        <f t="shared" si="11"/>
        <v>530.85951618168315</v>
      </c>
      <c r="T16" s="21">
        <f t="shared" si="11"/>
        <v>564.32874622361885</v>
      </c>
    </row>
    <row r="17" spans="2:20" x14ac:dyDescent="0.2">
      <c r="B17">
        <f t="shared" ref="B17:B21" si="12">B8</f>
        <v>-5</v>
      </c>
      <c r="C17" s="21">
        <f t="shared" ref="C17:I17" si="13">IF(C8="","",$B$3 + $C$3*$B17+$D$3*C$15  +$E$3*$B17^2+$F$3*C$15*$B17+$G$3*C$15^2 + $H$3*$B17^3+$I$3*C$15*$B17^2+$J$3*$B17*C$15^2+$K$3*C$15^3)</f>
        <v>1708.4085332341365</v>
      </c>
      <c r="D17" s="21">
        <f t="shared" si="13"/>
        <v>1642.3963008092937</v>
      </c>
      <c r="E17" s="21">
        <f t="shared" si="13"/>
        <v>1572.2692703969931</v>
      </c>
      <c r="F17" s="21">
        <f t="shared" si="13"/>
        <v>1498.4998532518232</v>
      </c>
      <c r="G17" s="21">
        <f t="shared" si="13"/>
        <v>1421.5604606283741</v>
      </c>
      <c r="H17" s="21">
        <f t="shared" si="13"/>
        <v>1341.923503781235</v>
      </c>
      <c r="I17" s="21">
        <f t="shared" si="13"/>
        <v>1260.0613939649947</v>
      </c>
      <c r="M17">
        <f t="shared" ref="M17:M21" si="14">B17</f>
        <v>-5</v>
      </c>
      <c r="N17" s="21">
        <f t="shared" ref="N17:T17" si="15">IF(N8="","",$M$3 + $N$3*$M17+$O$3*N$15  +$P$3*$M17^2+$Q$3*N$15*$M17+$R$3*N$15^2 + $S$3*$M17^3+$T$3*N$15*$M17^2+$U$3*$M17*N$15^2+$V$3*N$15^3)</f>
        <v>360.8715338840683</v>
      </c>
      <c r="O17" s="21">
        <f t="shared" si="15"/>
        <v>399.35677576845683</v>
      </c>
      <c r="P17" s="21">
        <f t="shared" si="15"/>
        <v>438.68775379466319</v>
      </c>
      <c r="Q17" s="21">
        <f t="shared" si="15"/>
        <v>478.552762393835</v>
      </c>
      <c r="R17" s="21">
        <f t="shared" si="15"/>
        <v>518.64009599711926</v>
      </c>
      <c r="S17" s="21">
        <f t="shared" si="15"/>
        <v>558.63804903566324</v>
      </c>
      <c r="T17" s="21">
        <f t="shared" si="15"/>
        <v>598.23491594061386</v>
      </c>
    </row>
    <row r="18" spans="2:20" x14ac:dyDescent="0.2">
      <c r="B18">
        <f t="shared" si="12"/>
        <v>0</v>
      </c>
      <c r="C18" s="21">
        <f t="shared" ref="C18:I18" si="16">IF(C9="","",$B$3 + $C$3*$B18+$D$3*C$15  +$E$3*$B18^2+$F$3*C$15*$B18+$G$3*C$15^2 + $H$3*$B18^3+$I$3*C$15*$B18^2+$J$3*$B18*C$15^2+$K$3*C$15^3)</f>
        <v>2019.9974545117805</v>
      </c>
      <c r="D18" s="21">
        <f t="shared" si="16"/>
        <v>1938.8584230847184</v>
      </c>
      <c r="E18" s="21">
        <f t="shared" si="16"/>
        <v>1853.9632405319624</v>
      </c>
      <c r="F18" s="21">
        <f t="shared" si="16"/>
        <v>1765.7843181081018</v>
      </c>
      <c r="G18" s="21">
        <f t="shared" si="16"/>
        <v>1674.7940670677256</v>
      </c>
      <c r="H18" s="21">
        <f t="shared" si="16"/>
        <v>1581.4648986654236</v>
      </c>
      <c r="I18" s="21">
        <f t="shared" si="16"/>
        <v>1486.2692241557847</v>
      </c>
      <c r="M18">
        <f t="shared" si="14"/>
        <v>0</v>
      </c>
      <c r="N18" s="21">
        <f t="shared" ref="N18:T18" si="17">IF(N9="","",$M$3 + $N$3*$M18+$O$3*N$15  +$P$3*$M18^2+$Q$3*N$15*$M18+$R$3*N$15^2 + $S$3*$M18^3+$T$3*N$15*$M18^2+$U$3*$M18*N$15^2+$V$3*N$15^3)</f>
        <v>351.01332616191769</v>
      </c>
      <c r="O18" s="21">
        <f t="shared" si="17"/>
        <v>396.14378790698186</v>
      </c>
      <c r="P18" s="21">
        <f t="shared" si="17"/>
        <v>442.13025267239902</v>
      </c>
      <c r="Q18" s="21">
        <f t="shared" si="17"/>
        <v>488.66101488931668</v>
      </c>
      <c r="R18" s="21">
        <f t="shared" si="17"/>
        <v>535.42436898888172</v>
      </c>
      <c r="S18" s="21">
        <f t="shared" si="17"/>
        <v>582.10860940224165</v>
      </c>
      <c r="T18" s="21">
        <f t="shared" si="17"/>
        <v>628.40203056054338</v>
      </c>
    </row>
    <row r="19" spans="2:20" x14ac:dyDescent="0.2">
      <c r="B19">
        <f t="shared" si="12"/>
        <v>5</v>
      </c>
      <c r="C19" s="21">
        <f t="shared" ref="C19:I19" si="18">IF(C10="","",$B$3 + $C$3*$B19+$D$3*C$15  +$E$3*$B19^2+$F$3*C$15*$B19+$G$3*C$15^2 + $H$3*$B19^3+$I$3*C$15*$B19^2+$J$3*$B19*C$15^2+$K$3*C$15^3)</f>
        <v>2374.807178970002</v>
      </c>
      <c r="D19" s="21">
        <f t="shared" si="18"/>
        <v>2276.1985746742102</v>
      </c>
      <c r="E19" s="21">
        <f t="shared" si="18"/>
        <v>2174.192466114489</v>
      </c>
      <c r="F19" s="21">
        <f t="shared" si="18"/>
        <v>2069.2612645454265</v>
      </c>
      <c r="G19" s="21">
        <f t="shared" si="18"/>
        <v>1961.8773812216134</v>
      </c>
      <c r="H19" s="21">
        <f t="shared" si="18"/>
        <v>1852.5132273976385</v>
      </c>
      <c r="I19" s="21">
        <f t="shared" si="18"/>
        <v>1741.6412143280904</v>
      </c>
      <c r="M19">
        <f t="shared" si="14"/>
        <v>5</v>
      </c>
      <c r="N19" s="21">
        <f t="shared" ref="N19:T19" si="19">IF(N10="","",$M$3 + $N$3*$M19+$O$3*N$15  +$P$3*$M19^2+$Q$3*N$15*$M19+$R$3*N$15^2 + $S$3*$M19^3+$T$3*N$15*$M19^2+$U$3*$M19*N$15^2+$V$3*N$15^3)</f>
        <v>331.91936332198981</v>
      </c>
      <c r="O19" s="21">
        <f t="shared" si="19"/>
        <v>384.26396231806564</v>
      </c>
      <c r="P19" s="21">
        <f t="shared" si="19"/>
        <v>437.47483121302946</v>
      </c>
      <c r="Q19" s="21">
        <f t="shared" si="19"/>
        <v>491.2402644380287</v>
      </c>
      <c r="R19" s="21">
        <f t="shared" si="19"/>
        <v>545.24855642421062</v>
      </c>
      <c r="S19" s="21">
        <f t="shared" si="19"/>
        <v>599.18800160272235</v>
      </c>
      <c r="T19" s="21">
        <f t="shared" si="19"/>
        <v>652.74689440471104</v>
      </c>
    </row>
    <row r="20" spans="2:20" x14ac:dyDescent="0.2">
      <c r="B20">
        <f t="shared" si="12"/>
        <v>10</v>
      </c>
      <c r="C20" s="21">
        <f t="shared" ref="C20:I20" si="20">IF(C11="","",$B$3 + $C$3*$B20+$D$3*C$15  +$E$3*$B20^2+$F$3*C$15*$B20+$G$3*C$15^2 + $H$3*$B20^3+$I$3*C$15*$B20^2+$J$3*$B20*C$15^2+$K$3*C$15^3)</f>
        <v>2779.586437713564</v>
      </c>
      <c r="D20" s="21">
        <f t="shared" si="20"/>
        <v>2661.1654866825315</v>
      </c>
      <c r="E20" s="21">
        <f t="shared" si="20"/>
        <v>2539.7056782493341</v>
      </c>
      <c r="F20" s="21">
        <f t="shared" si="20"/>
        <v>2415.6794236685605</v>
      </c>
      <c r="G20" s="21">
        <f t="shared" si="20"/>
        <v>2289.5591341947993</v>
      </c>
      <c r="H20" s="21">
        <f t="shared" si="20"/>
        <v>2161.8172210826401</v>
      </c>
      <c r="I20" s="21">
        <f t="shared" si="20"/>
        <v>2032.9260955866735</v>
      </c>
      <c r="M20">
        <f t="shared" si="14"/>
        <v>10</v>
      </c>
      <c r="N20" s="21">
        <f t="shared" ref="N20:T20" si="21">IF(N11="","",$M$3 + $N$3*$M20+$O$3*N$15  +$P$3*$M20^2+$Q$3*N$15*$M20+$R$3*N$15^2 + $S$3*$M20^3+$T$3*N$15*$M20^2+$U$3*$M20*N$15^2+$V$3*N$15^3)</f>
        <v>301.5064496855889</v>
      </c>
      <c r="O20" s="21">
        <f t="shared" si="21"/>
        <v>361.63410332301214</v>
      </c>
      <c r="P20" s="21">
        <f t="shared" si="21"/>
        <v>422.63829373785853</v>
      </c>
      <c r="Q20" s="21">
        <f t="shared" si="21"/>
        <v>484.2073153612755</v>
      </c>
      <c r="R20" s="21">
        <f t="shared" si="21"/>
        <v>546.02946262441003</v>
      </c>
      <c r="S20" s="21">
        <f t="shared" si="21"/>
        <v>607.79302995840953</v>
      </c>
      <c r="T20" s="21">
        <f t="shared" si="21"/>
        <v>669.18631179442093</v>
      </c>
    </row>
    <row r="21" spans="2:20" x14ac:dyDescent="0.2">
      <c r="B21">
        <f t="shared" si="12"/>
        <v>15</v>
      </c>
      <c r="C21" s="21">
        <f t="shared" ref="C21:I21" si="22">IF(C12="","",$B$3 + $C$3*$B21+$D$3*C$15  +$E$3*$B21^2+$F$3*C$15*$B21+$G$3*C$15^2 + $H$3*$B21^3+$I$3*C$15*$B21^2+$J$3*$B21*C$15^2+$K$3*C$15^3)</f>
        <v>3241.0839618472273</v>
      </c>
      <c r="D21" s="21">
        <f t="shared" si="22"/>
        <v>3100.5078902144446</v>
      </c>
      <c r="E21" s="21">
        <f t="shared" si="22"/>
        <v>2957.2516080412611</v>
      </c>
      <c r="F21" s="21">
        <f t="shared" si="22"/>
        <v>2811.7875265822649</v>
      </c>
      <c r="G21" s="21">
        <f t="shared" si="22"/>
        <v>2664.5880570920463</v>
      </c>
      <c r="H21" s="21">
        <f t="shared" si="22"/>
        <v>2516.1256108251928</v>
      </c>
      <c r="I21" s="21">
        <f t="shared" si="22"/>
        <v>2366.8725990362964</v>
      </c>
      <c r="M21">
        <f t="shared" si="14"/>
        <v>15</v>
      </c>
      <c r="N21" s="21">
        <f t="shared" ref="N21:T21" si="23">IF(N12="","",$M$3 + $N$3*$M21+$O$3*N$15  +$P$3*$M21^2+$Q$3*N$15*$M21+$R$3*N$15^2 + $S$3*$M21^3+$T$3*N$15*$M21^2+$U$3*$M21*N$15^2+$V$3*N$15^3)</f>
        <v>257.69138957401873</v>
      </c>
      <c r="O21" s="21">
        <f t="shared" si="23"/>
        <v>326.17101524312545</v>
      </c>
      <c r="P21" s="21">
        <f t="shared" si="23"/>
        <v>395.53744456819032</v>
      </c>
      <c r="Q21" s="21">
        <f t="shared" si="23"/>
        <v>465.47897198036088</v>
      </c>
      <c r="R21" s="21">
        <f t="shared" si="23"/>
        <v>535.68389191078393</v>
      </c>
      <c r="S21" s="21">
        <f t="shared" si="23"/>
        <v>605.84049879060717</v>
      </c>
      <c r="T21" s="21">
        <f t="shared" si="23"/>
        <v>675.63708705097724</v>
      </c>
    </row>
    <row r="23" spans="2:20" x14ac:dyDescent="0.2">
      <c r="B23" t="s">
        <v>76</v>
      </c>
      <c r="C23" s="18" t="s">
        <v>51</v>
      </c>
      <c r="N23" s="20" t="s">
        <v>52</v>
      </c>
    </row>
    <row r="24" spans="2:20" x14ac:dyDescent="0.2">
      <c r="B24" s="18" t="s">
        <v>53</v>
      </c>
      <c r="C24">
        <f>C15</f>
        <v>30</v>
      </c>
      <c r="D24">
        <f t="shared" ref="D24:I24" si="24">D15</f>
        <v>35</v>
      </c>
      <c r="E24">
        <f t="shared" si="24"/>
        <v>40</v>
      </c>
      <c r="F24">
        <f t="shared" si="24"/>
        <v>45</v>
      </c>
      <c r="G24">
        <f t="shared" si="24"/>
        <v>50</v>
      </c>
      <c r="H24">
        <f t="shared" si="24"/>
        <v>55</v>
      </c>
      <c r="I24">
        <f t="shared" si="24"/>
        <v>60</v>
      </c>
      <c r="M24" s="20" t="s">
        <v>53</v>
      </c>
      <c r="N24" s="20">
        <f>C24</f>
        <v>30</v>
      </c>
      <c r="O24" s="20">
        <f t="shared" ref="O24" si="25">D24</f>
        <v>35</v>
      </c>
      <c r="P24" s="20">
        <f t="shared" ref="P24" si="26">E24</f>
        <v>40</v>
      </c>
      <c r="Q24" s="20">
        <f t="shared" ref="Q24" si="27">F24</f>
        <v>45</v>
      </c>
      <c r="R24" s="20">
        <f t="shared" ref="R24" si="28">G24</f>
        <v>50</v>
      </c>
      <c r="S24" s="20">
        <f t="shared" ref="S24" si="29">H24</f>
        <v>55</v>
      </c>
      <c r="T24" s="20">
        <f t="shared" ref="T24" si="30">I24</f>
        <v>60</v>
      </c>
    </row>
    <row r="25" spans="2:20" x14ac:dyDescent="0.2">
      <c r="B25">
        <f>B16</f>
        <v>-10</v>
      </c>
      <c r="C25" s="21">
        <f>IF(C7="","",(C7-C16)^2)</f>
        <v>4.3366630899269509</v>
      </c>
      <c r="D25" s="21">
        <f t="shared" ref="D25:I25" si="31">IF(D7="","",(D7-D16)^2)</f>
        <v>18.406371654384724</v>
      </c>
      <c r="E25" s="21">
        <f t="shared" si="31"/>
        <v>36.424773576868397</v>
      </c>
      <c r="F25" s="21">
        <f t="shared" si="31"/>
        <v>21.59445636619796</v>
      </c>
      <c r="G25" s="21">
        <f t="shared" si="31"/>
        <v>3.426500001596021</v>
      </c>
      <c r="H25" s="21">
        <f t="shared" si="31"/>
        <v>221.87334873202468</v>
      </c>
      <c r="I25" s="21">
        <f t="shared" si="31"/>
        <v>24.556951953609449</v>
      </c>
      <c r="M25">
        <f>B25</f>
        <v>-10</v>
      </c>
      <c r="N25" s="21">
        <f>IF(N7="","",(N7-N16)^2)</f>
        <v>2.1033986834826202</v>
      </c>
      <c r="O25" s="21">
        <f t="shared" ref="O25:T25" si="32">IF(O7="","",(O7-O16)^2)</f>
        <v>1.2023018982153563E-2</v>
      </c>
      <c r="P25" s="21">
        <f t="shared" si="32"/>
        <v>0.16213282367467066</v>
      </c>
      <c r="Q25" s="21">
        <f t="shared" si="32"/>
        <v>0.14210555957180673</v>
      </c>
      <c r="R25" s="21">
        <f t="shared" si="32"/>
        <v>2.1414856227464071E-2</v>
      </c>
      <c r="S25" s="21">
        <f t="shared" si="32"/>
        <v>2.3577132288895382E-4</v>
      </c>
      <c r="T25" s="21">
        <f t="shared" si="32"/>
        <v>8.7453008754740866E-2</v>
      </c>
    </row>
    <row r="26" spans="2:20" x14ac:dyDescent="0.2">
      <c r="B26">
        <f t="shared" ref="B26:B30" si="33">B17</f>
        <v>-5</v>
      </c>
      <c r="C26" s="21">
        <f t="shared" ref="C26:I26" si="34">IF(C8="","",(C8-C17)^2)</f>
        <v>0.85662435984293572</v>
      </c>
      <c r="D26" s="21">
        <f t="shared" si="34"/>
        <v>8.6466490275156698</v>
      </c>
      <c r="E26" s="21">
        <f t="shared" si="34"/>
        <v>0.70677475550768487</v>
      </c>
      <c r="F26" s="21">
        <f t="shared" si="34"/>
        <v>24.024773737321915</v>
      </c>
      <c r="G26" s="21">
        <f t="shared" si="34"/>
        <v>10.195975034737497</v>
      </c>
      <c r="H26" s="21">
        <f t="shared" si="34"/>
        <v>70.839698822020765</v>
      </c>
      <c r="I26" s="21">
        <f t="shared" si="34"/>
        <v>27.507176870621038</v>
      </c>
      <c r="M26">
        <f t="shared" ref="M26:M30" si="35">B26</f>
        <v>-5</v>
      </c>
      <c r="N26" s="21">
        <f t="shared" ref="N26:T26" si="36">IF(N8="","",(N8-N17)^2)</f>
        <v>0.2510790827329758</v>
      </c>
      <c r="O26" s="21">
        <f t="shared" si="36"/>
        <v>10.662489949273331</v>
      </c>
      <c r="P26" s="21">
        <f t="shared" si="36"/>
        <v>2.0765955446891917</v>
      </c>
      <c r="Q26" s="21">
        <f t="shared" si="36"/>
        <v>0.86774674186735079</v>
      </c>
      <c r="R26" s="21">
        <f t="shared" si="36"/>
        <v>12.385525852656153</v>
      </c>
      <c r="S26" s="21">
        <f t="shared" si="36"/>
        <v>2.196933752372535</v>
      </c>
      <c r="T26" s="21">
        <f t="shared" si="36"/>
        <v>0.37835530373575588</v>
      </c>
    </row>
    <row r="27" spans="2:20" x14ac:dyDescent="0.2">
      <c r="B27">
        <f t="shared" si="33"/>
        <v>0</v>
      </c>
      <c r="C27" s="21">
        <f t="shared" ref="C27:I27" si="37">IF(C9="","",(C9-C18)^2)</f>
        <v>40.857821689648397</v>
      </c>
      <c r="D27" s="21">
        <f t="shared" si="37"/>
        <v>45.155822349503751</v>
      </c>
      <c r="E27" s="21">
        <f t="shared" si="37"/>
        <v>108.69783873229328</v>
      </c>
      <c r="F27" s="21">
        <f t="shared" si="37"/>
        <v>94.592857970072444</v>
      </c>
      <c r="G27" s="21">
        <f t="shared" si="37"/>
        <v>1.7547752812984339</v>
      </c>
      <c r="H27" s="21">
        <f t="shared" si="37"/>
        <v>100.7278644052093</v>
      </c>
      <c r="I27" s="21">
        <f t="shared" si="37"/>
        <v>1.5708528167722169E-2</v>
      </c>
      <c r="M27">
        <f t="shared" si="35"/>
        <v>0</v>
      </c>
      <c r="N27" s="21">
        <f t="shared" ref="N27:T27" si="38">IF(N9="","",(N9-N18)^2)</f>
        <v>2.6821457228536474</v>
      </c>
      <c r="O27" s="21">
        <f t="shared" si="38"/>
        <v>3.1283746749168988</v>
      </c>
      <c r="P27" s="21">
        <f t="shared" si="38"/>
        <v>0.98850500331162516</v>
      </c>
      <c r="Q27" s="21">
        <f t="shared" si="38"/>
        <v>0.28843344642997237</v>
      </c>
      <c r="R27" s="21">
        <f t="shared" si="38"/>
        <v>5.294360672871159</v>
      </c>
      <c r="S27" s="21">
        <f t="shared" si="38"/>
        <v>12.349525655074746</v>
      </c>
      <c r="T27" s="21">
        <f t="shared" si="38"/>
        <v>2.3400468623009036</v>
      </c>
    </row>
    <row r="28" spans="2:20" x14ac:dyDescent="0.2">
      <c r="B28">
        <f t="shared" si="33"/>
        <v>5</v>
      </c>
      <c r="C28" s="21">
        <f t="shared" ref="C28:I28" si="39">IF(C10="","",(C10-C19)^2)</f>
        <v>16.474504015473748</v>
      </c>
      <c r="D28" s="21">
        <f t="shared" si="39"/>
        <v>56.116454573453147</v>
      </c>
      <c r="E28" s="21">
        <f t="shared" si="39"/>
        <v>89.889423067589476</v>
      </c>
      <c r="F28" s="21">
        <f t="shared" si="39"/>
        <v>153.05125380870902</v>
      </c>
      <c r="G28" s="21">
        <f t="shared" si="39"/>
        <v>0.50077247400653613</v>
      </c>
      <c r="H28" s="21">
        <f t="shared" si="39"/>
        <v>80.56520880831701</v>
      </c>
      <c r="I28" s="21">
        <f t="shared" si="39"/>
        <v>2.0913697400949376E-2</v>
      </c>
      <c r="M28">
        <f t="shared" si="35"/>
        <v>5</v>
      </c>
      <c r="N28" s="21">
        <f t="shared" ref="N28:T28" si="40">IF(N10="","",(N10-N19)^2)</f>
        <v>2.8973297695550766</v>
      </c>
      <c r="O28" s="21">
        <f t="shared" si="40"/>
        <v>3.4481995448189786</v>
      </c>
      <c r="P28" s="21">
        <f t="shared" si="40"/>
        <v>1.3283875969448955</v>
      </c>
      <c r="Q28" s="21">
        <f t="shared" si="40"/>
        <v>14.926279829094101</v>
      </c>
      <c r="R28" s="21">
        <f t="shared" si="40"/>
        <v>2.6322254692553115</v>
      </c>
      <c r="S28" s="21">
        <f t="shared" si="40"/>
        <v>19.627683196020183</v>
      </c>
      <c r="T28" s="21">
        <f t="shared" si="40"/>
        <v>0.13841462868154941</v>
      </c>
    </row>
    <row r="29" spans="2:20" x14ac:dyDescent="0.2">
      <c r="B29">
        <f t="shared" si="33"/>
        <v>10</v>
      </c>
      <c r="C29" s="21">
        <f t="shared" ref="C29:I29" si="41">IF(C11="","",(C11-C20)^2)</f>
        <v>266.73192554922321</v>
      </c>
      <c r="D29" s="21">
        <f t="shared" si="41"/>
        <v>1.6940092461865697</v>
      </c>
      <c r="E29" s="21">
        <f t="shared" si="41"/>
        <v>252.68772597441603</v>
      </c>
      <c r="F29" s="21">
        <f t="shared" si="41"/>
        <v>37.079377372673861</v>
      </c>
      <c r="G29" s="21">
        <f t="shared" si="41"/>
        <v>14.782859838152579</v>
      </c>
      <c r="H29" s="21">
        <f t="shared" si="41"/>
        <v>23.517122472371387</v>
      </c>
      <c r="I29" s="21">
        <f t="shared" si="41"/>
        <v>5.3539050097062395</v>
      </c>
      <c r="M29">
        <f t="shared" si="35"/>
        <v>10</v>
      </c>
      <c r="N29" s="21">
        <f t="shared" ref="N29:T29" si="42">IF(N11="","",(N11-N20)^2)</f>
        <v>5.7063279958743118</v>
      </c>
      <c r="O29" s="21">
        <f t="shared" si="42"/>
        <v>1.5373862952608253</v>
      </c>
      <c r="P29" s="21">
        <f t="shared" si="42"/>
        <v>5.1936668513779573E-2</v>
      </c>
      <c r="Q29" s="21">
        <f t="shared" si="42"/>
        <v>1.78148107026819</v>
      </c>
      <c r="R29" s="21">
        <f t="shared" si="42"/>
        <v>9.9703125628102942</v>
      </c>
      <c r="S29" s="21">
        <f t="shared" si="42"/>
        <v>40.043678990505462</v>
      </c>
      <c r="T29" s="21">
        <f t="shared" si="42"/>
        <v>6.5838271638897714</v>
      </c>
    </row>
    <row r="30" spans="2:20" x14ac:dyDescent="0.2">
      <c r="B30">
        <f t="shared" si="33"/>
        <v>15</v>
      </c>
      <c r="C30" s="21">
        <f t="shared" ref="C30:I30" si="43">IF(C12="","",(C12-C21)^2)</f>
        <v>8.9324696657536578</v>
      </c>
      <c r="D30" s="21">
        <f t="shared" si="43"/>
        <v>2.3498624651136697</v>
      </c>
      <c r="E30" s="21">
        <f t="shared" si="43"/>
        <v>68.426252088026018</v>
      </c>
      <c r="F30" s="21">
        <f t="shared" si="43"/>
        <v>1.2942327006813192</v>
      </c>
      <c r="G30" s="21">
        <f t="shared" si="43"/>
        <v>150.86450329299359</v>
      </c>
      <c r="H30" s="21">
        <f t="shared" si="43"/>
        <v>86.916273043833243</v>
      </c>
      <c r="I30" s="21">
        <f t="shared" si="43"/>
        <v>15.021052686929865</v>
      </c>
      <c r="M30">
        <f t="shared" si="35"/>
        <v>15</v>
      </c>
      <c r="N30" s="21">
        <f t="shared" ref="N30:T30" si="44">IF(N12="","",(N12-N21)^2)</f>
        <v>0.3172753721555534</v>
      </c>
      <c r="O30" s="21">
        <f t="shared" si="44"/>
        <v>4.8675713727607786</v>
      </c>
      <c r="P30" s="21">
        <f t="shared" si="44"/>
        <v>0.1149396356089189</v>
      </c>
      <c r="Q30" s="21">
        <f t="shared" si="44"/>
        <v>4.4238727386490684</v>
      </c>
      <c r="R30" s="21">
        <f t="shared" si="44"/>
        <v>1.1216194264194805</v>
      </c>
      <c r="S30" s="21">
        <f t="shared" si="44"/>
        <v>14.260612694788389</v>
      </c>
      <c r="T30" s="21">
        <f t="shared" si="44"/>
        <v>5.1252703445899268</v>
      </c>
    </row>
    <row r="33" spans="2:14" x14ac:dyDescent="0.2">
      <c r="B33" t="s">
        <v>77</v>
      </c>
      <c r="C33" s="21">
        <f>SUM(C25:I30)</f>
        <v>2197.4695287893801</v>
      </c>
      <c r="M33" t="s">
        <v>77</v>
      </c>
      <c r="N33" s="21">
        <f>SUM(N25:T30)</f>
        <v>199.32351435356742</v>
      </c>
    </row>
    <row r="34" spans="2:14" x14ac:dyDescent="0.2">
      <c r="B34" t="s">
        <v>78</v>
      </c>
      <c r="C34">
        <f>STDEV(C25:I30)</f>
        <v>68.444985463595586</v>
      </c>
      <c r="M34" t="s">
        <v>78</v>
      </c>
      <c r="N34">
        <f>STDEV(N25:T30)</f>
        <v>7.3839540770008627</v>
      </c>
    </row>
    <row r="37" spans="2:14" x14ac:dyDescent="0.2">
      <c r="B37" t="s">
        <v>79</v>
      </c>
    </row>
    <row r="38" spans="2:14" x14ac:dyDescent="0.2">
      <c r="C38" t="s">
        <v>51</v>
      </c>
      <c r="D38" t="s">
        <v>52</v>
      </c>
      <c r="E38" t="s">
        <v>90</v>
      </c>
      <c r="G38" t="s">
        <v>92</v>
      </c>
      <c r="H38" t="s">
        <v>93</v>
      </c>
    </row>
    <row r="39" spans="2:14" x14ac:dyDescent="0.2">
      <c r="B39" t="s">
        <v>80</v>
      </c>
      <c r="C39" s="23">
        <v>2318.2516799999999</v>
      </c>
      <c r="D39" s="23">
        <v>127.13189</v>
      </c>
      <c r="E39" s="23">
        <v>18.653208899999999</v>
      </c>
      <c r="F39" s="4">
        <v>1</v>
      </c>
      <c r="G39" t="str">
        <f>"A"&amp;F39&amp;"="&amp;C39</f>
        <v>A1=2318.25168</v>
      </c>
      <c r="H39" t="str">
        <f>"B"&amp;F39&amp;"="&amp;D39</f>
        <v>B1=127.13189</v>
      </c>
    </row>
    <row r="40" spans="2:14" x14ac:dyDescent="0.2">
      <c r="B40" t="s">
        <v>81</v>
      </c>
      <c r="C40" s="23">
        <v>80.07002</v>
      </c>
      <c r="D40" s="23">
        <v>-11.173790500000001</v>
      </c>
      <c r="E40" s="23">
        <v>0.61032409399999998</v>
      </c>
      <c r="F40" s="4">
        <v>2</v>
      </c>
      <c r="G40" t="str">
        <f t="shared" ref="G40:G48" si="45">"A"&amp;F40&amp;"="&amp;C40</f>
        <v>A2=80.07002</v>
      </c>
      <c r="H40" t="str">
        <f t="shared" ref="H40:H48" si="46">"B"&amp;F40&amp;"="&amp;D40</f>
        <v>B2=-11.1737905</v>
      </c>
    </row>
    <row r="41" spans="2:14" x14ac:dyDescent="0.2">
      <c r="B41" t="s">
        <v>82</v>
      </c>
      <c r="C41" s="23">
        <v>-1.9683777200000001</v>
      </c>
      <c r="D41" s="23">
        <v>5.8476611500000004</v>
      </c>
      <c r="E41" s="23">
        <v>-4.9828475299999999E-3</v>
      </c>
      <c r="F41" s="4">
        <v>3</v>
      </c>
      <c r="G41" t="str">
        <f t="shared" si="45"/>
        <v>A3=-1.96837772</v>
      </c>
      <c r="H41" t="str">
        <f t="shared" si="46"/>
        <v>B3=5.84766115</v>
      </c>
    </row>
    <row r="42" spans="2:14" x14ac:dyDescent="0.2">
      <c r="B42" t="s">
        <v>83</v>
      </c>
      <c r="C42" s="23">
        <v>1.1283377999999999</v>
      </c>
      <c r="D42" s="23">
        <v>-0.27502462900000002</v>
      </c>
      <c r="E42" s="23">
        <v>8.9258038700000004E-3</v>
      </c>
      <c r="F42" s="4">
        <v>4</v>
      </c>
      <c r="G42" t="str">
        <f t="shared" si="45"/>
        <v>A4=1.1283378</v>
      </c>
      <c r="H42" t="str">
        <f t="shared" si="46"/>
        <v>B4=-0.275024629</v>
      </c>
    </row>
    <row r="43" spans="2:14" x14ac:dyDescent="0.2">
      <c r="B43" t="s">
        <v>84</v>
      </c>
      <c r="C43" s="23">
        <v>-0.42772684999999999</v>
      </c>
      <c r="D43" s="23">
        <v>0.284950973</v>
      </c>
      <c r="E43" s="23">
        <v>4.03328502E-4</v>
      </c>
      <c r="F43" s="4">
        <v>5</v>
      </c>
      <c r="G43" t="str">
        <f t="shared" si="45"/>
        <v>A5=-0.42772685</v>
      </c>
      <c r="H43" t="str">
        <f t="shared" si="46"/>
        <v>B5=0.284950973</v>
      </c>
    </row>
    <row r="44" spans="2:14" x14ac:dyDescent="0.2">
      <c r="B44" t="s">
        <v>85</v>
      </c>
      <c r="C44" s="23">
        <v>-0.31906190499999998</v>
      </c>
      <c r="D44" s="23">
        <v>7.4698554400000006E-2</v>
      </c>
      <c r="E44" s="23">
        <v>-3.0896617799999998E-5</v>
      </c>
      <c r="F44" s="4">
        <v>6</v>
      </c>
      <c r="G44" t="str">
        <f t="shared" si="45"/>
        <v>A6=-0.319061905</v>
      </c>
      <c r="H44" t="str">
        <f t="shared" si="46"/>
        <v>B6=0.0746985544</v>
      </c>
    </row>
    <row r="45" spans="2:14" x14ac:dyDescent="0.2">
      <c r="B45" t="s">
        <v>86</v>
      </c>
      <c r="C45" s="23">
        <v>7.13421614E-3</v>
      </c>
      <c r="D45" s="23">
        <v>-1.8397559000000001E-3</v>
      </c>
      <c r="E45" s="23">
        <v>1.0621455699999999E-4</v>
      </c>
      <c r="F45" s="4">
        <v>7</v>
      </c>
      <c r="G45" t="str">
        <f t="shared" si="45"/>
        <v>A7=0.00713421614</v>
      </c>
      <c r="H45" t="str">
        <f t="shared" si="46"/>
        <v>B7=-0.0018397559</v>
      </c>
    </row>
    <row r="46" spans="2:14" x14ac:dyDescent="0.2">
      <c r="B46" t="s">
        <v>87</v>
      </c>
      <c r="C46" s="23">
        <v>-9.02524964E-3</v>
      </c>
      <c r="D46" s="23">
        <v>2.5552030999999998E-3</v>
      </c>
      <c r="E46" s="23">
        <v>-7.3501827300000002E-6</v>
      </c>
      <c r="F46" s="4">
        <v>8</v>
      </c>
      <c r="G46" t="str">
        <f t="shared" si="45"/>
        <v>A8=-0.00902524964</v>
      </c>
      <c r="H46" t="str">
        <f t="shared" si="46"/>
        <v>B8=0.0025552031</v>
      </c>
    </row>
    <row r="47" spans="2:14" x14ac:dyDescent="0.2">
      <c r="B47" t="s">
        <v>88</v>
      </c>
      <c r="C47" s="23">
        <v>-1.9093547899999999E-3</v>
      </c>
      <c r="D47" s="23">
        <v>-1.1643633E-4</v>
      </c>
      <c r="E47" s="23">
        <v>-9.3556385899999994E-6</v>
      </c>
      <c r="F47" s="4">
        <v>9</v>
      </c>
      <c r="G47" t="str">
        <f t="shared" si="45"/>
        <v>A9=-0.00190935479</v>
      </c>
      <c r="H47" t="str">
        <f t="shared" si="46"/>
        <v>B9=-0.00011643633</v>
      </c>
    </row>
    <row r="48" spans="2:14" x14ac:dyDescent="0.2">
      <c r="B48" t="s">
        <v>89</v>
      </c>
      <c r="C48" s="23">
        <v>1.98196641E-3</v>
      </c>
      <c r="D48" s="23">
        <v>-5.2886818099999997E-4</v>
      </c>
      <c r="E48" s="23">
        <v>-1.9992547900000002E-6</v>
      </c>
      <c r="F48" s="4">
        <v>10</v>
      </c>
      <c r="G48" t="str">
        <f t="shared" si="45"/>
        <v>A10=0.00198196641</v>
      </c>
      <c r="H48" t="str">
        <f t="shared" si="46"/>
        <v>B10=-0.000528868181</v>
      </c>
    </row>
    <row r="50" spans="2:7" x14ac:dyDescent="0.2">
      <c r="B50" t="s">
        <v>94</v>
      </c>
    </row>
    <row r="51" spans="2:7" x14ac:dyDescent="0.2">
      <c r="B51" t="s">
        <v>95</v>
      </c>
      <c r="C51" s="3">
        <v>-10</v>
      </c>
      <c r="D51" s="3"/>
      <c r="E51" s="3">
        <f>C51</f>
        <v>-10</v>
      </c>
      <c r="F51" s="3" t="s">
        <v>101</v>
      </c>
      <c r="G51" s="3" cm="1">
        <f t="array" ref="G51">PropsSI("P","T",C51+273.15,"Q",1,"Propane")</f>
        <v>345279.94144990109</v>
      </c>
    </row>
    <row r="52" spans="2:7" x14ac:dyDescent="0.2">
      <c r="B52" t="s">
        <v>96</v>
      </c>
      <c r="C52" s="3">
        <v>30</v>
      </c>
      <c r="D52" s="3"/>
      <c r="E52" s="3">
        <f>C52</f>
        <v>30</v>
      </c>
      <c r="F52" s="3" t="s">
        <v>102</v>
      </c>
      <c r="G52" s="3" cm="1">
        <f t="array" ref="G52">PropsSI("P","T",C52+273.15,"Q",1,"Propane")</f>
        <v>1078995.2268894755</v>
      </c>
    </row>
    <row r="53" spans="2:7" x14ac:dyDescent="0.2">
      <c r="B53" t="s">
        <v>97</v>
      </c>
      <c r="C53" s="3">
        <f>C39+C40*C51+C41*C52+C42*C51^2+C43*C51*C52+C44*C52^2+C45*C51^3+C46*C51^2*C52+C47*C51*C52^2+C48*C52^3</f>
        <v>1448.9835900199998</v>
      </c>
      <c r="D53" s="3" t="s">
        <v>100</v>
      </c>
      <c r="E53" s="3">
        <f>(E39+E40*E51+E41*E52+E42*E51^2+E43*E51*E52+E44*E52^2+E45*E51^3+E46*E51^2*E52+E47*E51*E52^2+E48*E52^3)</f>
        <v>13.046213177270001</v>
      </c>
      <c r="F53" s="3" t="s">
        <v>104</v>
      </c>
      <c r="G53" s="3"/>
    </row>
    <row r="54" spans="2:7" x14ac:dyDescent="0.2">
      <c r="C54" s="3"/>
      <c r="D54" s="3"/>
      <c r="E54" s="3"/>
      <c r="F54" s="3"/>
      <c r="G54" s="3"/>
    </row>
    <row r="55" spans="2:7" x14ac:dyDescent="0.2">
      <c r="B55" t="s">
        <v>98</v>
      </c>
      <c r="C55" s="3" cm="1">
        <f t="array" ref="C55">PropsSI("H", "T", 35 + 273.15, "P", G51-1000, "Propane")</f>
        <v>640657.54019061173</v>
      </c>
      <c r="D55" s="3"/>
      <c r="E55" s="3"/>
      <c r="F55" s="3"/>
      <c r="G55" s="3"/>
    </row>
    <row r="56" spans="2:7" x14ac:dyDescent="0.2">
      <c r="B56" t="s">
        <v>99</v>
      </c>
      <c r="C56" s="3" cm="1">
        <f t="array" ref="C56">PropsSI("H", "T", C52 - 8.3 + 273.15, "P", G52, "Propane")</f>
        <v>256211.21397382522</v>
      </c>
      <c r="D56" s="3"/>
      <c r="E56" s="3"/>
      <c r="F56" s="3"/>
      <c r="G56" s="3"/>
    </row>
    <row r="57" spans="2:7" x14ac:dyDescent="0.2">
      <c r="C57" s="3"/>
      <c r="D57" s="3" t="s">
        <v>103</v>
      </c>
      <c r="E57" s="3">
        <f>C53*3600/(C55-C56)</f>
        <v>13.568450439894546</v>
      </c>
      <c r="F57" s="3" t="s">
        <v>104</v>
      </c>
      <c r="G57" s="3"/>
    </row>
    <row r="58" spans="2:7" x14ac:dyDescent="0.2">
      <c r="C58" s="3"/>
      <c r="D58" s="3"/>
      <c r="E58" s="3"/>
      <c r="F58" s="3"/>
      <c r="G58" s="3"/>
    </row>
    <row r="59" spans="2:7" x14ac:dyDescent="0.2">
      <c r="C59" s="3"/>
      <c r="D59" s="3"/>
      <c r="E59" s="3"/>
      <c r="F59" s="3"/>
      <c r="G59" s="3"/>
    </row>
    <row r="60" spans="2:7" x14ac:dyDescent="0.2">
      <c r="C6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E3BD-D409-4762-B4A1-12B71EF5EF11}">
  <sheetPr codeName="Blad1"/>
  <dimension ref="C6:C9"/>
  <sheetViews>
    <sheetView topLeftCell="A2" workbookViewId="0">
      <selection activeCell="C9" sqref="C9"/>
    </sheetView>
  </sheetViews>
  <sheetFormatPr baseColWidth="10" defaultColWidth="8.83203125" defaultRowHeight="16" x14ac:dyDescent="0.2"/>
  <sheetData>
    <row r="6" spans="3:3" x14ac:dyDescent="0.2">
      <c r="C6" s="16" t="s">
        <v>49</v>
      </c>
    </row>
    <row r="9" spans="3:3" x14ac:dyDescent="0.2">
      <c r="C9" s="16" t="s">
        <v>50</v>
      </c>
    </row>
  </sheetData>
  <hyperlinks>
    <hyperlink ref="C6" r:id="rId1" xr:uid="{72DB0B05-D959-4435-B335-7EE13230FC3C}"/>
    <hyperlink ref="C9" r:id="rId2" xr:uid="{704908CF-D9A2-408B-9B80-B5DCBD8354CE}"/>
  </hyperlinks>
  <pageMargins left="0.7" right="0.7" top="0.75" bottom="0.75" header="0.3" footer="0.3"/>
  <pageSetup paperSize="9" orientation="portrait" r:id="rId3"/>
  <headerFooter>
    <oddFooter>&amp;L&amp;1#&amp;"Calibri"&amp;8&amp;K000000Classified as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System calc</vt:lpstr>
      <vt:lpstr>Compressor polynomial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G. Granryd</dc:creator>
  <cp:keywords/>
  <dc:description/>
  <cp:lastModifiedBy>Sagar Zade</cp:lastModifiedBy>
  <cp:revision/>
  <dcterms:created xsi:type="dcterms:W3CDTF">2019-11-18T15:12:09Z</dcterms:created>
  <dcterms:modified xsi:type="dcterms:W3CDTF">2023-03-29T11:45:20Z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7eab6e-04c6-4822-9252-98ab9f25736b_Enabled">
    <vt:lpwstr>true</vt:lpwstr>
  </property>
  <property fmtid="{D5CDD505-2E9C-101B-9397-08002B2CF9AE}" pid="3" name="MSIP_Label_477eab6e-04c6-4822-9252-98ab9f25736b_SetDate">
    <vt:lpwstr>2023-03-13T08:32:57Z</vt:lpwstr>
  </property>
  <property fmtid="{D5CDD505-2E9C-101B-9397-08002B2CF9AE}" pid="4" name="MSIP_Label_477eab6e-04c6-4822-9252-98ab9f25736b_Method">
    <vt:lpwstr>Standard</vt:lpwstr>
  </property>
  <property fmtid="{D5CDD505-2E9C-101B-9397-08002B2CF9AE}" pid="5" name="MSIP_Label_477eab6e-04c6-4822-9252-98ab9f25736b_Name">
    <vt:lpwstr>477eab6e-04c6-4822-9252-98ab9f25736b</vt:lpwstr>
  </property>
  <property fmtid="{D5CDD505-2E9C-101B-9397-08002B2CF9AE}" pid="6" name="MSIP_Label_477eab6e-04c6-4822-9252-98ab9f25736b_SiteId">
    <vt:lpwstr>d2007bef-127d-4591-97ac-10d72fe28031</vt:lpwstr>
  </property>
  <property fmtid="{D5CDD505-2E9C-101B-9397-08002B2CF9AE}" pid="7" name="MSIP_Label_477eab6e-04c6-4822-9252-98ab9f25736b_ActionId">
    <vt:lpwstr>dc9d61e9-e32d-4840-bd5c-278ceddcf3b3</vt:lpwstr>
  </property>
  <property fmtid="{D5CDD505-2E9C-101B-9397-08002B2CF9AE}" pid="8" name="MSIP_Label_477eab6e-04c6-4822-9252-98ab9f25736b_ContentBits">
    <vt:lpwstr>2</vt:lpwstr>
  </property>
</Properties>
</file>