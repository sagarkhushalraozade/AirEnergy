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8" codeName="{6BE1CDB9-6C1C-A5B6-3FC1-E231EC3C600E}"/>
  <workbookPr saveExternalLinkValues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bc/Documents/Electrolux/AirEnergy/"/>
    </mc:Choice>
  </mc:AlternateContent>
  <xr:revisionPtr revIDLastSave="0" documentId="13_ncr:1_{79FE05B9-539D-564F-9828-26808FB6187E}" xr6:coauthVersionLast="45" xr6:coauthVersionMax="45" xr10:uidLastSave="{00000000-0000-0000-0000-000000000000}"/>
  <bookViews>
    <workbookView xWindow="1380" yWindow="460" windowWidth="24240" windowHeight="15540" tabRatio="878" xr2:uid="{00000000-000D-0000-FFFF-FFFF00000000}"/>
  </bookViews>
  <sheets>
    <sheet name="Compressor_curves" sheetId="91" r:id="rId1"/>
  </sheets>
  <functionGroups builtInGroupCount="19"/>
  <definedNames>
    <definedName name="_xlnm._FilterDatabase" localSheetId="0" hidden="1">Compressor_curves!$D$1001:$D$1997</definedName>
    <definedName name="Available_Softwares">#REF!</definedName>
    <definedName name="CabinetSelection">INDEX(#REF!,MATCH(#REF!,#REF!,0))</definedName>
    <definedName name="compressor_names">Compressor_curves!$BG$200:$BG$504</definedName>
    <definedName name="EboardSelection">INDEX(#REF!,MATCH(#REF!,#REF!,0))</definedName>
    <definedName name="_xlnm.Extract" localSheetId="0">Compressor_curves!$BE$200</definedName>
    <definedName name="Hz">Compressor_curves!$BD$200:$BD$201</definedName>
    <definedName name="manufacturer">Compressor_curves!$BB$200:$BB$209</definedName>
    <definedName name="One_comp_software">#REF!</definedName>
    <definedName name="solver_adj" localSheetId="0" hidden="1">Compressor_curves!$BB$5:$BK$5</definedName>
    <definedName name="solver_cvg" localSheetId="0" hidden="1">0.000001</definedName>
    <definedName name="solver_drv" localSheetId="0" hidden="1">2</definedName>
    <definedName name="solver_eng" localSheetId="0" hidden="1">1</definedName>
    <definedName name="solver_est" localSheetId="0" hidden="1">2</definedName>
    <definedName name="solver_itr" localSheetId="0" hidden="1">10000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Compressor_curves!$BC$20</definedName>
    <definedName name="solver_pre" localSheetId="0" hidden="1">0.0000001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1000</definedName>
    <definedName name="solver_tol" localSheetId="0" hidden="1">0.0000001</definedName>
    <definedName name="solver_typ" localSheetId="0" hidden="1">2</definedName>
    <definedName name="solver_val" localSheetId="0" hidden="1">0</definedName>
    <definedName name="solver_ver" localSheetId="0" hidden="1">2</definedName>
    <definedName name="System_Choice">#REF!</definedName>
    <definedName name="SystemSelection">INDEX(#REF!,MATCH(#REF!,#REF!,0))</definedName>
    <definedName name="volt">Compressor_curves!$BE$200:$BE$206</definedName>
    <definedName name="VSD_compressors">Compressor_curves!$BL$202:$BL$267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115" i="91" l="1"/>
  <c r="BL46" i="91" l="1"/>
  <c r="BM46" i="91" s="1"/>
  <c r="BN46" i="91" s="1"/>
  <c r="BO46" i="91" s="1"/>
  <c r="BP46" i="91" s="1"/>
  <c r="BQ46" i="91" s="1"/>
  <c r="BG46" i="91"/>
  <c r="BF46" i="91" s="1"/>
  <c r="BE46" i="91" s="1"/>
  <c r="BD46" i="91" s="1"/>
  <c r="BC46" i="91" s="1"/>
  <c r="BB46" i="91" s="1"/>
  <c r="H2032" i="91" l="1"/>
  <c r="H2026" i="91"/>
  <c r="H2022" i="91"/>
  <c r="BM8" i="91" l="1"/>
  <c r="AL2056" i="91" l="1"/>
  <c r="AK2056" i="91"/>
  <c r="AJ2056" i="91"/>
  <c r="AI2056" i="91"/>
  <c r="AH2056" i="91"/>
  <c r="AG2056" i="91"/>
  <c r="AF2056" i="91"/>
  <c r="AE2056" i="91"/>
  <c r="AD2056" i="91"/>
  <c r="AC2056" i="91"/>
  <c r="AB2056" i="91"/>
  <c r="AA2056" i="91"/>
  <c r="Z2056" i="91"/>
  <c r="Y2056" i="91"/>
  <c r="X2056" i="91"/>
  <c r="W2056" i="91"/>
  <c r="V2056" i="91"/>
  <c r="U2056" i="91"/>
  <c r="T2056" i="91"/>
  <c r="S2056" i="91"/>
  <c r="R2056" i="91"/>
  <c r="Q2056" i="91"/>
  <c r="P2056" i="91"/>
  <c r="O2056" i="91"/>
  <c r="N2056" i="91"/>
  <c r="M2056" i="91"/>
  <c r="L2056" i="91"/>
  <c r="K2056" i="91"/>
  <c r="J2056" i="91"/>
  <c r="I2056" i="91"/>
  <c r="AH2051" i="91"/>
  <c r="AG2051" i="91"/>
  <c r="AF2051" i="91"/>
  <c r="AE2051" i="91"/>
  <c r="AD2051" i="91"/>
  <c r="AC2051" i="91"/>
  <c r="AB2051" i="91"/>
  <c r="AA2051" i="91"/>
  <c r="Z2051" i="91"/>
  <c r="Y2051" i="91"/>
  <c r="X2051" i="91"/>
  <c r="W2051" i="91"/>
  <c r="V2051" i="91"/>
  <c r="U2051" i="91"/>
  <c r="T2051" i="91"/>
  <c r="S2051" i="91"/>
  <c r="R2051" i="91"/>
  <c r="Q2051" i="91"/>
  <c r="P2051" i="91"/>
  <c r="O2051" i="91"/>
  <c r="N2051" i="91"/>
  <c r="M2051" i="91"/>
  <c r="L2051" i="91"/>
  <c r="K2051" i="91"/>
  <c r="J2051" i="91"/>
  <c r="I2051" i="91"/>
  <c r="H2050" i="91"/>
  <c r="BD143" i="91" l="1"/>
  <c r="BE143" i="91"/>
  <c r="BF143" i="91"/>
  <c r="BG143" i="91"/>
  <c r="BH143" i="91"/>
  <c r="BI143" i="91"/>
  <c r="H2306" i="91" l="1"/>
  <c r="H2311" i="91" l="1"/>
  <c r="H990" i="91" l="1"/>
  <c r="H2236" i="91" l="1"/>
  <c r="BD133" i="91" l="1"/>
  <c r="BD121" i="91" s="1"/>
  <c r="BE133" i="91"/>
  <c r="BE121" i="91" s="1"/>
  <c r="BF133" i="91"/>
  <c r="BF121" i="91" s="1"/>
  <c r="BG133" i="91"/>
  <c r="BG121" i="91" s="1"/>
  <c r="BH133" i="91"/>
  <c r="BH121" i="91" s="1"/>
  <c r="BI133" i="91"/>
  <c r="BI121" i="91" s="1"/>
  <c r="CA15" i="91"/>
  <c r="BG128" i="91"/>
  <c r="BG132" i="91"/>
  <c r="BH127" i="91"/>
  <c r="BH128" i="91"/>
  <c r="BI132" i="91"/>
  <c r="BG131" i="91"/>
  <c r="BH129" i="91"/>
  <c r="BG129" i="91"/>
  <c r="BH131" i="91"/>
  <c r="BH130" i="91"/>
  <c r="BI127" i="91"/>
  <c r="BI129" i="91"/>
  <c r="BG130" i="91"/>
  <c r="BH132" i="91"/>
  <c r="BI130" i="91"/>
  <c r="BI131" i="91"/>
  <c r="BG127" i="91"/>
  <c r="BI128" i="91"/>
  <c r="H2338" i="91" l="1"/>
  <c r="H2334" i="91"/>
  <c r="H2329" i="91"/>
  <c r="H2324" i="91"/>
  <c r="H2319" i="91"/>
  <c r="H2314" i="91"/>
  <c r="H2302" i="91"/>
  <c r="H2297" i="91"/>
  <c r="H2292" i="91"/>
  <c r="H2287" i="91"/>
  <c r="H2278" i="91"/>
  <c r="H2269" i="91"/>
  <c r="H2260" i="91"/>
  <c r="H2255" i="91"/>
  <c r="H2250" i="91"/>
  <c r="H2245" i="91"/>
  <c r="H2240" i="91"/>
  <c r="H2233" i="91"/>
  <c r="H2224" i="91"/>
  <c r="H2219" i="91"/>
  <c r="H2214" i="91"/>
  <c r="H2209" i="91"/>
  <c r="H2204" i="91"/>
  <c r="H2199" i="91"/>
  <c r="H2194" i="91"/>
  <c r="H2189" i="91"/>
  <c r="H2184" i="91"/>
  <c r="H2180" i="91"/>
  <c r="H2174" i="91"/>
  <c r="H2168" i="91"/>
  <c r="H2162" i="91"/>
  <c r="H2156" i="91"/>
  <c r="H2150" i="91"/>
  <c r="H2144" i="91"/>
  <c r="H2138" i="91"/>
  <c r="H2135" i="91"/>
  <c r="H2132" i="91"/>
  <c r="H2129" i="91"/>
  <c r="H2123" i="91"/>
  <c r="H2119" i="91"/>
  <c r="H2115" i="91"/>
  <c r="H2110" i="91"/>
  <c r="H2103" i="91"/>
  <c r="H2096" i="91"/>
  <c r="H2089" i="91"/>
  <c r="H2082" i="91"/>
  <c r="H2076" i="91"/>
  <c r="H2070" i="91"/>
  <c r="H2064" i="91"/>
  <c r="H2057" i="91"/>
  <c r="H2046" i="91"/>
  <c r="H2018" i="91"/>
  <c r="H2014" i="91"/>
  <c r="H2007" i="91"/>
  <c r="H2000" i="91"/>
  <c r="H1230" i="91"/>
  <c r="H1229" i="91"/>
  <c r="H1228" i="91"/>
  <c r="H1227" i="91"/>
  <c r="H1226" i="91"/>
  <c r="H1225" i="91"/>
  <c r="H1224" i="91"/>
  <c r="H1223" i="91"/>
  <c r="H1222" i="91"/>
  <c r="H1221" i="91"/>
  <c r="H1220" i="91"/>
  <c r="H1219" i="91"/>
  <c r="H1218" i="91"/>
  <c r="H1217" i="91"/>
  <c r="H1216" i="91"/>
  <c r="H1215" i="91"/>
  <c r="H1214" i="91"/>
  <c r="H1213" i="91"/>
  <c r="H1212" i="91"/>
  <c r="H1211" i="91"/>
  <c r="H1210" i="91"/>
  <c r="H1209" i="91"/>
  <c r="H1208" i="91"/>
  <c r="H1207" i="91"/>
  <c r="H1206" i="91"/>
  <c r="H1205" i="91"/>
  <c r="H1204" i="91"/>
  <c r="H1203" i="91"/>
  <c r="H1202" i="91"/>
  <c r="H1201" i="91"/>
  <c r="H1200" i="91"/>
  <c r="H1199" i="91"/>
  <c r="H1198" i="91"/>
  <c r="H1197" i="91"/>
  <c r="H1196" i="91"/>
  <c r="H1195" i="91"/>
  <c r="H1194" i="91"/>
  <c r="H1193" i="91"/>
  <c r="H1192" i="91"/>
  <c r="H1191" i="91"/>
  <c r="H1190" i="91"/>
  <c r="H1189" i="91"/>
  <c r="H1188" i="91"/>
  <c r="H1187" i="91"/>
  <c r="H1186" i="91"/>
  <c r="H1185" i="91"/>
  <c r="H1184" i="91"/>
  <c r="H1183" i="91"/>
  <c r="H1182" i="91"/>
  <c r="H1181" i="91"/>
  <c r="H1180" i="91"/>
  <c r="H1179" i="91"/>
  <c r="H1178" i="91"/>
  <c r="H1177" i="91"/>
  <c r="H1176" i="91"/>
  <c r="H1175" i="91"/>
  <c r="H1174" i="91"/>
  <c r="H1173" i="91"/>
  <c r="H1172" i="91"/>
  <c r="H1171" i="91"/>
  <c r="H1170" i="91"/>
  <c r="H1169" i="91"/>
  <c r="H1168" i="91"/>
  <c r="H1167" i="91"/>
  <c r="H1166" i="91"/>
  <c r="H1165" i="91"/>
  <c r="H1164" i="91"/>
  <c r="H1163" i="91"/>
  <c r="H1162" i="91"/>
  <c r="H1161" i="91"/>
  <c r="H1160" i="91"/>
  <c r="H1159" i="91"/>
  <c r="H1158" i="91"/>
  <c r="H1157" i="91"/>
  <c r="H1156" i="91"/>
  <c r="H1155" i="91"/>
  <c r="H1154" i="91"/>
  <c r="H1153" i="91"/>
  <c r="H1152" i="91"/>
  <c r="H1151" i="91"/>
  <c r="H1150" i="91"/>
  <c r="H1149" i="91"/>
  <c r="H1148" i="91"/>
  <c r="H1147" i="91"/>
  <c r="H1146" i="91"/>
  <c r="H1145" i="91"/>
  <c r="H1144" i="91"/>
  <c r="H1143" i="91"/>
  <c r="H1142" i="91"/>
  <c r="H1141" i="91"/>
  <c r="H1140" i="91"/>
  <c r="H1139" i="91"/>
  <c r="H1138" i="91"/>
  <c r="H1137" i="91"/>
  <c r="H1136" i="91"/>
  <c r="H1135" i="91"/>
  <c r="H1134" i="91"/>
  <c r="H1133" i="91"/>
  <c r="H1132" i="91"/>
  <c r="H1131" i="91"/>
  <c r="H1130" i="91"/>
  <c r="H1129" i="91"/>
  <c r="H1128" i="91"/>
  <c r="H1127" i="91"/>
  <c r="H1126" i="91"/>
  <c r="H1125" i="91"/>
  <c r="H1124" i="91"/>
  <c r="H1123" i="91"/>
  <c r="H1122" i="91"/>
  <c r="H1121" i="91"/>
  <c r="H1120" i="91"/>
  <c r="H1119" i="91"/>
  <c r="H1118" i="91"/>
  <c r="H1117" i="91"/>
  <c r="H1116" i="91"/>
  <c r="H1115" i="91"/>
  <c r="H1114" i="91"/>
  <c r="H1113" i="91"/>
  <c r="H1112" i="91"/>
  <c r="H1111" i="91"/>
  <c r="H1110" i="91"/>
  <c r="H1109" i="91"/>
  <c r="H1108" i="91"/>
  <c r="H1107" i="91"/>
  <c r="H1106" i="91"/>
  <c r="H1105" i="91"/>
  <c r="H1104" i="91"/>
  <c r="H1103" i="91"/>
  <c r="H1102" i="91"/>
  <c r="H1101" i="91"/>
  <c r="H1100" i="91"/>
  <c r="H1099" i="91"/>
  <c r="H1098" i="91"/>
  <c r="H1097" i="91"/>
  <c r="H1096" i="91"/>
  <c r="H1095" i="91"/>
  <c r="H1094" i="91"/>
  <c r="H1093" i="91"/>
  <c r="H1092" i="91"/>
  <c r="H1091" i="91"/>
  <c r="H1090" i="91"/>
  <c r="H1089" i="91"/>
  <c r="H1088" i="91"/>
  <c r="H1087" i="91"/>
  <c r="H1086" i="91"/>
  <c r="H1085" i="91"/>
  <c r="H1084" i="91"/>
  <c r="H1083" i="91"/>
  <c r="H1082" i="91"/>
  <c r="H1081" i="91"/>
  <c r="H1080" i="91"/>
  <c r="H1079" i="91"/>
  <c r="H1078" i="91"/>
  <c r="H1077" i="91"/>
  <c r="H1076" i="91"/>
  <c r="H1075" i="91"/>
  <c r="H1074" i="91"/>
  <c r="H1073" i="91"/>
  <c r="H1072" i="91"/>
  <c r="H1071" i="91"/>
  <c r="H1069" i="91"/>
  <c r="H1068" i="91"/>
  <c r="H1067" i="91"/>
  <c r="H1066" i="91"/>
  <c r="H1065" i="91"/>
  <c r="H1064" i="91"/>
  <c r="H1063" i="91"/>
  <c r="H1062" i="91"/>
  <c r="H1061" i="91"/>
  <c r="H1060" i="91"/>
  <c r="H1059" i="91"/>
  <c r="H1058" i="91"/>
  <c r="H1057" i="91"/>
  <c r="H1056" i="91"/>
  <c r="H1055" i="91"/>
  <c r="H1054" i="91"/>
  <c r="H1053" i="91"/>
  <c r="H1052" i="91"/>
  <c r="H1051" i="91"/>
  <c r="H1050" i="91"/>
  <c r="H1049" i="91"/>
  <c r="H1048" i="91"/>
  <c r="H1047" i="91"/>
  <c r="H1044" i="91"/>
  <c r="H1043" i="91"/>
  <c r="H1042" i="91"/>
  <c r="H1041" i="91"/>
  <c r="H1039" i="91"/>
  <c r="H1038" i="91"/>
  <c r="H1037" i="91"/>
  <c r="H1036" i="91"/>
  <c r="H1035" i="91"/>
  <c r="H1034" i="91"/>
  <c r="H1033" i="91"/>
  <c r="H1032" i="91"/>
  <c r="H1031" i="91"/>
  <c r="H1030" i="91"/>
  <c r="H1029" i="91"/>
  <c r="H1028" i="91"/>
  <c r="H1027" i="91"/>
  <c r="H1026" i="91"/>
  <c r="H1025" i="91"/>
  <c r="H1024" i="91"/>
  <c r="H1023" i="91"/>
  <c r="H1022" i="91"/>
  <c r="H1021" i="91"/>
  <c r="H1020" i="91"/>
  <c r="H1019" i="91"/>
  <c r="H1018" i="91"/>
  <c r="H1017" i="91"/>
  <c r="H1016" i="91"/>
  <c r="H1015" i="91"/>
  <c r="H1014" i="91"/>
  <c r="H1013" i="91"/>
  <c r="H1012" i="91"/>
  <c r="H1011" i="91"/>
  <c r="H1010" i="91"/>
  <c r="H1009" i="91"/>
  <c r="H1008" i="91"/>
  <c r="H1007" i="91"/>
  <c r="H1006" i="91"/>
  <c r="H1005" i="91"/>
  <c r="H1004" i="91"/>
  <c r="H1003" i="91"/>
  <c r="H1002" i="91"/>
  <c r="H1001" i="91"/>
  <c r="H1000" i="91"/>
  <c r="BR143" i="91"/>
  <c r="BQ143" i="91"/>
  <c r="BP143" i="91"/>
  <c r="BO143" i="91"/>
  <c r="BN143" i="91"/>
  <c r="BM143" i="91"/>
  <c r="BL143" i="91"/>
  <c r="BC143" i="91"/>
  <c r="BL142" i="91"/>
  <c r="BC142" i="91"/>
  <c r="BL141" i="91"/>
  <c r="BC141" i="91"/>
  <c r="BL140" i="91"/>
  <c r="BC140" i="91"/>
  <c r="BL139" i="91"/>
  <c r="BC139" i="91"/>
  <c r="BL138" i="91"/>
  <c r="BC138" i="91"/>
  <c r="BL137" i="91"/>
  <c r="BC137" i="91"/>
  <c r="BR136" i="91"/>
  <c r="BQ136" i="91"/>
  <c r="BP136" i="91"/>
  <c r="BO136" i="91"/>
  <c r="BN136" i="91"/>
  <c r="BM136" i="91"/>
  <c r="BI136" i="91"/>
  <c r="BH136" i="91"/>
  <c r="BG136" i="91"/>
  <c r="BF136" i="91"/>
  <c r="BE136" i="91"/>
  <c r="BD136" i="91"/>
  <c r="BC133" i="91"/>
  <c r="BC132" i="91"/>
  <c r="BC131" i="91"/>
  <c r="BC130" i="91"/>
  <c r="BC129" i="91"/>
  <c r="BC128" i="91"/>
  <c r="BC127" i="91"/>
  <c r="BI126" i="91"/>
  <c r="BH126" i="91"/>
  <c r="BG126" i="91"/>
  <c r="BF126" i="91"/>
  <c r="BE126" i="91"/>
  <c r="BD126" i="91"/>
  <c r="BW30" i="91"/>
  <c r="BW29" i="91"/>
  <c r="BW28" i="91"/>
  <c r="BV24" i="91"/>
  <c r="BU22" i="91"/>
  <c r="BU25" i="91" s="1"/>
  <c r="BU21" i="91"/>
  <c r="BX18" i="91"/>
  <c r="BZ15" i="91"/>
  <c r="BY15" i="91"/>
  <c r="BX15" i="91"/>
  <c r="BW15" i="91"/>
  <c r="BV15" i="91"/>
  <c r="BU15" i="91"/>
  <c r="BR121" i="91"/>
  <c r="BQ121" i="91"/>
  <c r="BP121" i="91"/>
  <c r="BO121" i="91"/>
  <c r="BN121" i="91"/>
  <c r="BM121" i="91"/>
  <c r="BL121" i="91"/>
  <c r="BC121" i="91"/>
  <c r="BU14" i="91"/>
  <c r="BL120" i="91"/>
  <c r="BC120" i="91"/>
  <c r="BU13" i="91"/>
  <c r="BL119" i="91"/>
  <c r="BC119" i="91"/>
  <c r="BU12" i="91"/>
  <c r="BL118" i="91"/>
  <c r="BC118" i="91"/>
  <c r="BU11" i="91"/>
  <c r="BL117" i="91"/>
  <c r="BC117" i="91"/>
  <c r="BU10" i="91"/>
  <c r="BL116" i="91"/>
  <c r="BC116" i="91"/>
  <c r="BU9" i="91"/>
  <c r="BL115" i="91"/>
  <c r="BC115" i="91"/>
  <c r="CA8" i="91"/>
  <c r="BZ8" i="91"/>
  <c r="BY8" i="91"/>
  <c r="BX8" i="91"/>
  <c r="BW8" i="91"/>
  <c r="BV8" i="91"/>
  <c r="BR114" i="91"/>
  <c r="BQ114" i="91"/>
  <c r="BP114" i="91"/>
  <c r="BO114" i="91"/>
  <c r="BN114" i="91"/>
  <c r="BM114" i="91"/>
  <c r="BI114" i="91"/>
  <c r="BH114" i="91"/>
  <c r="BG114" i="91"/>
  <c r="BF114" i="91"/>
  <c r="BE114" i="91"/>
  <c r="BD114" i="91"/>
  <c r="BR112" i="91"/>
  <c r="BQ112" i="91"/>
  <c r="BP112" i="91"/>
  <c r="BO112" i="91"/>
  <c r="BN112" i="91"/>
  <c r="BM112" i="91"/>
  <c r="BL112" i="91"/>
  <c r="BI112" i="91"/>
  <c r="BH112" i="91"/>
  <c r="BG112" i="91"/>
  <c r="BF112" i="91"/>
  <c r="BE112" i="91"/>
  <c r="BD112" i="91"/>
  <c r="BC112" i="91"/>
  <c r="BP111" i="91"/>
  <c r="BP120" i="91" s="1"/>
  <c r="BL111" i="91"/>
  <c r="BG111" i="91"/>
  <c r="BG142" i="91" s="1"/>
  <c r="BC111" i="91"/>
  <c r="BP110" i="91"/>
  <c r="BP141" i="91" s="1"/>
  <c r="BL110" i="91"/>
  <c r="BG110" i="91"/>
  <c r="BG141" i="91" s="1"/>
  <c r="BC110" i="91"/>
  <c r="BP109" i="91"/>
  <c r="BP140" i="91" s="1"/>
  <c r="BL109" i="91"/>
  <c r="BG109" i="91"/>
  <c r="BG140" i="91" s="1"/>
  <c r="BC109" i="91"/>
  <c r="BI109" i="91" s="1"/>
  <c r="BI140" i="91" s="1"/>
  <c r="BP108" i="91"/>
  <c r="BL108" i="91"/>
  <c r="BG108" i="91"/>
  <c r="BG139" i="91" s="1"/>
  <c r="BC108" i="91"/>
  <c r="BP107" i="91"/>
  <c r="BP116" i="91" s="1"/>
  <c r="BL107" i="91"/>
  <c r="BG107" i="91"/>
  <c r="BG138" i="91" s="1"/>
  <c r="BC107" i="91"/>
  <c r="BP106" i="91"/>
  <c r="BP137" i="91" s="1"/>
  <c r="BL106" i="91"/>
  <c r="BG106" i="91"/>
  <c r="BG137" i="91" s="1"/>
  <c r="BC106" i="91"/>
  <c r="BR105" i="91"/>
  <c r="BQ105" i="91"/>
  <c r="BP105" i="91"/>
  <c r="BO105" i="91"/>
  <c r="BN105" i="91"/>
  <c r="BM105" i="91"/>
  <c r="BI105" i="91"/>
  <c r="BH105" i="91"/>
  <c r="BG105" i="91"/>
  <c r="BF105" i="91"/>
  <c r="BE105" i="91"/>
  <c r="BD105" i="91"/>
  <c r="BL15" i="91"/>
  <c r="BL14" i="91"/>
  <c r="BL13" i="91"/>
  <c r="BL12" i="91"/>
  <c r="BL11" i="91"/>
  <c r="BL10" i="91"/>
  <c r="BL9" i="91"/>
  <c r="BR8" i="91"/>
  <c r="BQ8" i="91"/>
  <c r="BP8" i="91"/>
  <c r="BO8" i="91"/>
  <c r="BN8" i="91"/>
  <c r="BD132" i="91"/>
  <c r="BD131" i="91"/>
  <c r="BD130" i="91"/>
  <c r="BD129" i="91"/>
  <c r="BD128" i="91"/>
  <c r="BD127" i="91"/>
  <c r="BF128" i="91"/>
  <c r="BF129" i="91"/>
  <c r="BF127" i="91"/>
  <c r="BF131" i="91"/>
  <c r="BF132" i="91"/>
  <c r="BF130" i="91"/>
  <c r="BE128" i="91"/>
  <c r="BE127" i="91"/>
  <c r="BE131" i="91"/>
  <c r="BE130" i="91"/>
  <c r="BE132" i="91"/>
  <c r="BE129" i="91"/>
  <c r="BY11" i="91" l="1"/>
  <c r="BY13" i="91"/>
  <c r="BY9" i="91"/>
  <c r="BP117" i="91"/>
  <c r="BP139" i="91"/>
  <c r="BY14" i="91"/>
  <c r="BP138" i="91"/>
  <c r="BP142" i="91"/>
  <c r="BY10" i="91"/>
  <c r="BP118" i="91"/>
  <c r="BP115" i="91"/>
  <c r="BP119" i="91"/>
  <c r="BY12" i="91"/>
  <c r="BG119" i="91"/>
  <c r="BG117" i="91"/>
  <c r="BG116" i="91"/>
  <c r="BG118" i="91"/>
  <c r="BG120" i="91"/>
  <c r="BG115" i="91"/>
  <c r="BN109" i="91"/>
  <c r="BN118" i="91" s="1"/>
  <c r="BE110" i="91"/>
  <c r="BE141" i="91" s="1"/>
  <c r="BD110" i="91"/>
  <c r="BD141" i="91" s="1"/>
  <c r="BN110" i="91"/>
  <c r="BN119" i="91" s="1"/>
  <c r="BM110" i="91"/>
  <c r="BM141" i="91" s="1"/>
  <c r="BE111" i="91"/>
  <c r="BE142" i="91" s="1"/>
  <c r="BD111" i="91"/>
  <c r="BD142" i="91" s="1"/>
  <c r="BN111" i="91"/>
  <c r="BN142" i="91" s="1"/>
  <c r="BM111" i="91"/>
  <c r="BM142" i="91" s="1"/>
  <c r="BD109" i="91"/>
  <c r="BD140" i="91" s="1"/>
  <c r="BM109" i="91"/>
  <c r="BM140" i="91" s="1"/>
  <c r="BE109" i="91"/>
  <c r="BE140" i="91" s="1"/>
  <c r="BE107" i="91"/>
  <c r="BN107" i="91"/>
  <c r="BD106" i="91"/>
  <c r="BD108" i="91"/>
  <c r="BN106" i="91"/>
  <c r="BN115" i="91" s="1"/>
  <c r="BN108" i="91"/>
  <c r="BN117" i="91" s="1"/>
  <c r="BD107" i="91"/>
  <c r="BD138" i="91" s="1"/>
  <c r="BE106" i="91"/>
  <c r="BE108" i="91"/>
  <c r="BE139" i="91" s="1"/>
  <c r="BM106" i="91"/>
  <c r="BM107" i="91"/>
  <c r="BM108" i="91"/>
  <c r="BR107" i="91"/>
  <c r="BR116" i="91" s="1"/>
  <c r="BH111" i="91"/>
  <c r="BH142" i="91" s="1"/>
  <c r="BI108" i="91"/>
  <c r="BI106" i="91"/>
  <c r="BF106" i="91"/>
  <c r="BF137" i="91" s="1"/>
  <c r="BI110" i="91"/>
  <c r="BI141" i="91" s="1"/>
  <c r="BQ110" i="91"/>
  <c r="BQ141" i="91" s="1"/>
  <c r="BI118" i="91"/>
  <c r="BI111" i="91"/>
  <c r="BF110" i="91"/>
  <c r="BF141" i="91" s="1"/>
  <c r="BR111" i="91"/>
  <c r="BU24" i="91"/>
  <c r="BX21" i="91"/>
  <c r="BR110" i="91"/>
  <c r="BR108" i="91"/>
  <c r="BQ108" i="91"/>
  <c r="BO108" i="91"/>
  <c r="BO139" i="91" s="1"/>
  <c r="BR106" i="91"/>
  <c r="BI107" i="91"/>
  <c r="BI138" i="91" s="1"/>
  <c r="BF107" i="91"/>
  <c r="BH107" i="91"/>
  <c r="BO106" i="91"/>
  <c r="BO107" i="91"/>
  <c r="BO110" i="91"/>
  <c r="BO111" i="91"/>
  <c r="BQ106" i="91"/>
  <c r="BQ107" i="91"/>
  <c r="BR109" i="91"/>
  <c r="CA12" i="91" s="1"/>
  <c r="BQ109" i="91"/>
  <c r="BO109" i="91"/>
  <c r="BH106" i="91"/>
  <c r="BH108" i="91"/>
  <c r="BQ111" i="91"/>
  <c r="BH109" i="91"/>
  <c r="BF109" i="91"/>
  <c r="BF111" i="91"/>
  <c r="BF108" i="91"/>
  <c r="BH110" i="91"/>
  <c r="BM119" i="91" l="1"/>
  <c r="BN141" i="91"/>
  <c r="BM120" i="91"/>
  <c r="BV9" i="91"/>
  <c r="BI142" i="91"/>
  <c r="CA14" i="91"/>
  <c r="BD119" i="91"/>
  <c r="BR138" i="91"/>
  <c r="BV14" i="91"/>
  <c r="BV13" i="91"/>
  <c r="BN140" i="91"/>
  <c r="BE120" i="91"/>
  <c r="BD120" i="91"/>
  <c r="BW13" i="91"/>
  <c r="BH118" i="91"/>
  <c r="BH140" i="91"/>
  <c r="BH119" i="91"/>
  <c r="BH141" i="91"/>
  <c r="BI117" i="91"/>
  <c r="BI139" i="91"/>
  <c r="BH116" i="91"/>
  <c r="BH138" i="91"/>
  <c r="BE119" i="91"/>
  <c r="BH117" i="91"/>
  <c r="BH139" i="91"/>
  <c r="BH115" i="91"/>
  <c r="BH137" i="91"/>
  <c r="BI115" i="91"/>
  <c r="BI137" i="91"/>
  <c r="BW14" i="91"/>
  <c r="BN120" i="91"/>
  <c r="BM118" i="91"/>
  <c r="BE118" i="91"/>
  <c r="BD118" i="91"/>
  <c r="BV12" i="91"/>
  <c r="BW12" i="91"/>
  <c r="BF120" i="91"/>
  <c r="BF142" i="91"/>
  <c r="BF118" i="91"/>
  <c r="BF140" i="91"/>
  <c r="BF117" i="91"/>
  <c r="BF139" i="91"/>
  <c r="BF116" i="91"/>
  <c r="BF138" i="91"/>
  <c r="BE115" i="91"/>
  <c r="BE137" i="91"/>
  <c r="BE116" i="91"/>
  <c r="BE138" i="91"/>
  <c r="BD134" i="91"/>
  <c r="BD137" i="91"/>
  <c r="BD117" i="91"/>
  <c r="BD139" i="91"/>
  <c r="BW10" i="91"/>
  <c r="BN116" i="91"/>
  <c r="BN138" i="91"/>
  <c r="BW9" i="91"/>
  <c r="BN139" i="91"/>
  <c r="BN137" i="91"/>
  <c r="BV11" i="91"/>
  <c r="BM117" i="91"/>
  <c r="BM139" i="91"/>
  <c r="BM138" i="91"/>
  <c r="BM116" i="91"/>
  <c r="BM137" i="91"/>
  <c r="BM115" i="91"/>
  <c r="BD116" i="91"/>
  <c r="BV10" i="91"/>
  <c r="BE117" i="91"/>
  <c r="BW11" i="91"/>
  <c r="BO117" i="91"/>
  <c r="BH120" i="91"/>
  <c r="CA9" i="91"/>
  <c r="CA13" i="91"/>
  <c r="BQ119" i="91"/>
  <c r="CA11" i="91"/>
  <c r="BI119" i="91"/>
  <c r="BX9" i="91"/>
  <c r="BF115" i="91"/>
  <c r="CA10" i="91"/>
  <c r="BI116" i="91"/>
  <c r="BF119" i="91"/>
  <c r="BI120" i="91"/>
  <c r="BR117" i="91"/>
  <c r="BR139" i="91"/>
  <c r="BR115" i="91"/>
  <c r="BR137" i="91"/>
  <c r="BR120" i="91"/>
  <c r="BR142" i="91"/>
  <c r="BQ139" i="91"/>
  <c r="BQ117" i="91"/>
  <c r="BR141" i="91"/>
  <c r="BR119" i="91"/>
  <c r="BX14" i="91"/>
  <c r="BQ115" i="91"/>
  <c r="BQ137" i="91"/>
  <c r="BO119" i="91"/>
  <c r="BO141" i="91"/>
  <c r="BQ138" i="91"/>
  <c r="BQ116" i="91"/>
  <c r="BO142" i="91"/>
  <c r="BO120" i="91"/>
  <c r="BQ120" i="91"/>
  <c r="BQ142" i="91"/>
  <c r="BZ11" i="91"/>
  <c r="BO138" i="91"/>
  <c r="BO116" i="91"/>
  <c r="BR118" i="91"/>
  <c r="BR140" i="91"/>
  <c r="BX12" i="91"/>
  <c r="BZ9" i="91"/>
  <c r="BX13" i="91"/>
  <c r="BO137" i="91"/>
  <c r="BO115" i="91"/>
  <c r="BZ13" i="91"/>
  <c r="BZ12" i="91"/>
  <c r="BZ14" i="91"/>
  <c r="BO118" i="91"/>
  <c r="BO140" i="91"/>
  <c r="BZ10" i="91"/>
  <c r="BX11" i="91"/>
  <c r="BQ140" i="91"/>
  <c r="BQ118" i="91"/>
  <c r="BX10" i="91"/>
  <c r="BC20" i="91" l="1"/>
  <c r="BC23" i="91"/>
  <c r="BC19" i="91"/>
  <c r="BC21" i="91"/>
  <c r="BC24" i="91"/>
  <c r="BL24" i="91"/>
  <c r="BL20" i="91"/>
  <c r="BL19" i="91"/>
  <c r="BL23" i="91"/>
  <c r="BL21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AB9RF2</author>
    <author>Michel Vinícius Werkhäuser</author>
    <author>Henrique Goetten</author>
  </authors>
  <commentList>
    <comment ref="BG1" authorId="0" shapeId="0" xr:uid="{00000000-0006-0000-0000-000001000000}">
      <text>
        <r>
          <rPr>
            <sz val="8"/>
            <color indexed="81"/>
            <rFont val="Tahoma"/>
            <family val="2"/>
          </rPr>
          <t>For model name, only enter the series name and code,: For instance: VEMX5C, or HKK95AA+RC</t>
        </r>
      </text>
    </comment>
    <comment ref="BH1" authorId="0" shapeId="0" xr:uid="{00000000-0006-0000-0000-000002000000}">
      <text>
        <r>
          <rPr>
            <sz val="8"/>
            <color indexed="81"/>
            <rFont val="Tahoma"/>
            <family val="2"/>
          </rPr>
          <t>Only to be used if variable speed</t>
        </r>
      </text>
    </comment>
    <comment ref="BJ1" authorId="0" shapeId="0" xr:uid="{00000000-0006-0000-0000-000003000000}">
      <text>
        <r>
          <rPr>
            <sz val="8"/>
            <color indexed="81"/>
            <rFont val="Tahoma"/>
            <family val="2"/>
          </rPr>
          <t>Enter your name.</t>
        </r>
      </text>
    </comment>
    <comment ref="BL1" authorId="0" shapeId="0" xr:uid="{00000000-0006-0000-0000-000004000000}">
      <text>
        <r>
          <rPr>
            <sz val="8"/>
            <color indexed="81"/>
            <rFont val="Tahoma"/>
            <family val="2"/>
          </rPr>
          <t>Enter minimum evaporation temperature used when making compressor polynomial</t>
        </r>
      </text>
    </comment>
    <comment ref="BM1" authorId="0" shapeId="0" xr:uid="{00000000-0006-0000-0000-000005000000}">
      <text>
        <r>
          <rPr>
            <sz val="8"/>
            <color indexed="81"/>
            <rFont val="Tahoma"/>
            <family val="2"/>
          </rPr>
          <t>Enter maximum evaporation temperature used when making compressor polynomial</t>
        </r>
      </text>
    </comment>
    <comment ref="BN1" authorId="0" shapeId="0" xr:uid="{00000000-0006-0000-0000-000006000000}">
      <text>
        <r>
          <rPr>
            <sz val="8"/>
            <color indexed="81"/>
            <rFont val="Tahoma"/>
            <family val="2"/>
          </rPr>
          <t>Enter minimum condensation temperature used when making compressor polynomial</t>
        </r>
      </text>
    </comment>
    <comment ref="BO1" authorId="0" shapeId="0" xr:uid="{00000000-0006-0000-0000-000007000000}">
      <text>
        <r>
          <rPr>
            <sz val="8"/>
            <color indexed="81"/>
            <rFont val="Tahoma"/>
            <family val="2"/>
          </rPr>
          <t>Enter maximum condensing temperature used when making compressor polynomial</t>
        </r>
      </text>
    </comment>
    <comment ref="AC1186" authorId="1" shapeId="0" xr:uid="{00000000-0006-0000-0000-000008000000}">
      <text>
        <r>
          <rPr>
            <b/>
            <sz val="8"/>
            <color indexed="81"/>
            <rFont val="Tahoma"/>
            <family val="2"/>
          </rPr>
          <t>Michel Vinícius Werkhäuser:</t>
        </r>
        <r>
          <rPr>
            <sz val="8"/>
            <color indexed="81"/>
            <rFont val="Tahoma"/>
            <family val="2"/>
          </rPr>
          <t xml:space="preserve">
High value due to declared check-point value</t>
        </r>
      </text>
    </comment>
    <comment ref="AC1189" authorId="1" shapeId="0" xr:uid="{00000000-0006-0000-0000-000009000000}">
      <text>
        <r>
          <rPr>
            <b/>
            <sz val="8"/>
            <color indexed="81"/>
            <rFont val="Tahoma"/>
            <family val="2"/>
          </rPr>
          <t>Michel Vinícius Werkhäuser:</t>
        </r>
        <r>
          <rPr>
            <sz val="8"/>
            <color indexed="81"/>
            <rFont val="Tahoma"/>
            <family val="2"/>
          </rPr>
          <t xml:space="preserve">
High value due to declared check-point value</t>
        </r>
      </text>
    </comment>
    <comment ref="AC1190" authorId="1" shapeId="0" xr:uid="{00000000-0006-0000-0000-00000A000000}">
      <text>
        <r>
          <rPr>
            <b/>
            <sz val="8"/>
            <color indexed="81"/>
            <rFont val="Tahoma"/>
            <family val="2"/>
          </rPr>
          <t>Michel Vinícius Werkhäuser:</t>
        </r>
        <r>
          <rPr>
            <sz val="8"/>
            <color indexed="81"/>
            <rFont val="Tahoma"/>
            <family val="2"/>
          </rPr>
          <t xml:space="preserve">
High value due to declared check-point value</t>
        </r>
      </text>
    </comment>
    <comment ref="A2129" authorId="2" shapeId="0" xr:uid="{00000000-0006-0000-0000-00000B000000}">
      <text>
        <r>
          <rPr>
            <b/>
            <sz val="8"/>
            <color indexed="81"/>
            <rFont val="Tahoma"/>
            <family val="2"/>
          </rPr>
          <t>Henrique Goetten:</t>
        </r>
        <r>
          <rPr>
            <sz val="8"/>
            <color indexed="81"/>
            <rFont val="Tahoma"/>
            <family val="2"/>
          </rPr>
          <t xml:space="preserve">
To confirm</t>
        </r>
      </text>
    </comment>
    <comment ref="A2132" authorId="2" shapeId="0" xr:uid="{00000000-0006-0000-0000-00000C000000}">
      <text>
        <r>
          <rPr>
            <b/>
            <sz val="8"/>
            <color indexed="81"/>
            <rFont val="Tahoma"/>
            <family val="2"/>
          </rPr>
          <t>Henrique Goetten:</t>
        </r>
        <r>
          <rPr>
            <sz val="8"/>
            <color indexed="81"/>
            <rFont val="Tahoma"/>
            <family val="2"/>
          </rPr>
          <t xml:space="preserve">
To confirm</t>
        </r>
      </text>
    </comment>
    <comment ref="A2135" authorId="2" shapeId="0" xr:uid="{00000000-0006-0000-0000-00000D000000}">
      <text>
        <r>
          <rPr>
            <b/>
            <sz val="8"/>
            <color indexed="81"/>
            <rFont val="Tahoma"/>
            <family val="2"/>
          </rPr>
          <t>Henrique Goetten:</t>
        </r>
        <r>
          <rPr>
            <sz val="8"/>
            <color indexed="81"/>
            <rFont val="Tahoma"/>
            <family val="2"/>
          </rPr>
          <t xml:space="preserve">
To confirm</t>
        </r>
      </text>
    </comment>
    <comment ref="A2224" authorId="2" shapeId="0" xr:uid="{00000000-0006-0000-0000-00000E000000}">
      <text>
        <r>
          <rPr>
            <b/>
            <sz val="8"/>
            <color indexed="81"/>
            <rFont val="Tahoma"/>
            <family val="2"/>
          </rPr>
          <t>Henrique Goetten:</t>
        </r>
        <r>
          <rPr>
            <sz val="8"/>
            <color indexed="81"/>
            <rFont val="Tahoma"/>
            <family val="2"/>
          </rPr>
          <t xml:space="preserve">
Data from Jiaxipera 
Waiting New Data From Mirko to confirm</t>
        </r>
      </text>
    </comment>
    <comment ref="AC2304" authorId="1" shapeId="0" xr:uid="{00000000-0006-0000-0000-00000F000000}">
      <text>
        <r>
          <rPr>
            <b/>
            <sz val="8"/>
            <color indexed="81"/>
            <rFont val="Tahoma"/>
            <family val="2"/>
          </rPr>
          <t>Michel Vinícius Werkhäuser:</t>
        </r>
        <r>
          <rPr>
            <sz val="8"/>
            <color indexed="81"/>
            <rFont val="Tahoma"/>
            <family val="2"/>
          </rPr>
          <t xml:space="preserve">
High value due to declared check-point value</t>
        </r>
      </text>
    </comment>
  </commentList>
</comments>
</file>

<file path=xl/sharedStrings.xml><?xml version="1.0" encoding="utf-8"?>
<sst xmlns="http://schemas.openxmlformats.org/spreadsheetml/2006/main" count="2769" uniqueCount="700">
  <si>
    <t>Manufacturer</t>
  </si>
  <si>
    <t>Refrig.</t>
  </si>
  <si>
    <t>Hz</t>
  </si>
  <si>
    <t>Voltage</t>
  </si>
  <si>
    <t>Single/VSD</t>
  </si>
  <si>
    <t>Model</t>
  </si>
  <si>
    <t>RPM</t>
  </si>
  <si>
    <t>Date</t>
  </si>
  <si>
    <t>By whom</t>
  </si>
  <si>
    <t>Evap min</t>
  </si>
  <si>
    <t>Evap max</t>
  </si>
  <si>
    <t>Cond min</t>
  </si>
  <si>
    <t>Cond max</t>
  </si>
  <si>
    <t>Frequency</t>
  </si>
  <si>
    <t>VSD/Single</t>
  </si>
  <si>
    <t>Full Name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</si>
  <si>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</si>
  <si>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</si>
  <si>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</si>
  <si>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</si>
  <si>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</si>
  <si>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</si>
  <si>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</si>
  <si>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</si>
  <si>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</si>
  <si>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</si>
  <si>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</si>
  <si>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</si>
  <si>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</si>
  <si>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</si>
  <si>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</si>
  <si>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</si>
  <si>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</si>
  <si>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</si>
  <si>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</si>
  <si>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</si>
  <si>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STD A</t>
  </si>
  <si>
    <t>SUM diff^2 A</t>
  </si>
  <si>
    <t>MAX Error Cool Power%</t>
  </si>
  <si>
    <t>STD B</t>
  </si>
  <si>
    <t>SUM diff^2 B</t>
  </si>
  <si>
    <t>MAX Error E Power%</t>
  </si>
  <si>
    <t>By</t>
  </si>
  <si>
    <t>Embraco</t>
  </si>
  <si>
    <t>Isobutane</t>
  </si>
  <si>
    <t>50 Hz</t>
  </si>
  <si>
    <t>230V</t>
  </si>
  <si>
    <t>VSD</t>
  </si>
  <si>
    <t>VESD9C(MA)</t>
  </si>
  <si>
    <t>M. Andreuzza</t>
  </si>
  <si>
    <t>Read First:</t>
  </si>
  <si>
    <r>
      <t>Q</t>
    </r>
    <r>
      <rPr>
        <b/>
        <vertAlign val="subscript"/>
        <sz val="12"/>
        <rFont val="Arial"/>
        <family val="2"/>
      </rPr>
      <t xml:space="preserve">2_comp </t>
    </r>
    <r>
      <rPr>
        <b/>
        <sz val="12"/>
        <rFont val="Arial"/>
        <family val="2"/>
      </rPr>
      <t>[W]</t>
    </r>
  </si>
  <si>
    <r>
      <t>T</t>
    </r>
    <r>
      <rPr>
        <vertAlign val="subscript"/>
        <sz val="12"/>
        <rFont val="Arial"/>
        <family val="2"/>
      </rPr>
      <t>cond</t>
    </r>
    <r>
      <rPr>
        <sz val="12"/>
        <rFont val="Arial"/>
        <family val="2"/>
      </rPr>
      <t xml:space="preserve"> [°C]</t>
    </r>
  </si>
  <si>
    <r>
      <t>E</t>
    </r>
    <r>
      <rPr>
        <b/>
        <vertAlign val="subscript"/>
        <sz val="12"/>
        <rFont val="Arial"/>
        <family val="2"/>
      </rPr>
      <t>el</t>
    </r>
    <r>
      <rPr>
        <b/>
        <sz val="12"/>
        <rFont val="Arial"/>
        <family val="2"/>
      </rPr>
      <t xml:space="preserve"> [W]</t>
    </r>
  </si>
  <si>
    <r>
      <t xml:space="preserve">COP [W] </t>
    </r>
    <r>
      <rPr>
        <sz val="9"/>
        <rFont val="Arial"/>
        <family val="2"/>
      </rPr>
      <t>(calculated based on input data)</t>
    </r>
  </si>
  <si>
    <r>
      <t>T</t>
    </r>
    <r>
      <rPr>
        <vertAlign val="subscript"/>
        <sz val="9"/>
        <rFont val="Arial"/>
        <family val="2"/>
      </rPr>
      <t>cond</t>
    </r>
    <r>
      <rPr>
        <sz val="9"/>
        <rFont val="Arial"/>
        <family val="2"/>
      </rPr>
      <t xml:space="preserve"> [°C]</t>
    </r>
  </si>
  <si>
    <r>
      <rPr>
        <b/>
        <sz val="11"/>
        <color rgb="FF000000"/>
        <rFont val="Calibri"/>
        <family val="2"/>
      </rPr>
      <t xml:space="preserve">1. </t>
    </r>
    <r>
      <rPr>
        <sz val="11"/>
        <color rgb="FF000000"/>
        <rFont val="Calibri"/>
        <family val="2"/>
      </rPr>
      <t>Here you can create and add compressor polynomials to the compressor list</t>
    </r>
  </si>
  <si>
    <t>ASHRAE</t>
  </si>
  <si>
    <r>
      <t>T</t>
    </r>
    <r>
      <rPr>
        <vertAlign val="subscript"/>
        <sz val="12"/>
        <rFont val="Arial"/>
        <family val="2"/>
      </rPr>
      <t>evap</t>
    </r>
    <r>
      <rPr>
        <sz val="12"/>
        <rFont val="Arial"/>
        <family val="2"/>
      </rPr>
      <t xml:space="preserve"> [°C]</t>
    </r>
  </si>
  <si>
    <r>
      <t>T</t>
    </r>
    <r>
      <rPr>
        <vertAlign val="subscript"/>
        <sz val="9"/>
        <rFont val="Arial"/>
        <family val="2"/>
      </rPr>
      <t>evap</t>
    </r>
    <r>
      <rPr>
        <sz val="9"/>
        <rFont val="Arial"/>
        <family val="2"/>
      </rPr>
      <t xml:space="preserve"> [°C]</t>
    </r>
  </si>
  <si>
    <t>2. Be very careful when you create a compressor polynomial, it's very easy to make mistakes, which will have a direct error impact on all your simulations.</t>
  </si>
  <si>
    <r>
      <rPr>
        <b/>
        <sz val="11"/>
        <color rgb="FF000000"/>
        <rFont val="Calibri"/>
        <family val="2"/>
      </rPr>
      <t>3.</t>
    </r>
    <r>
      <rPr>
        <sz val="11"/>
        <color rgb="FF000000"/>
        <rFont val="Calibri"/>
        <family val="2"/>
      </rPr>
      <t xml:space="preserve"> For the compressor curve macro to work, do the following first:</t>
    </r>
  </si>
  <si>
    <t xml:space="preserve">A. First you must use the solver somewhere in this workbook </t>
  </si>
  <si>
    <t>B. If you don't have the solver, you need to "add-in" the solver, under "Excel options" / "Add-ins" - Microsoft Solver</t>
  </si>
  <si>
    <t/>
  </si>
  <si>
    <r>
      <rPr>
        <b/>
        <sz val="11"/>
        <color rgb="FF000000"/>
        <rFont val="Calibri"/>
        <family val="2"/>
      </rPr>
      <t>4</t>
    </r>
    <r>
      <rPr>
        <sz val="11"/>
        <color rgb="FF000000"/>
        <rFont val="Calibri"/>
        <family val="2"/>
      </rPr>
      <t>. If you're adding compressors manually:</t>
    </r>
  </si>
  <si>
    <t>A.Follow the correct taxonomy (naming)</t>
  </si>
  <si>
    <r>
      <t>Q</t>
    </r>
    <r>
      <rPr>
        <b/>
        <vertAlign val="subscript"/>
        <sz val="10"/>
        <rFont val="Arial"/>
        <family val="2"/>
      </rPr>
      <t>2_Comp</t>
    </r>
    <r>
      <rPr>
        <b/>
        <sz val="10"/>
        <rFont val="Arial"/>
        <family val="2"/>
      </rPr>
      <t xml:space="preserve"> [W]</t>
    </r>
  </si>
  <si>
    <t>Input Conditions</t>
  </si>
  <si>
    <t>B. Click on the button "Update compressor lists in worksheets" after.</t>
  </si>
  <si>
    <t>Regression results (A1-10)</t>
  </si>
  <si>
    <t>Regression results (B1-10)</t>
  </si>
  <si>
    <r>
      <t>T</t>
    </r>
    <r>
      <rPr>
        <b/>
        <vertAlign val="subscript"/>
        <sz val="10"/>
        <rFont val="Arial"/>
        <family val="2"/>
      </rPr>
      <t>cond</t>
    </r>
    <r>
      <rPr>
        <b/>
        <sz val="10"/>
        <rFont val="Arial"/>
        <family val="2"/>
      </rPr>
      <t xml:space="preserve"> [°C]</t>
    </r>
  </si>
  <si>
    <t>5*STD+Sum</t>
  </si>
  <si>
    <t>Count = 15</t>
  </si>
  <si>
    <r>
      <t>T</t>
    </r>
    <r>
      <rPr>
        <b/>
        <vertAlign val="subscript"/>
        <sz val="10"/>
        <rFont val="Arial"/>
        <family val="2"/>
      </rPr>
      <t>evap</t>
    </r>
    <r>
      <rPr>
        <b/>
        <sz val="10"/>
        <rFont val="Arial"/>
        <family val="2"/>
      </rPr>
      <t xml:space="preserve"> [°C]</t>
    </r>
  </si>
  <si>
    <r>
      <t>T</t>
    </r>
    <r>
      <rPr>
        <b/>
        <vertAlign val="subscript"/>
        <sz val="8"/>
        <rFont val="Arial"/>
        <family val="2"/>
      </rPr>
      <t>comp_inlet</t>
    </r>
    <r>
      <rPr>
        <b/>
        <sz val="10"/>
        <rFont val="Arial"/>
        <family val="2"/>
      </rPr>
      <t xml:space="preserve"> [°C]</t>
    </r>
  </si>
  <si>
    <r>
      <rPr>
        <b/>
        <sz val="11"/>
        <color rgb="FF000000"/>
        <rFont val="Calibri"/>
        <family val="2"/>
      </rPr>
      <t>5.</t>
    </r>
    <r>
      <rPr>
        <sz val="11"/>
        <color rgb="FF000000"/>
        <rFont val="Calibri"/>
        <family val="2"/>
      </rPr>
      <t xml:space="preserve"> You can sort the list as you wish using the "filter" functionality in excel.</t>
    </r>
  </si>
  <si>
    <t>SUM</t>
  </si>
  <si>
    <r>
      <rPr>
        <b/>
        <sz val="10"/>
        <rFont val="Arial"/>
        <family val="2"/>
      </rPr>
      <t>Q</t>
    </r>
    <r>
      <rPr>
        <b/>
        <vertAlign val="subscript"/>
        <sz val="10"/>
        <rFont val="Arial"/>
        <family val="2"/>
      </rPr>
      <t>el</t>
    </r>
    <r>
      <rPr>
        <b/>
        <sz val="10"/>
        <rFont val="Arial"/>
        <family val="2"/>
      </rPr>
      <t xml:space="preserve"> [W]</t>
    </r>
  </si>
  <si>
    <r>
      <t>T</t>
    </r>
    <r>
      <rPr>
        <b/>
        <vertAlign val="subscript"/>
        <sz val="8"/>
        <rFont val="Arial"/>
        <family val="2"/>
      </rPr>
      <t>Subcooling</t>
    </r>
    <r>
      <rPr>
        <b/>
        <sz val="10"/>
        <rFont val="Arial"/>
        <family val="2"/>
      </rPr>
      <t xml:space="preserve"> [°C]</t>
    </r>
  </si>
  <si>
    <t>Stdev</t>
  </si>
  <si>
    <t>Count = 5</t>
  </si>
  <si>
    <t>Refrigerant</t>
  </si>
  <si>
    <t>SUM diff^2</t>
  </si>
  <si>
    <t>COP [W/W]</t>
  </si>
  <si>
    <t>Type</t>
  </si>
  <si>
    <t>MAX Err %</t>
  </si>
  <si>
    <t>Spec Sheet Comparison</t>
  </si>
  <si>
    <t>Polynom for CECOMAF</t>
  </si>
  <si>
    <t>Polynom</t>
  </si>
  <si>
    <r>
      <t>Diff</t>
    </r>
    <r>
      <rPr>
        <vertAlign val="superscript"/>
        <sz val="9"/>
        <rFont val="Arial"/>
        <family val="2"/>
      </rPr>
      <t>2</t>
    </r>
  </si>
  <si>
    <t>CECOMAF conditions</t>
  </si>
  <si>
    <r>
      <t>Q</t>
    </r>
    <r>
      <rPr>
        <b/>
        <vertAlign val="subscript"/>
        <sz val="9"/>
        <rFont val="Arial"/>
        <family val="2"/>
      </rPr>
      <t xml:space="preserve">2_comp </t>
    </r>
    <r>
      <rPr>
        <b/>
        <sz val="9"/>
        <rFont val="Arial"/>
        <family val="2"/>
      </rPr>
      <t xml:space="preserve">[W] </t>
    </r>
    <r>
      <rPr>
        <sz val="8"/>
        <rFont val="Arial"/>
        <family val="2"/>
      </rPr>
      <t>converted to CECOMAF</t>
    </r>
  </si>
  <si>
    <t>Error in Cooling power polynomial</t>
  </si>
  <si>
    <t>Error in Electrical power polynomial</t>
  </si>
  <si>
    <t>Compressor list</t>
  </si>
  <si>
    <t>Model names</t>
  </si>
  <si>
    <t>LIST</t>
  </si>
  <si>
    <t>ACC</t>
  </si>
  <si>
    <t>R134a</t>
  </si>
  <si>
    <t>115V</t>
  </si>
  <si>
    <t>Single Speed</t>
  </si>
  <si>
    <t>Variable Speed Compressors----------</t>
  </si>
  <si>
    <t>Donper</t>
  </si>
  <si>
    <t>60 Hz</t>
  </si>
  <si>
    <t>127V</t>
  </si>
  <si>
    <t>CECOMAF</t>
  </si>
  <si>
    <t>Propane</t>
  </si>
  <si>
    <t>220V</t>
  </si>
  <si>
    <t>ACC Isobutane 50 Hz 230V VSD HKK70VSD</t>
  </si>
  <si>
    <t>HKK70VSD</t>
  </si>
  <si>
    <t>Huayi</t>
  </si>
  <si>
    <t>ACC Isobutane 50 Hz 230V VSD HKK95VSD</t>
  </si>
  <si>
    <t>HKK95VSD</t>
  </si>
  <si>
    <t>Jiaxipera</t>
  </si>
  <si>
    <t>ACC Isobutane 50 Hz 230V VSD HQT60FSD</t>
  </si>
  <si>
    <t>HQT60FSD</t>
  </si>
  <si>
    <t>Panasonic</t>
  </si>
  <si>
    <t>ACC Isobutane 50 Hz 230V VSD HQT80FSD</t>
  </si>
  <si>
    <t>HQT80FSD</t>
  </si>
  <si>
    <t>Samsung</t>
  </si>
  <si>
    <t>ACC Isobutane 50 Hz 230V VSD HQT99FSD</t>
  </si>
  <si>
    <t>HQT99FSD</t>
  </si>
  <si>
    <t>Secop</t>
  </si>
  <si>
    <t>Embraco Isobutane 60 Hz 127V VSD FMSA9C CLP</t>
  </si>
  <si>
    <t>Tecumseh</t>
  </si>
  <si>
    <t>VESD7C(MA)</t>
  </si>
  <si>
    <t>Wanbao</t>
  </si>
  <si>
    <t>FMSA9C CLP</t>
  </si>
  <si>
    <t>Embraco Isobutane 50 Hz 127V VSD FMSU9C CLP</t>
  </si>
  <si>
    <t>FMSU9C CLP</t>
  </si>
  <si>
    <t>Embraco Isobutane 50 Hz 230V VSD VEGZ11C</t>
  </si>
  <si>
    <t>VEGZ11C</t>
  </si>
  <si>
    <t>Embraco Isobutane 60 Hz 230V VSD VEMT7C</t>
  </si>
  <si>
    <t>VEMT7C</t>
  </si>
  <si>
    <t>Embraco Isobutane 50 Hz 230V VSD VEMT9C</t>
  </si>
  <si>
    <t>VEMT9C</t>
  </si>
  <si>
    <t>Embraco Isobutane 50 Hz 230V VSD VES D7C</t>
  </si>
  <si>
    <t>VES D7C</t>
  </si>
  <si>
    <t>Embraco Isobutane 50 Hz 230V VSD VES D9C</t>
  </si>
  <si>
    <t>VES D9C</t>
  </si>
  <si>
    <t>Embraco Isobutane 50 Hz 230V VSD VES D11C</t>
  </si>
  <si>
    <t>VES D11C</t>
  </si>
  <si>
    <t>Embraco Isobutane 50 Hz 220V VSD VESF5C</t>
  </si>
  <si>
    <t>VESF5C</t>
  </si>
  <si>
    <t>Embraco Isobutane 50 Hz 230V VSD VESF7C</t>
  </si>
  <si>
    <t>VESF7C</t>
  </si>
  <si>
    <t>Embraco Isobutane 50 Hz 220V VSD VESF9C</t>
  </si>
  <si>
    <t>VESF9C</t>
  </si>
  <si>
    <t>Embraco Isobutane 60 Hz 115V VSD VESF11C</t>
  </si>
  <si>
    <t>VESF11C</t>
  </si>
  <si>
    <t>Embraco R134a 60 Hz 115V VSD VEMT5H</t>
  </si>
  <si>
    <t>VEMT5H</t>
  </si>
  <si>
    <t>Embraco Isobutane 50 Hz 230V VSD VEMX5C</t>
  </si>
  <si>
    <t>VEMX5C</t>
  </si>
  <si>
    <t>Embraco Isobutane 50 Hz 230V VSD VEMX7C</t>
  </si>
  <si>
    <t>VEMX7C</t>
  </si>
  <si>
    <t>Embraco Isobutane 50 Hz 230V VSD VEMX9C</t>
  </si>
  <si>
    <t>VEMX9C</t>
  </si>
  <si>
    <t>Embraco Isobutane 50 Hz 230V VSD VEMZ5C</t>
  </si>
  <si>
    <t>VEMZ5C</t>
  </si>
  <si>
    <t>Embraco Isobutane 50 Hz 230V VSD VEMZ7C</t>
  </si>
  <si>
    <t>VEMZ7C</t>
  </si>
  <si>
    <t>Embraco Isobutane 50 Hz 230V VSD VEMZ9C</t>
  </si>
  <si>
    <t>VEMZ9C</t>
  </si>
  <si>
    <t>Embraco Isobutane 60 Hz 115V VSD VESA9C</t>
  </si>
  <si>
    <t>VESA9C</t>
  </si>
  <si>
    <t>Embraco Isobutane 50 Hz 230V VSD VESA11C</t>
  </si>
  <si>
    <t>VESA11C</t>
  </si>
  <si>
    <t>Embraco Isobutane 60 Hz 115V VSD VESC9C</t>
  </si>
  <si>
    <t>VESC9C</t>
  </si>
  <si>
    <t>Embraco Isobutane 50 Hz 230V VSD VESC11C</t>
  </si>
  <si>
    <t>VESC11C</t>
  </si>
  <si>
    <t>Embraco Isobutane 50 Hz 230V VSD VESD7C</t>
  </si>
  <si>
    <t>VESD7C</t>
  </si>
  <si>
    <t>Embraco Isobutane 50 Hz 230V VSD VESD9C</t>
  </si>
  <si>
    <t>VESD9C</t>
  </si>
  <si>
    <t>Embraco Isobutane 50 Hz 230V VSD VESD11C</t>
  </si>
  <si>
    <t>VESD11C</t>
  </si>
  <si>
    <t>Embraco Isobutane 50 Hz 220V VSD VEGZ11C</t>
  </si>
  <si>
    <t>Embraco R134a 60 Hz 115V VSD VEMY4H</t>
  </si>
  <si>
    <t>VEMY4H</t>
  </si>
  <si>
    <t>Embraco R134a 60 Hz 115V VSD VEMY5H</t>
  </si>
  <si>
    <t>VEMY5H</t>
  </si>
  <si>
    <t>Embraco R134a 60 Hz 115V VSD VEMY6H</t>
  </si>
  <si>
    <t>VEMY6H</t>
  </si>
  <si>
    <t>Embraco R134a 60 Hz 115V VSD VEMY6H+</t>
  </si>
  <si>
    <t>VEMY6H+</t>
  </si>
  <si>
    <t>Embraco R134a 60 Hz 115V VSD VEGY6H</t>
  </si>
  <si>
    <t>VEGY6H</t>
  </si>
  <si>
    <t>Embraco R134a 60 Hz 115V VSD VEGZ6H</t>
  </si>
  <si>
    <t>VEGZ6H</t>
  </si>
  <si>
    <t>Embraco R134a 60 Hz 115V VSD VESA7H</t>
  </si>
  <si>
    <t>VESA7H</t>
  </si>
  <si>
    <t>Jiaxipera Isobutane 50 Hz 230V VSD VND1111Y</t>
  </si>
  <si>
    <t>VND1111Y</t>
  </si>
  <si>
    <t>Jiaxipera Isobutane 50 Hz 230V VSD VND1113Y</t>
  </si>
  <si>
    <t>VND1113Y</t>
  </si>
  <si>
    <t>Jiaxipera Isobutane 50 Hz 230V VSD VNX1111Y</t>
  </si>
  <si>
    <t>VNX1111Y</t>
  </si>
  <si>
    <t>Jiaxipera Isobutane 50 Hz 230V VSD VNX1111Y (1)</t>
  </si>
  <si>
    <t>VNX1111Y (1)</t>
  </si>
  <si>
    <t>Jiaxipera Isobutane 50 Hz 230V VSD VNX1113Y (Jx)</t>
  </si>
  <si>
    <t>VNX1113Y (Jx)</t>
  </si>
  <si>
    <t>Jiaxipera Isobutane 50 Hz 230V VSD VNX1116Y</t>
  </si>
  <si>
    <t>VNX1116Y</t>
  </si>
  <si>
    <t>Jiaxipera Isobutane 50 Hz 230V VSD VTH1111Y (1)</t>
  </si>
  <si>
    <t>VTH1111Y (1)</t>
  </si>
  <si>
    <t>Jiaxipera Isobutane 50 Hz 230V VSD VTH1113Y (Jx)</t>
  </si>
  <si>
    <t>VTH1113Y (Jx)</t>
  </si>
  <si>
    <t>Secop Isobutane 50 Hz 230V VSD XV3KX</t>
  </si>
  <si>
    <t>XV3KX</t>
  </si>
  <si>
    <t>Secop Isobutane 50 Hz 230V VSD XV5KX</t>
  </si>
  <si>
    <t>XV5KX</t>
  </si>
  <si>
    <t>Secop Isobutane 50 Hz 230V VSD XV7.2KX</t>
  </si>
  <si>
    <t>XV7.2KX</t>
  </si>
  <si>
    <t>Secop Isobutane 50 Hz  VSD TLV5K</t>
  </si>
  <si>
    <t>TLV5K</t>
  </si>
  <si>
    <t>Secop Isobutane 50 Hz  VSD TLV6K</t>
  </si>
  <si>
    <t>TLV6K</t>
  </si>
  <si>
    <t>Secop Isobutane 50 Hz  VSD TLV7K</t>
  </si>
  <si>
    <t>TLV7K</t>
  </si>
  <si>
    <t>Tecumseh R134a   VSD VE1374Y</t>
  </si>
  <si>
    <t>VE1374Y</t>
  </si>
  <si>
    <t>Panasonic Isobutane 50 Hz 230V VSD TKD100E23DAH (GEN2 board)</t>
  </si>
  <si>
    <t>TKD100E23DAH (GEN2 board)</t>
  </si>
  <si>
    <t>Panasonic Isobutane 50 Hz 230V VSD TKD67E28D (Panasonic GEN2 board)</t>
  </si>
  <si>
    <t>TKD67E28D (Panasonic GEN2 board)</t>
  </si>
  <si>
    <t>Panasonic R134a 60 Hz 115V VSD EEI57</t>
  </si>
  <si>
    <t>EEI57</t>
  </si>
  <si>
    <t>Panasonic R134a 60 Hz 115V VSD ENI57</t>
  </si>
  <si>
    <t>ENI57</t>
  </si>
  <si>
    <t>Panasonic Isobutane 50 Hz 100V VSD TKA68</t>
  </si>
  <si>
    <t>TKA68</t>
  </si>
  <si>
    <t>Panasonic Isobutane 50 Hz 100V VSD TKA100</t>
  </si>
  <si>
    <t>TKA100</t>
  </si>
  <si>
    <t>Panasonic Isobutane 60 Hz 115V VSD TKD91 - Fan Cooled</t>
  </si>
  <si>
    <t>TKD91 - Fan Cooled</t>
  </si>
  <si>
    <t>Panasonic Isobutane 60 Hz 115V VSD TKD91 - Nat Cooled (Est.)</t>
  </si>
  <si>
    <t>TKD91 - Nat Cooled (Est.)</t>
  </si>
  <si>
    <t>Single Speed Compressors----------</t>
  </si>
  <si>
    <t xml:space="preserve">ACC Isobutane 50 Hz 230V HKK12AA </t>
  </si>
  <si>
    <t xml:space="preserve">ACC Isobutane 50 Hz 230V HKK55AA </t>
  </si>
  <si>
    <t>ACC Isobutane 50 Hz 230V HKK55AA.03 no cond.</t>
  </si>
  <si>
    <t xml:space="preserve">ACC Isobutane 50 Hz 230V HKK70AA </t>
  </si>
  <si>
    <t xml:space="preserve">ACC Isobutane 50 Hz 230V HKK80AA </t>
  </si>
  <si>
    <t xml:space="preserve">ACC Isobutane 50 Hz 230V HKK95AA </t>
  </si>
  <si>
    <t>ACC Isobutane 50 Hz 220V HMK95AA</t>
  </si>
  <si>
    <t xml:space="preserve">ACC Isobutane 50 Hz 230V HST50AA </t>
  </si>
  <si>
    <t xml:space="preserve">ACC Isobutane 50 Hz 230V HST65AA </t>
  </si>
  <si>
    <t>ACC Isobutane 50 Hz 230V HTK55AA.03 no RC</t>
  </si>
  <si>
    <t>ACC Isobutane 50 Hz 220V HTK55AA.03 with RC</t>
  </si>
  <si>
    <t>ACC Isobutane 50 Hz 230V HTK70AA K3 no RC</t>
  </si>
  <si>
    <t>ACC Isobutane 50 Hz 230V HTK70AA K3 with RC</t>
  </si>
  <si>
    <t>ACC Isobutane 50 Hz 230V HTK80AA K3 no RC</t>
  </si>
  <si>
    <t>ACC Isobutane 50 Hz 230V HTK80AA K3 with RC</t>
  </si>
  <si>
    <t>ACC Isobutane 50 Hz 230V HVH44, K100 with RC</t>
  </si>
  <si>
    <t>ACC Isobutane 50 Hz 230V HVH44, K120 with RC</t>
  </si>
  <si>
    <t>ACC Isobutane 50 Hz 230V HXD30AA w RC</t>
  </si>
  <si>
    <t>ACC Isobutane 50 Hz 230V HXD35AA w RC</t>
  </si>
  <si>
    <t>ACC Isobutane 50 Hz 230V HXD45AA w RC</t>
  </si>
  <si>
    <t>ACC Isobutane 50 Hz 230V HXD55AA w RC</t>
  </si>
  <si>
    <t xml:space="preserve">ACC Isobutane 50 Hz 230V HXK12AA   </t>
  </si>
  <si>
    <t>ACC Isobutane 50 Hz 230V HXK12AA.K3, RC</t>
  </si>
  <si>
    <t xml:space="preserve">ACC Isobutane 50 Hz 230V HXK55AA   </t>
  </si>
  <si>
    <t xml:space="preserve">ACC Isobutane 50 Hz 230V HXK70AA   </t>
  </si>
  <si>
    <t>ACC Isobutane 50 Hz 230V HXK80AA</t>
  </si>
  <si>
    <t>ACC Isobutane 50 Hz 230V HXK95AA K3</t>
  </si>
  <si>
    <t>ACC Isobutane 50 Hz 230V HXK95AA.K3</t>
  </si>
  <si>
    <t>ACC R134a 50 Hz 230V GVM57AA, no RC</t>
  </si>
  <si>
    <t>ACC R134a 50 Hz 230V GVM66AA, no RC</t>
  </si>
  <si>
    <t xml:space="preserve">ACC R134a 50 Hz 230V GVY57AA, no RC# </t>
  </si>
  <si>
    <t xml:space="preserve">ACC R134a 50 Hz 230V GVY66AA, with RC# </t>
  </si>
  <si>
    <t xml:space="preserve">Donper    </t>
  </si>
  <si>
    <t>Embraco Isobutane 50 Hz 220V EGAS100CLP - PTCSIR</t>
  </si>
  <si>
    <t>Embraco Isobutane 60 Hz 220V EGAS100CLP - PTCSIR</t>
  </si>
  <si>
    <t>Embraco Isobutane 60 Hz 127V EGAS80CLP - PTCSIR</t>
  </si>
  <si>
    <t>Embraco Isobutane 60 Hz 220V EGAS80CLP - PTCSIR</t>
  </si>
  <si>
    <t>Embraco Isobutane 60 Hz 127V EGYS90CLP - PTCSCR</t>
  </si>
  <si>
    <t>Embraco Isobutane 60 Hz 127V EGYS90CLP - PTCSIR</t>
  </si>
  <si>
    <t>Embraco Isobutane 60 Hz 220V EGYS90CLP - PTCSIR</t>
  </si>
  <si>
    <t>Embraco Isobutane 50 Hz 220V EM 2C70CLT - 
PTCSCR</t>
  </si>
  <si>
    <t>Embraco Isobutane 50 Hz 230V EM D66CLT</t>
  </si>
  <si>
    <t>Embraco Isobutane 50 Hz 230V EM2C32CLT</t>
  </si>
  <si>
    <t>Embraco Isobutane 60 Hz 127V EM2P70CLP - PTCSIR</t>
  </si>
  <si>
    <t>Embraco Isobutane 60 Hz 220V EM2P70CLP - PTCSIR</t>
  </si>
  <si>
    <t>Embraco Isobutane 60 Hz 127V EM2P70CLP - PTCSIR NEW</t>
  </si>
  <si>
    <t>Embraco Isobutane 60 Hz 220V EM2P70CLP - PTCSIR Core</t>
  </si>
  <si>
    <t>Embraco Isobutane 60 Hz 127V EM2S60CLP - PTCSIR</t>
  </si>
  <si>
    <t>Embraco Isobutane 60 Hz 127V EM2S70CLP - PTCSIR</t>
  </si>
  <si>
    <t>Embraco Isobutane 60 Hz 220V EM2S70CLP - PTCSIR</t>
  </si>
  <si>
    <t>Embraco Isobutane 60 Hz 127V EM2U60CLP - PTCSIR</t>
  </si>
  <si>
    <t>Embraco Isobutane 60 Hz 220V EM2U60CLP - PTCSIR</t>
  </si>
  <si>
    <t xml:space="preserve">Embraco Isobutane 50 Hz 230V EMB32CLC  </t>
  </si>
  <si>
    <t>Embraco Isobutane 50 Hz 230V EMB55CLC</t>
  </si>
  <si>
    <t xml:space="preserve">Embraco Isobutane 50 Hz 230V EMB66CLC  </t>
  </si>
  <si>
    <t>Embraco Isobutane 50 Hz 230V EMB66CLC-test</t>
  </si>
  <si>
    <t>Embraco Isobutane 50 Hz 230V EMC60CLT +TSD2</t>
  </si>
  <si>
    <t xml:space="preserve">Embraco Isobutane 50 Hz 230V EMT17CLP   </t>
  </si>
  <si>
    <t>Embraco Isobutane 60 Hz 220V EMU60CLP - PTCSIR</t>
  </si>
  <si>
    <t>Embraco Isobutane 50 Hz 230V EMX20CLC</t>
  </si>
  <si>
    <t>Embraco Isobutane 50 Hz 230V EMX26CLC</t>
  </si>
  <si>
    <t xml:space="preserve">Embraco Isobutane 50 Hz 230V EMX32CLC   </t>
  </si>
  <si>
    <t xml:space="preserve">Embraco Isobutane 50 Hz 230V EMX40CLC   </t>
  </si>
  <si>
    <t xml:space="preserve">Embraco Isobutane 50 Hz 230V EMX46CLC   </t>
  </si>
  <si>
    <t xml:space="preserve">Embraco Isobutane 50 Hz 230V EMX55CLC   </t>
  </si>
  <si>
    <t xml:space="preserve">Embraco Isobutane 50 Hz 230V EMX66CLC   </t>
  </si>
  <si>
    <t xml:space="preserve">Embraco Isobutane 50 Hz 230V EMY45HSC   </t>
  </si>
  <si>
    <t>Embraco Isobutane 50 Hz 220V EMY70CLP - PTCSCR</t>
  </si>
  <si>
    <t>Embraco Isobutane 50 Hz 220V EMY70CLP - PTCSIR</t>
  </si>
  <si>
    <t>Embraco Isobutane 50 Hz 220V EMY80CLP - PTCSIR</t>
  </si>
  <si>
    <t>Embraco Isobutane 50 Hz 220V EMYE70 CLP - PTCSIR</t>
  </si>
  <si>
    <t xml:space="preserve">Embraco Isobutane 50 Hz 230V EMZ20CLC   </t>
  </si>
  <si>
    <t xml:space="preserve">Embraco Isobutane 50 Hz 230V EMZ26CLC   </t>
  </si>
  <si>
    <t xml:space="preserve">Embraco Isobutane 50 Hz 230V EMZ46CLC   </t>
  </si>
  <si>
    <t>Embraco Propane 50 Hz 220V EMT6144U</t>
  </si>
  <si>
    <t>Embraco R134a 60 Hz 220V EG75HLR - RSIR</t>
  </si>
  <si>
    <t>Embraco R134a 60 Hz 127V EG75HLR - RSIR</t>
  </si>
  <si>
    <t>Embraco R134a 50 Hz 230V EGAS100CLP - PTCSIR</t>
  </si>
  <si>
    <t>Embraco R134a 60 Hz 220V EGAS100CLP - RSIR</t>
  </si>
  <si>
    <t>Embraco R134a 50 Hz 230V EGAS100HLR - RSIR</t>
  </si>
  <si>
    <t>Embraco R134a 60 Hz 220V EGAS100HLR - RSIR</t>
  </si>
  <si>
    <t>Embraco R134a 60 Hz 127V EGAS100HLR - RSIR</t>
  </si>
  <si>
    <t>Embraco R134a 60 Hz 220V EGAS80CLP - RSIR</t>
  </si>
  <si>
    <t xml:space="preserve">Embraco R134a 60 Hz 127V EGAS80HLP </t>
  </si>
  <si>
    <t>Embraco R134a 60 Hz 115V EGAS80HLR</t>
  </si>
  <si>
    <t xml:space="preserve">Embraco R134a 60 Hz 127V EGAS80HLR   </t>
  </si>
  <si>
    <t>Embraco R134a 60 Hz 220V EGAS80HLR - RSIR</t>
  </si>
  <si>
    <t>Embraco R134a 50 Hz 230V EGAS90HLR</t>
  </si>
  <si>
    <t>Embraco R134a 60 Hz 115V EGD60HLC_TSD+RC,ISO10</t>
  </si>
  <si>
    <t>Embraco R134a 60 Hz 115V EGD70HLC_TSD+RC,ISO10</t>
  </si>
  <si>
    <t>Embraco R134a 60 Hz 127V EGS80CLP</t>
  </si>
  <si>
    <t>Embraco R134a 60 Hz 115V EGX60HLC_TSD+RC,ISO10</t>
  </si>
  <si>
    <t>Embraco R134a 60 Hz 115V EGX70HLC_TSD+RC,ISO10</t>
  </si>
  <si>
    <t>Embraco R134a 50 Hz 230V EGY100HLC - RSCR - 5uF</t>
  </si>
  <si>
    <t xml:space="preserve">Embraco R134a 50 Hz 230V EGYS100HLP - RSIR </t>
  </si>
  <si>
    <t>Embraco R134a 50 Hz 230V EGYS90CLP</t>
  </si>
  <si>
    <t>Embraco R134a 50 Hz 230V EGYS90HLP - RSCR 5uF</t>
  </si>
  <si>
    <t xml:space="preserve">Embraco R134a 50 Hz 230V EGYS90HLP - RSIR </t>
  </si>
  <si>
    <t xml:space="preserve">Embraco R134a 50 Hz 230V EGZ90HLC - RSCR 5uF </t>
  </si>
  <si>
    <t>Embraco R134a 50 Hz 230V EGZS100HLC</t>
  </si>
  <si>
    <t>Embraco R134a 60 Hz 230V EGZS60HLC,PTC+RC,ISO 10</t>
  </si>
  <si>
    <t>Embraco R134a 60 Hz 127V EGZS60HLP</t>
  </si>
  <si>
    <t>Embraco R134a 60 Hz 230V EGZS70HLC,PTC+RC,ISO 10</t>
  </si>
  <si>
    <t>Embraco R134a 50 Hz 230V EGZS80</t>
  </si>
  <si>
    <t xml:space="preserve">Embraco R134a 50 Hz 220V EGZS80   </t>
  </si>
  <si>
    <t xml:space="preserve">Embraco R134a 60 Hz 127V EGZS80   </t>
  </si>
  <si>
    <t>Embraco R134a 60 Hz 220V EGZS80HLC - PTCSCR</t>
  </si>
  <si>
    <t>Embraco R134a 60 Hz 127V EGZS80HLP - PTCSCR</t>
  </si>
  <si>
    <t xml:space="preserve">Embraco R134a 50 Hz 230V EGZS90HLC - RSIR </t>
  </si>
  <si>
    <t>Embraco R134a 60 Hz 115V EM 3Z60HLT</t>
  </si>
  <si>
    <t xml:space="preserve">Embraco R134a 60 Hz 115V EM20HHR   </t>
  </si>
  <si>
    <t>Embraco R134a 60 Hz 220V EM2S80HLR  - RSIR</t>
  </si>
  <si>
    <t>Embraco R134a 60 Hz 127V EM2S80HLR - RSIR</t>
  </si>
  <si>
    <t>Embraco R134a 60 Hz 220V EM2U60HLP - PTCSCR</t>
  </si>
  <si>
    <t>Embraco R134a 60 Hz 127V EM2U60HLP - PTCSCR</t>
  </si>
  <si>
    <t>Embraco R134a 50 Hz 220V EM2U60HLP - PTCSIR</t>
  </si>
  <si>
    <t>Embraco R134a 60 Hz 220V EM2U60HLP - PTCSIR</t>
  </si>
  <si>
    <t>Embraco R134a 60 Hz 127V EM2U60HLP - PTCSIR</t>
  </si>
  <si>
    <t>Embraco R134a 50 Hz 230V EM2Y80HLP - RSIR</t>
  </si>
  <si>
    <t>Embraco R134a 60 Hz 115V EM2Z60HTL</t>
  </si>
  <si>
    <t>Embraco R134a 60 Hz 127V EM3D60HLT_TSD+RC,ISO10</t>
  </si>
  <si>
    <t>Embraco R134a 60 Hz 127V EM3D70HLT_TSD+RC,ISO10</t>
  </si>
  <si>
    <t>Embraco R134a 60 Hz 115V EM3Z60HLT_TSD+RC,ISO10</t>
  </si>
  <si>
    <t>Embraco R134a 60 Hz 115V EM3Z70HLT_TSD+RC,ISO10</t>
  </si>
  <si>
    <t xml:space="preserve">Embraco R134a 60 Hz 115V EMI30HER   </t>
  </si>
  <si>
    <t>Embraco R134a 50 Hz 230V EMT6160Z</t>
  </si>
  <si>
    <t xml:space="preserve">Embraco R134a 60 Hz 115V EMU30HSC   </t>
  </si>
  <si>
    <t>Embraco R134a 60 Hz 127V EMX20CLC</t>
  </si>
  <si>
    <t>Embraco R134a 60 Hz 115V EMY45HSC</t>
  </si>
  <si>
    <t>Embraco R134a 50 Hz 230V EMY55HLC</t>
  </si>
  <si>
    <t>Embraco R134a 60 Hz 115V EMY60HSC</t>
  </si>
  <si>
    <t>Embraco R134a 50 Hz 230V EMY65HLC</t>
  </si>
  <si>
    <t>Embraco R134a 60 Hz 115V EMY70HER</t>
  </si>
  <si>
    <t>Embraco R134a 60 Hz 115V EMY70HSC</t>
  </si>
  <si>
    <t>Embraco R134a 60 Hz 220V EMYe70HEP - PTCSIR</t>
  </si>
  <si>
    <t>Embraco R134a 60 Hz 115V EMYe70HEP - PTCSIR</t>
  </si>
  <si>
    <t>Embraco R134a 60 Hz 115V EMYS60HEP</t>
  </si>
  <si>
    <t>Huayi R134a 50 Hz 220V HYE69YS</t>
  </si>
  <si>
    <t>Jiaxipera Isobutane 50 Hz 230V BM1112CY</t>
  </si>
  <si>
    <t>Jiaxipera Isobutane 60 Hz 115V NB1114HY - ePTCSCR</t>
  </si>
  <si>
    <t>Jiaxipera Isobutane 60 Hz 115V NB1116HY - ePTCSCR</t>
  </si>
  <si>
    <t>Jiaxipera Isobutane 50 Hz 220V NB1116Y - PTCSCR</t>
  </si>
  <si>
    <t>Jiaxipera Isobutane 50 Hz 230V ND1114Y</t>
  </si>
  <si>
    <t>Jiaxipera Isobutane 60 Hz 115V TH1114HY (Al) - PTCSCR</t>
  </si>
  <si>
    <t>Jiaxipera Isobutane 50 Hz 220V TH1116Y (Al) - PTCSCR</t>
  </si>
  <si>
    <t>Panasonic R134a 60 Hz 115V DHS51C73RAU</t>
  </si>
  <si>
    <t>Panasonic R134a 60 Hz 115V DHS57C85RAU</t>
  </si>
  <si>
    <t>Panasonic R134a 60 Hz 115V DHS66C10RBU</t>
  </si>
  <si>
    <t>Panasonic R134a 60 Hz 115V DJJ51C71RAU stand. Relay</t>
  </si>
  <si>
    <t>Panasonic R134a 60 Hz 115V DJJ51C71RAU w PTHTM relay</t>
  </si>
  <si>
    <t xml:space="preserve">Panasonic R134a 60 Hz 115V DKK51C78RAU   </t>
  </si>
  <si>
    <t>Panasonic R134a 61 Hz 115V DKK51C78RAU   Kevin</t>
  </si>
  <si>
    <t>Panasonic R134a 60 Hz 115V DKK57C90RAU</t>
  </si>
  <si>
    <t>Panasonic R134a 60 Hz 115V DKK66C11RAU</t>
  </si>
  <si>
    <t>Panasonic R134a 60 Hz 115V SF51C</t>
  </si>
  <si>
    <t>Panasonic R134a 60 Hz 115V SF51C97RAU6</t>
  </si>
  <si>
    <t>Samsung R134a 60 Hz 115V MSE148CL1H w std relay</t>
  </si>
  <si>
    <t>Samsung R134a 60 Hz 115V MSE148CL1U w std relay</t>
  </si>
  <si>
    <t>Samsung R134a 60 Hz 115V MSE152CL1H w std relay</t>
  </si>
  <si>
    <t>Samsung R134a 60 Hz 115V MSE152CL1U w std relay</t>
  </si>
  <si>
    <t>Secop Isobutane 50 Hz 230V NLU8.0KK</t>
  </si>
  <si>
    <t>Tecumseh Isobutane 60 Hz 127V TA1330MDS-1B - PTCSIR</t>
  </si>
  <si>
    <t>Tecumseh Isobutane 60 Hz 127V TA1330MDS-2B - PTCSCR</t>
  </si>
  <si>
    <t>Tecumseh Isobutane 60 Hz 220V TA1330MGS-1B - PTCSIR</t>
  </si>
  <si>
    <t>Tecumseh Isobutane 50 Hz 220V TA1330MGS-1B - PTCSIR</t>
  </si>
  <si>
    <t>Tecumseh Isobutane 60 Hz 220V TA1330MGS-2B - PTCSCR</t>
  </si>
  <si>
    <t>Tecumseh Isobutane 50 Hz 220V TA1330MGS-2B - PTCSCR</t>
  </si>
  <si>
    <t>Tecumseh Isobutane 60 Hz 220V TA1380MGS-1B - PTCSIR</t>
  </si>
  <si>
    <t>Tecumseh Isobutane 60 Hz 127V TA²1360M-DS1G - PTCSIR</t>
  </si>
  <si>
    <t>Tecumseh Isobutane 50 Hz 220V TA²1360M-GS1G - PTCSIR</t>
  </si>
  <si>
    <t>Tecumseh Isobutane 60 Hz 220V TA²1360M-GS1G - PTCSIR</t>
  </si>
  <si>
    <t>Tecumseh Isobutane 50 Hz 220V TA²1370M-GS1G - PTCSIR</t>
  </si>
  <si>
    <t>Tecumseh Isobutane 60 Hz 220V TA²1370M-GS1G - PTCSIR</t>
  </si>
  <si>
    <t>Tecumseh Isobutane 60 Hz 127V TA²1380M-DS1G - PTCSIR</t>
  </si>
  <si>
    <t>Tecumseh Isobutane 50 Hz 220V TA²1380M-GS1H - PTCSIR</t>
  </si>
  <si>
    <t>Tecumseh Isobutane 60 Hz 220V TA²1380M-GS1H - PTCSIR</t>
  </si>
  <si>
    <t>Tecumseh Isobutane 60 Hz 127V TSB1380MDS</t>
  </si>
  <si>
    <t>Tecumseh Isobutane 50 Hz 220V TSB1380MGS</t>
  </si>
  <si>
    <t>Tecumseh Isobutane 60 Hz 220V TSB1380MGS</t>
  </si>
  <si>
    <t>Tecumseh Isobutane 50 Hz 220V TSB1380MMS</t>
  </si>
  <si>
    <t>Tecumseh Isobutane 60 Hz 220V TSB1380MMS</t>
  </si>
  <si>
    <t>Tecumseh R134a 60 Hz 127V TA1330YDS-1A - PTCSIR</t>
  </si>
  <si>
    <t>Tecumseh R134a 60 Hz 220V TA1330YGS-1A - PTCSIR</t>
  </si>
  <si>
    <t>Tecumseh R134a 50 Hz 220V TA1330YGS-1A - PTCSIR</t>
  </si>
  <si>
    <t>Tecumseh R134a 60 Hz 127V TA1360YDS-1B - PTCSIR</t>
  </si>
  <si>
    <t>Tecumseh R134a 60 Hz 220V TA1360YGS-1B - PTCSIR</t>
  </si>
  <si>
    <t>Tecumseh R134a 50 Hz 220V TA1360YGS-1B - PTCSIR</t>
  </si>
  <si>
    <t>Tecumseh R134a 60 Hz 127V TA1380YDS-1E - PTCSIR</t>
  </si>
  <si>
    <t>Tecumseh R134a 60 Hz 127V TA1380YDS-2E - PTCSCR</t>
  </si>
  <si>
    <t>Tecumseh R134a 60 Hz 220V TA1380YGS-1E - PTCSIR</t>
  </si>
  <si>
    <t>Tecumseh R134a 50 Hz 220V TA1380YGS-1E - PTCSIR</t>
  </si>
  <si>
    <t>Tecumseh R134a 60 Hz 220V TA1380YGS-2E - PTCSCR</t>
  </si>
  <si>
    <t>Tecumseh R134a 50 Hz 220V TA1380YGS-2E - PTCSCR</t>
  </si>
  <si>
    <t>Tecumseh R134a 50 Hz 220V TA1390Y-FZ3C - PTCSCR</t>
  </si>
  <si>
    <t>Tecumseh R134a 60 Hz 127V TA²1360Y-DS1G - PTCSIR</t>
  </si>
  <si>
    <t>Tecumseh R134a 60 Hz 127V TA²1360Y-DS1H - PTCSIR</t>
  </si>
  <si>
    <t>Tecumseh R134a 50 Hz 220V TA²1360Y-GS1H - PTCSIR</t>
  </si>
  <si>
    <t>Tecumseh R134a 60 Hz 220V TA²1360Y-GS1H - PTCSIR</t>
  </si>
  <si>
    <t>Tecumseh R134a 60 Hz 127V TA²1380Y-DS1H - PTCSIR</t>
  </si>
  <si>
    <t>Tecumseh R134a 50 Hz 220V TA²1380Y-GS1H - PTCSIR</t>
  </si>
  <si>
    <t>Tecumseh R134a 60 Hz 220V TA²1380Y-GS1H - PTCSIR</t>
  </si>
  <si>
    <t>Tecumseh R134a 60 Hz 220V THK1330YGS</t>
  </si>
  <si>
    <t>Tecumseh R134a 60 Hz 127V THL1358YCS</t>
  </si>
  <si>
    <t>Tecumseh R134a 60 Hz 220V THL1358YMS</t>
  </si>
  <si>
    <t>Tecumseh R134a 60 Hz 127V TPH1380YDS</t>
  </si>
  <si>
    <t>Tecumseh R134a 60 Hz 220V TPH1380YGS</t>
  </si>
  <si>
    <t>Tecumseh R134a 60 Hz 127V TSB1374YCS</t>
  </si>
  <si>
    <t>Tecumseh R134a 60 Hz 220V TSB1374YMS</t>
  </si>
  <si>
    <t>Tecumseh R134a 60 Hz 127V TSB1380YDS</t>
  </si>
  <si>
    <t>Tecumseh R134a 60 Hz 220V TSB1380YGS</t>
  </si>
  <si>
    <t>Wanbao Isobutane 50 Hz 230V ETA60</t>
  </si>
  <si>
    <t>Wanbao Isobutane 50 Hz 230V ETB60</t>
  </si>
  <si>
    <t>Wanbao Isobutane 50 Hz 230V ETC95</t>
  </si>
  <si>
    <t>Wanbao Isobutane 50 Hz 230V ETH110</t>
  </si>
  <si>
    <t>Wanbao Isobutane 50 Hz 230V ETH110 (Elux. tested)</t>
  </si>
  <si>
    <t>Wanbao Isobutane 50 Hz 230V ETH95</t>
  </si>
  <si>
    <t>Wanbao Isobutane 50 Hz 230V ETJ110</t>
  </si>
  <si>
    <t>Wanbao Isobutane 50 Hz 230V ETJ95</t>
  </si>
  <si>
    <t>Wanbao Isobutane 50 Hz 230V ETY80</t>
  </si>
  <si>
    <t>Wanbao Isobutane 50 Hz 230V ETY95</t>
  </si>
  <si>
    <t>Wanbao Isobutane 50 Hz 230V ETZ110</t>
  </si>
  <si>
    <t>Wanbao Isobutane 50 Hz 230V ETZ72</t>
  </si>
  <si>
    <t>Wanbao Isobutane 50 Hz 230V ETZ95</t>
  </si>
  <si>
    <t>Wanbao Isobutane 50 Hz 230V EYD40L RANGE IMPROVED</t>
  </si>
  <si>
    <t>Wanbao R134a 50 Hz 230V ASD43K</t>
  </si>
  <si>
    <t>Wanbao R134a 50 Hz 230V ASD53K</t>
  </si>
  <si>
    <t>Wanbao R134a 50 Hz 230V ASD65</t>
  </si>
  <si>
    <t>Wanbao R134a 50 Hz 230V ASF51X</t>
  </si>
  <si>
    <t>Wanbao R134a 50 Hz 230V ASF53K</t>
  </si>
  <si>
    <t>Wanbao R134a 50 Hz 230V ASF65K</t>
  </si>
  <si>
    <t>Wanbao R134a 50 Hz 230V ATK60L</t>
  </si>
  <si>
    <t>Don't alter this row: It contains the format template</t>
  </si>
  <si>
    <t xml:space="preserve">HKK12AA </t>
  </si>
  <si>
    <t xml:space="preserve">HKK55AA </t>
  </si>
  <si>
    <t>HKK55AA.03 no cond.</t>
  </si>
  <si>
    <t xml:space="preserve">HKK70AA </t>
  </si>
  <si>
    <t xml:space="preserve">HKK80AA </t>
  </si>
  <si>
    <t xml:space="preserve">HKK95AA </t>
  </si>
  <si>
    <t>HMK95AA</t>
  </si>
  <si>
    <t>M. Werkhäuser</t>
  </si>
  <si>
    <t xml:space="preserve">HST50AA </t>
  </si>
  <si>
    <t xml:space="preserve">HST65AA </t>
  </si>
  <si>
    <t>HTK55AA.03 no RC</t>
  </si>
  <si>
    <t>HTK55AA.03 with RC</t>
  </si>
  <si>
    <t>D. Fridenäs</t>
  </si>
  <si>
    <t>HTK70AA K3 no RC</t>
  </si>
  <si>
    <t>HTK70AA K3 with RC</t>
  </si>
  <si>
    <t>HTK80AA K3 no RC</t>
  </si>
  <si>
    <t>HTK80AA K3 with RC</t>
  </si>
  <si>
    <t>HVH44, K100 with RC</t>
  </si>
  <si>
    <t>HVH44, K120 with RC</t>
  </si>
  <si>
    <t>HXD30AA w RC</t>
  </si>
  <si>
    <t>HXD35AA w RC</t>
  </si>
  <si>
    <t>HXD45AA w RC</t>
  </si>
  <si>
    <t>HXD55AA w RC</t>
  </si>
  <si>
    <t xml:space="preserve">HXK12AA   </t>
  </si>
  <si>
    <t>HXK12AA.K3, RC</t>
  </si>
  <si>
    <t xml:space="preserve">HXK55AA   </t>
  </si>
  <si>
    <t xml:space="preserve">HXK70AA   </t>
  </si>
  <si>
    <t>HXK80AA</t>
  </si>
  <si>
    <t>HXK95AA K3</t>
  </si>
  <si>
    <t>21/10/2016</t>
  </si>
  <si>
    <t>R. Furberg</t>
  </si>
  <si>
    <t>HXK95AA.K3</t>
  </si>
  <si>
    <t>GVM57AA, no RC</t>
  </si>
  <si>
    <t>GVM66AA, no RC</t>
  </si>
  <si>
    <t xml:space="preserve">GVY57AA, no RC# </t>
  </si>
  <si>
    <t xml:space="preserve">GVY66AA, with RC# </t>
  </si>
  <si>
    <t>EGAS100CLP - PTCSIR</t>
  </si>
  <si>
    <t>EGAS80CLP - PTCSIR</t>
  </si>
  <si>
    <t>EGYS90CLP - PTCSCR</t>
  </si>
  <si>
    <t>EGYS90CLP - PTCSIR</t>
  </si>
  <si>
    <t>EM 2C70CLT - 
PTCSCR</t>
  </si>
  <si>
    <t>H. Goettten</t>
  </si>
  <si>
    <t>EM D66CLT</t>
  </si>
  <si>
    <t>EM2C32CLT</t>
  </si>
  <si>
    <t>EM2P70CLP - PTCSIR</t>
  </si>
  <si>
    <t>EM2P70CLP - PTCSIR Core</t>
  </si>
  <si>
    <t>EM2S60CLP - PTCSIR</t>
  </si>
  <si>
    <t>EM2S70CLP - PTCSIR</t>
  </si>
  <si>
    <t>EM2U60CLP - PTCSIR</t>
  </si>
  <si>
    <t xml:space="preserve">EMB32CLC  </t>
  </si>
  <si>
    <t>EMB55CLC</t>
  </si>
  <si>
    <t xml:space="preserve">EMB66CLC  </t>
  </si>
  <si>
    <t>EMB66CLC-test</t>
  </si>
  <si>
    <t>EMC60CLT +TSD2</t>
  </si>
  <si>
    <t xml:space="preserve">EMT17CLP   </t>
  </si>
  <si>
    <t>EMU60CLP - PTCSIR</t>
  </si>
  <si>
    <t>EMX20CLC</t>
  </si>
  <si>
    <t>EMX26CLC</t>
  </si>
  <si>
    <t xml:space="preserve">EMX32CLC   </t>
  </si>
  <si>
    <t xml:space="preserve">EMX40CLC   </t>
  </si>
  <si>
    <t xml:space="preserve">EMX46CLC   </t>
  </si>
  <si>
    <t xml:space="preserve">EMX55CLC   </t>
  </si>
  <si>
    <t xml:space="preserve">EMX66CLC   </t>
  </si>
  <si>
    <t xml:space="preserve">EMY45HSC   </t>
  </si>
  <si>
    <t>EMY70CLP - PTCSCR</t>
  </si>
  <si>
    <t>EMY70CLP - PTCSIR</t>
  </si>
  <si>
    <t>EMY80CLP - PTCSIR</t>
  </si>
  <si>
    <t>EMYE70 CLP - PTCSIR</t>
  </si>
  <si>
    <t>H. Goetten</t>
  </si>
  <si>
    <t xml:space="preserve">EMZ20CLC   </t>
  </si>
  <si>
    <t xml:space="preserve">EMZ26CLC   </t>
  </si>
  <si>
    <t xml:space="preserve">EMZ46CLC   </t>
  </si>
  <si>
    <t>EMT6144U</t>
  </si>
  <si>
    <t>M.Vignocchi</t>
  </si>
  <si>
    <t>EG75HLR - RSIR</t>
  </si>
  <si>
    <t>-</t>
  </si>
  <si>
    <t>EGAS100CLP - RSIR</t>
  </si>
  <si>
    <t>EGAS100HLR - RSIR</t>
  </si>
  <si>
    <t>EGAS80CLP - RSIR</t>
  </si>
  <si>
    <t xml:space="preserve">EGAS80HLP </t>
  </si>
  <si>
    <t>EGAS80HLR</t>
  </si>
  <si>
    <t xml:space="preserve">EGAS80HLR   </t>
  </si>
  <si>
    <t>EGAS80HLR - RSIR</t>
  </si>
  <si>
    <t>EGAS90HLR</t>
  </si>
  <si>
    <t>EGD60HLC_TSD+RC,ISO10</t>
  </si>
  <si>
    <t>EGD70HLC_TSD+RC,ISO10</t>
  </si>
  <si>
    <t>EGS80CLP</t>
  </si>
  <si>
    <t>EGX60HLC_TSD+RC,ISO10</t>
  </si>
  <si>
    <t>EGX70HLC_TSD+RC,ISO10</t>
  </si>
  <si>
    <t>EGY100HLC - RSCR - 5uF</t>
  </si>
  <si>
    <t xml:space="preserve">EGYS100HLP - RSIR </t>
  </si>
  <si>
    <t>EGYS90CLP</t>
  </si>
  <si>
    <t>EGYS90HLP - RSCR 5uF</t>
  </si>
  <si>
    <t xml:space="preserve">EGYS90HLP - RSIR </t>
  </si>
  <si>
    <t xml:space="preserve">EGZ90HLC - RSCR 5uF </t>
  </si>
  <si>
    <t>EGZS100HLC</t>
  </si>
  <si>
    <t>EGZS60HLC,PTC+RC,ISO 10</t>
  </si>
  <si>
    <t>EGZS60HLP</t>
  </si>
  <si>
    <t>EGZS70HLC,PTC+RC,ISO 10</t>
  </si>
  <si>
    <t>EGZS80</t>
  </si>
  <si>
    <t xml:space="preserve">EGZS80   </t>
  </si>
  <si>
    <t>EGZS80HLC - PTCSCR</t>
  </si>
  <si>
    <t>EGZS80HLP - PTCSCR</t>
  </si>
  <si>
    <t xml:space="preserve">EGZS90HLC - RSIR </t>
  </si>
  <si>
    <t>EM 3Z60HLT</t>
  </si>
  <si>
    <t xml:space="preserve">EM20HHR   </t>
  </si>
  <si>
    <t>EM2S80HLR  - RSIR</t>
  </si>
  <si>
    <t>EM2S80HLR - RSIR</t>
  </si>
  <si>
    <t>EM2U60HLP - PTCSCR</t>
  </si>
  <si>
    <t>EM2U60HLP - PTCSIR</t>
  </si>
  <si>
    <t>EM2Y80HLP - RSIR</t>
  </si>
  <si>
    <t>EM2Z60HTL</t>
  </si>
  <si>
    <t>EM3D60HLT_TSD+RC,ISO10</t>
  </si>
  <si>
    <t>EM3D70HLT_TSD+RC,ISO10</t>
  </si>
  <si>
    <t>EM3Z60HLT_TSD+RC,ISO10</t>
  </si>
  <si>
    <t>EM3Z70HLT_TSD+RC,ISO10</t>
  </si>
  <si>
    <t xml:space="preserve">EMI30HER   </t>
  </si>
  <si>
    <t>EMT6160Z</t>
  </si>
  <si>
    <t xml:space="preserve">EMU30HSC   </t>
  </si>
  <si>
    <t>EMY45HSC</t>
  </si>
  <si>
    <t>EMY55HLC</t>
  </si>
  <si>
    <t>EMY60HSC</t>
  </si>
  <si>
    <t>EMY65HLC</t>
  </si>
  <si>
    <t>EMY70HER</t>
  </si>
  <si>
    <t>EMY70HSC</t>
  </si>
  <si>
    <t>EMYe70HEP - PTCSIR</t>
  </si>
  <si>
    <t>EMYS60HEP</t>
  </si>
  <si>
    <t>HYE69YS</t>
  </si>
  <si>
    <t>40.6</t>
  </si>
  <si>
    <t>Carlos Richter</t>
  </si>
  <si>
    <t>BM1112CY</t>
  </si>
  <si>
    <t>NB1114HY - ePTCSCR</t>
  </si>
  <si>
    <t>NB1116HY - ePTCSCR</t>
  </si>
  <si>
    <t>NB1116Y - PTCSCR</t>
  </si>
  <si>
    <t>ND1114Y</t>
  </si>
  <si>
    <t>TH1114HY (Al) - PTCSCR</t>
  </si>
  <si>
    <t>TH1116Y (Al) - PTCSCR</t>
  </si>
  <si>
    <t>DHS51C73RAU</t>
  </si>
  <si>
    <t>DHS57C85RAU</t>
  </si>
  <si>
    <t>DHS66C10RBU</t>
  </si>
  <si>
    <t>DJJ51C71RAU stand. Relay</t>
  </si>
  <si>
    <t>DJJ51C71RAU w PTHTM relay</t>
  </si>
  <si>
    <t xml:space="preserve">DKK51C78RAU   </t>
  </si>
  <si>
    <t>61 Hz</t>
  </si>
  <si>
    <t>DKK51C78RAU   Kevin</t>
  </si>
  <si>
    <t>DKK57C90RAU</t>
  </si>
  <si>
    <t>DKK66C11RAU</t>
  </si>
  <si>
    <t>SF51C</t>
  </si>
  <si>
    <t>SF51C97RAU6</t>
  </si>
  <si>
    <t>MSE148CL1H w std relay</t>
  </si>
  <si>
    <t>MSE148CL1U w std relay</t>
  </si>
  <si>
    <t>MSE152CL1H w std relay</t>
  </si>
  <si>
    <t>MSE152CL1U w std relay</t>
  </si>
  <si>
    <t>NLU8.0KK</t>
  </si>
  <si>
    <t>TA1330MDS-1B - PTCSIR</t>
  </si>
  <si>
    <t>TA1330MDS-2B - PTCSCR</t>
  </si>
  <si>
    <t>TA1330MGS-1B - PTCSIR</t>
  </si>
  <si>
    <t>TA1330MGS-2B - PTCSCR</t>
  </si>
  <si>
    <t>TA1380MGS-1B - PTCSIR</t>
  </si>
  <si>
    <t>TA²1360M-DS1G - PTCSIR</t>
  </si>
  <si>
    <t>TA²1360M-GS1G - PTCSIR</t>
  </si>
  <si>
    <t>TA²1370M-GS1G - PTCSIR</t>
  </si>
  <si>
    <t>TA²1380M-DS1G - PTCSIR</t>
  </si>
  <si>
    <t>TA²1380M-GS1H - PTCSIR</t>
  </si>
  <si>
    <t>TSB1380MDS</t>
  </si>
  <si>
    <t>TSB1380MGS</t>
  </si>
  <si>
    <t>TSB1380MMS</t>
  </si>
  <si>
    <t>TA1330YDS-1A - PTCSIR</t>
  </si>
  <si>
    <t>TA1330YGS-1A - PTCSIR</t>
  </si>
  <si>
    <t>TA1360YDS-1B - PTCSIR</t>
  </si>
  <si>
    <t>TA1360YGS-1B - PTCSIR</t>
  </si>
  <si>
    <t>TA1380YDS-1E - PTCSIR</t>
  </si>
  <si>
    <t>TA1380YDS-2E - PTCSCR</t>
  </si>
  <si>
    <t>TA1380YGS-1E - PTCSIR</t>
  </si>
  <si>
    <t>TA1380YGS-2E - PTCSCR</t>
  </si>
  <si>
    <t>TA1390Y-FZ3C - PTCSCR</t>
  </si>
  <si>
    <t>TA²1360Y-DS1G - PTCSIR</t>
  </si>
  <si>
    <t>TA²1360Y-DS1H - PTCSIR</t>
  </si>
  <si>
    <t>TA²1360Y-GS1H - PTCSIR</t>
  </si>
  <si>
    <t>TA²1380Y-DS1H - PTCSIR</t>
  </si>
  <si>
    <t>TA²1380Y-GS1H - PTCSIR</t>
  </si>
  <si>
    <t>THK1330YGS</t>
  </si>
  <si>
    <t>THL1358YCS</t>
  </si>
  <si>
    <t>THL1358YMS</t>
  </si>
  <si>
    <t>TPH1380YDS</t>
  </si>
  <si>
    <t>TPH1380YGS</t>
  </si>
  <si>
    <t>TSB1374YCS</t>
  </si>
  <si>
    <t>TSB1374YMS</t>
  </si>
  <si>
    <t>TSB1380YDS</t>
  </si>
  <si>
    <t>TSB1380YGS</t>
  </si>
  <si>
    <t>ETA60</t>
  </si>
  <si>
    <t>ETB60</t>
  </si>
  <si>
    <t>ETC95</t>
  </si>
  <si>
    <t>ETH110</t>
  </si>
  <si>
    <t>Carla De Luca</t>
  </si>
  <si>
    <t>ETH110 (Elux. tested)</t>
  </si>
  <si>
    <t>ETH95</t>
  </si>
  <si>
    <t>ETJ110</t>
  </si>
  <si>
    <t>ETJ95</t>
  </si>
  <si>
    <t>ETY80</t>
  </si>
  <si>
    <t>ETY95</t>
  </si>
  <si>
    <t>ETZ110</t>
  </si>
  <si>
    <t>ETZ72</t>
  </si>
  <si>
    <t>ETZ95</t>
  </si>
  <si>
    <t>EYD40L RANGE IMPROVED</t>
  </si>
  <si>
    <t>23.01.2018</t>
  </si>
  <si>
    <t>Luca</t>
  </si>
  <si>
    <t>ASD43K</t>
  </si>
  <si>
    <t>ASD53K</t>
  </si>
  <si>
    <t>ASD65</t>
  </si>
  <si>
    <t>ASF51X</t>
  </si>
  <si>
    <t>ASF53K</t>
  </si>
  <si>
    <t>ASF65K</t>
  </si>
  <si>
    <t>ATK60L</t>
  </si>
  <si>
    <t>H.Goetten</t>
  </si>
  <si>
    <t>M. Vargas</t>
  </si>
  <si>
    <t>L. Pizzatto</t>
  </si>
  <si>
    <t>March 22, 2016</t>
  </si>
  <si>
    <t>M. Werkhauser</t>
  </si>
  <si>
    <t>L.Pizzatto</t>
  </si>
  <si>
    <t>Andrey C.</t>
  </si>
  <si>
    <t>100V</t>
  </si>
  <si>
    <t>Danny Parker</t>
  </si>
  <si>
    <t>Q2_comp</t>
  </si>
  <si>
    <t>E_comp</t>
  </si>
  <si>
    <t>T_evap, T_cond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</si>
</sst>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"/>
    <numFmt numFmtId="166" formatCode="0.000E+00"/>
    <numFmt numFmtId="167" formatCode="[$-409]mmmm\ d\,\ yyyy;@"/>
    <numFmt numFmtId="168" formatCode="h:mm:ss;@"/>
    <numFmt numFmtId="169" formatCode="yyyy/mm/dd;@"/>
  </numFmts>
  <fonts count="3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vertAlign val="subscript"/>
      <sz val="9"/>
      <name val="Arial"/>
      <family val="2"/>
    </font>
    <font>
      <vertAlign val="superscript"/>
      <sz val="9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9"/>
      <name val="Dots"/>
      <family val="1"/>
    </font>
    <font>
      <b/>
      <vertAlign val="subscript"/>
      <sz val="10"/>
      <name val="Arial"/>
      <family val="2"/>
    </font>
    <font>
      <b/>
      <sz val="20"/>
      <name val="Arial"/>
      <family val="2"/>
    </font>
    <font>
      <b/>
      <vertAlign val="subscript"/>
      <sz val="8"/>
      <name val="Arial"/>
      <family val="2"/>
    </font>
    <font>
      <sz val="10"/>
      <color indexed="55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9" fontId="8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7">
    <xf numFmtId="0" fontId="0" fillId="0" borderId="0" xfId="0"/>
    <xf numFmtId="0" fontId="13" fillId="0" borderId="0" xfId="0" applyFont="1"/>
    <xf numFmtId="0" fontId="13" fillId="0" borderId="0" xfId="0" applyFont="1" applyAlignment="1">
      <alignment horizontal="center"/>
    </xf>
    <xf numFmtId="0" fontId="0" fillId="0" borderId="0" xfId="0" applyFill="1"/>
    <xf numFmtId="0" fontId="0" fillId="0" borderId="0" xfId="0" quotePrefix="1" applyFill="1"/>
    <xf numFmtId="0" fontId="15" fillId="0" borderId="0" xfId="0" applyFont="1"/>
    <xf numFmtId="0" fontId="15" fillId="0" borderId="0" xfId="0" applyFont="1" applyAlignment="1">
      <alignment horizontal="left"/>
    </xf>
    <xf numFmtId="0" fontId="8" fillId="0" borderId="0" xfId="0" applyFont="1"/>
    <xf numFmtId="0" fontId="13" fillId="0" borderId="0" xfId="0" applyFont="1" applyAlignment="1">
      <alignment horizontal="left"/>
    </xf>
    <xf numFmtId="0" fontId="8" fillId="0" borderId="0" xfId="4"/>
    <xf numFmtId="0" fontId="12" fillId="0" borderId="0" xfId="4" applyFont="1"/>
    <xf numFmtId="0" fontId="15" fillId="0" borderId="0" xfId="4" applyFont="1"/>
    <xf numFmtId="0" fontId="15" fillId="0" borderId="0" xfId="0" applyFont="1" applyFill="1"/>
    <xf numFmtId="0" fontId="13" fillId="0" borderId="0" xfId="0" applyFont="1" applyFill="1"/>
    <xf numFmtId="0" fontId="12" fillId="3" borderId="0" xfId="4" applyFont="1" applyFill="1" applyAlignment="1">
      <alignment horizontal="center"/>
    </xf>
    <xf numFmtId="14" fontId="12" fillId="3" borderId="0" xfId="4" applyNumberFormat="1" applyFont="1" applyFill="1" applyAlignment="1">
      <alignment horizontal="center"/>
    </xf>
    <xf numFmtId="165" fontId="12" fillId="3" borderId="0" xfId="4" applyNumberFormat="1" applyFont="1" applyFill="1" applyBorder="1" applyAlignment="1" applyProtection="1">
      <alignment horizontal="center"/>
      <protection locked="0"/>
    </xf>
    <xf numFmtId="0" fontId="8" fillId="0" borderId="0" xfId="4" applyFont="1"/>
    <xf numFmtId="0" fontId="21" fillId="0" borderId="0" xfId="4" applyFont="1"/>
    <xf numFmtId="0" fontId="13" fillId="4" borderId="26" xfId="4" applyFont="1" applyFill="1" applyBorder="1" applyAlignment="1" applyProtection="1">
      <alignment horizontal="center" vertical="center"/>
      <protection locked="0"/>
    </xf>
    <xf numFmtId="0" fontId="13" fillId="4" borderId="16" xfId="4" applyFont="1" applyFill="1" applyBorder="1" applyAlignment="1" applyProtection="1">
      <alignment horizontal="center" vertical="center"/>
      <protection locked="0"/>
    </xf>
    <xf numFmtId="0" fontId="13" fillId="0" borderId="26" xfId="4" applyFont="1" applyBorder="1" applyAlignment="1">
      <alignment horizontal="center" vertical="center"/>
    </xf>
    <xf numFmtId="0" fontId="13" fillId="0" borderId="16" xfId="4" applyFont="1" applyBorder="1" applyAlignment="1">
      <alignment horizontal="center" vertical="center"/>
    </xf>
    <xf numFmtId="0" fontId="13" fillId="4" borderId="26" xfId="4" applyFont="1" applyFill="1" applyBorder="1" applyAlignment="1" applyProtection="1">
      <alignment horizontal="center"/>
      <protection locked="0"/>
    </xf>
    <xf numFmtId="165" fontId="12" fillId="3" borderId="26" xfId="4" applyNumberFormat="1" applyFont="1" applyFill="1" applyBorder="1" applyAlignment="1" applyProtection="1">
      <alignment horizontal="center"/>
      <protection locked="0"/>
    </xf>
    <xf numFmtId="165" fontId="12" fillId="3" borderId="16" xfId="4" applyNumberFormat="1" applyFont="1" applyFill="1" applyBorder="1" applyAlignment="1" applyProtection="1">
      <alignment horizontal="center"/>
      <protection locked="0"/>
    </xf>
    <xf numFmtId="0" fontId="13" fillId="0" borderId="26" xfId="4" applyFont="1" applyBorder="1" applyAlignment="1">
      <alignment horizontal="center"/>
    </xf>
    <xf numFmtId="0" fontId="13" fillId="4" borderId="23" xfId="4" applyFont="1" applyFill="1" applyBorder="1" applyAlignment="1" applyProtection="1">
      <alignment horizontal="center"/>
      <protection locked="0"/>
    </xf>
    <xf numFmtId="165" fontId="12" fillId="3" borderId="23" xfId="4" applyNumberFormat="1" applyFont="1" applyFill="1" applyBorder="1" applyAlignment="1" applyProtection="1">
      <alignment horizontal="center"/>
      <protection locked="0"/>
    </xf>
    <xf numFmtId="165" fontId="12" fillId="3" borderId="24" xfId="4" applyNumberFormat="1" applyFont="1" applyFill="1" applyBorder="1" applyAlignment="1" applyProtection="1">
      <alignment horizontal="center"/>
      <protection locked="0"/>
    </xf>
    <xf numFmtId="0" fontId="13" fillId="0" borderId="23" xfId="4" applyFont="1" applyBorder="1" applyAlignment="1">
      <alignment horizontal="center"/>
    </xf>
    <xf numFmtId="165" fontId="12" fillId="0" borderId="26" xfId="4" applyNumberFormat="1" applyFont="1" applyBorder="1" applyAlignment="1">
      <alignment horizontal="center"/>
    </xf>
    <xf numFmtId="165" fontId="12" fillId="0" borderId="16" xfId="4" applyNumberFormat="1" applyFont="1" applyBorder="1" applyAlignment="1">
      <alignment horizontal="center"/>
    </xf>
    <xf numFmtId="165" fontId="12" fillId="0" borderId="23" xfId="4" applyNumberFormat="1" applyFont="1" applyBorder="1" applyAlignment="1">
      <alignment horizontal="center"/>
    </xf>
    <xf numFmtId="165" fontId="12" fillId="0" borderId="24" xfId="4" applyNumberFormat="1" applyFont="1" applyBorder="1" applyAlignment="1">
      <alignment horizontal="center"/>
    </xf>
    <xf numFmtId="0" fontId="13" fillId="0" borderId="26" xfId="4" applyFont="1" applyBorder="1"/>
    <xf numFmtId="0" fontId="13" fillId="0" borderId="16" xfId="4" applyFont="1" applyBorder="1"/>
    <xf numFmtId="2" fontId="12" fillId="0" borderId="26" xfId="4" applyNumberFormat="1" applyFont="1" applyBorder="1" applyAlignment="1">
      <alignment horizontal="center"/>
    </xf>
    <xf numFmtId="2" fontId="8" fillId="0" borderId="26" xfId="4" applyNumberFormat="1" applyBorder="1"/>
    <xf numFmtId="0" fontId="13" fillId="0" borderId="23" xfId="4" applyFont="1" applyBorder="1"/>
    <xf numFmtId="2" fontId="8" fillId="0" borderId="23" xfId="4" applyNumberFormat="1" applyBorder="1"/>
    <xf numFmtId="0" fontId="12" fillId="0" borderId="0" xfId="4" applyFont="1" applyBorder="1"/>
    <xf numFmtId="164" fontId="12" fillId="0" borderId="0" xfId="4" applyNumberFormat="1" applyFont="1" applyBorder="1" applyAlignment="1">
      <alignment horizontal="center"/>
    </xf>
    <xf numFmtId="0" fontId="8" fillId="0" borderId="0" xfId="4" applyFont="1" applyProtection="1">
      <protection locked="0"/>
    </xf>
    <xf numFmtId="168" fontId="8" fillId="0" borderId="0" xfId="4" applyNumberFormat="1" applyFont="1" applyProtection="1">
      <protection locked="0"/>
    </xf>
    <xf numFmtId="164" fontId="8" fillId="0" borderId="0" xfId="4" applyNumberFormat="1"/>
    <xf numFmtId="0" fontId="12" fillId="0" borderId="10" xfId="4" applyFont="1" applyBorder="1"/>
    <xf numFmtId="164" fontId="12" fillId="0" borderId="6" xfId="4" applyNumberFormat="1" applyFont="1" applyBorder="1" applyAlignment="1">
      <alignment horizontal="center"/>
    </xf>
    <xf numFmtId="0" fontId="15" fillId="0" borderId="32" xfId="4" applyFont="1" applyBorder="1"/>
    <xf numFmtId="0" fontId="8" fillId="2" borderId="32" xfId="4" applyFill="1" applyBorder="1" applyAlignment="1" applyProtection="1">
      <alignment horizontal="center" vertical="center"/>
      <protection locked="0"/>
    </xf>
    <xf numFmtId="0" fontId="8" fillId="0" borderId="0" xfId="4" applyAlignment="1">
      <alignment horizontal="center"/>
    </xf>
    <xf numFmtId="0" fontId="15" fillId="0" borderId="33" xfId="4" applyFont="1" applyBorder="1"/>
    <xf numFmtId="0" fontId="8" fillId="2" borderId="13" xfId="4" applyFill="1" applyBorder="1" applyAlignment="1" applyProtection="1">
      <alignment horizontal="center" vertical="center"/>
      <protection locked="0"/>
    </xf>
    <xf numFmtId="0" fontId="8" fillId="2" borderId="27" xfId="4" applyFill="1" applyBorder="1" applyAlignment="1" applyProtection="1">
      <alignment horizontal="center" vertical="center"/>
      <protection locked="0"/>
    </xf>
    <xf numFmtId="2" fontId="12" fillId="0" borderId="0" xfId="4" applyNumberFormat="1" applyFont="1" applyAlignment="1">
      <alignment horizontal="center"/>
    </xf>
    <xf numFmtId="0" fontId="8" fillId="2" borderId="11" xfId="4" applyFill="1" applyBorder="1" applyAlignment="1" applyProtection="1">
      <alignment horizontal="center" vertical="center"/>
      <protection locked="0"/>
    </xf>
    <xf numFmtId="10" fontId="12" fillId="0" borderId="0" xfId="4" applyNumberFormat="1" applyFont="1" applyAlignment="1">
      <alignment horizontal="center"/>
    </xf>
    <xf numFmtId="0" fontId="25" fillId="7" borderId="32" xfId="4" applyFont="1" applyFill="1" applyBorder="1" applyAlignment="1">
      <alignment horizontal="center" vertical="center"/>
    </xf>
    <xf numFmtId="0" fontId="25" fillId="7" borderId="13" xfId="4" applyFont="1" applyFill="1" applyBorder="1" applyAlignment="1">
      <alignment horizontal="center" vertical="center"/>
    </xf>
    <xf numFmtId="0" fontId="8" fillId="0" borderId="12" xfId="4" applyFont="1" applyBorder="1" applyAlignment="1">
      <alignment horizontal="center" vertical="center"/>
    </xf>
    <xf numFmtId="0" fontId="20" fillId="2" borderId="6" xfId="4" applyFont="1" applyFill="1" applyBorder="1" applyAlignment="1" applyProtection="1">
      <alignment vertical="center" shrinkToFit="1"/>
      <protection locked="0"/>
    </xf>
    <xf numFmtId="10" fontId="8" fillId="0" borderId="0" xfId="1" applyNumberFormat="1" applyFont="1"/>
    <xf numFmtId="0" fontId="8" fillId="0" borderId="0" xfId="4" applyProtection="1"/>
    <xf numFmtId="0" fontId="8" fillId="2" borderId="5" xfId="4" applyFill="1" applyBorder="1" applyAlignment="1" applyProtection="1">
      <alignment horizontal="center" vertical="center"/>
      <protection locked="0"/>
    </xf>
    <xf numFmtId="0" fontId="8" fillId="8" borderId="5" xfId="4" applyFont="1" applyFill="1" applyBorder="1" applyAlignment="1">
      <alignment horizontal="center" vertical="center"/>
    </xf>
    <xf numFmtId="9" fontId="8" fillId="2" borderId="6" xfId="3" applyFont="1" applyFill="1" applyBorder="1" applyAlignment="1" applyProtection="1">
      <alignment horizontal="center" vertical="center"/>
      <protection locked="0"/>
    </xf>
    <xf numFmtId="10" fontId="8" fillId="0" borderId="0" xfId="4" applyNumberFormat="1"/>
    <xf numFmtId="2" fontId="12" fillId="0" borderId="26" xfId="4" applyNumberFormat="1" applyFont="1" applyFill="1" applyBorder="1" applyAlignment="1" applyProtection="1">
      <alignment horizontal="center"/>
      <protection locked="0"/>
    </xf>
    <xf numFmtId="10" fontId="12" fillId="0" borderId="26" xfId="1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2" fontId="0" fillId="0" borderId="0" xfId="0" quotePrefix="1" applyNumberFormat="1" applyFill="1"/>
    <xf numFmtId="2" fontId="0" fillId="0" borderId="0" xfId="0" quotePrefix="1" applyNumberFormat="1"/>
    <xf numFmtId="2" fontId="8" fillId="0" borderId="0" xfId="0" quotePrefix="1" applyNumberFormat="1" applyFont="1" applyFill="1"/>
    <xf numFmtId="2" fontId="8" fillId="0" borderId="0" xfId="0" quotePrefix="1" applyNumberFormat="1" applyFont="1"/>
    <xf numFmtId="0" fontId="8" fillId="0" borderId="0" xfId="4" applyFill="1"/>
    <xf numFmtId="0" fontId="15" fillId="0" borderId="0" xfId="4" applyFont="1" applyAlignment="1">
      <alignment horizontal="center"/>
    </xf>
    <xf numFmtId="2" fontId="8" fillId="0" borderId="0" xfId="4" applyNumberFormat="1" applyFont="1" applyAlignment="1">
      <alignment horizontal="left"/>
    </xf>
    <xf numFmtId="10" fontId="8" fillId="0" borderId="0" xfId="1" applyNumberFormat="1" applyAlignment="1">
      <alignment horizontal="center"/>
    </xf>
    <xf numFmtId="10" fontId="8" fillId="0" borderId="0" xfId="1" applyNumberFormat="1" applyFont="1" applyAlignment="1">
      <alignment horizontal="center"/>
    </xf>
    <xf numFmtId="0" fontId="26" fillId="0" borderId="0" xfId="0" applyFont="1"/>
    <xf numFmtId="0" fontId="28" fillId="0" borderId="0" xfId="0" applyFont="1"/>
    <xf numFmtId="0" fontId="0" fillId="9" borderId="0" xfId="0" applyFill="1"/>
    <xf numFmtId="167" fontId="0" fillId="0" borderId="0" xfId="0" applyNumberFormat="1"/>
    <xf numFmtId="14" fontId="8" fillId="0" borderId="0" xfId="4" applyNumberFormat="1"/>
    <xf numFmtId="0" fontId="8" fillId="0" borderId="0" xfId="5" applyFont="1"/>
    <xf numFmtId="0" fontId="8" fillId="0" borderId="0" xfId="5"/>
    <xf numFmtId="2" fontId="9" fillId="0" borderId="0" xfId="5" applyNumberFormat="1" applyFont="1" applyAlignment="1">
      <alignment horizontal="left"/>
    </xf>
    <xf numFmtId="169" fontId="31" fillId="0" borderId="0" xfId="4" applyNumberFormat="1" applyFont="1"/>
    <xf numFmtId="11" fontId="0" fillId="0" borderId="0" xfId="0" quotePrefix="1" applyNumberFormat="1" applyFill="1"/>
    <xf numFmtId="166" fontId="0" fillId="0" borderId="0" xfId="0" quotePrefix="1" applyNumberFormat="1" applyFill="1"/>
    <xf numFmtId="0" fontId="8" fillId="0" borderId="0" xfId="10" applyFont="1" applyFill="1" applyAlignment="1">
      <alignment horizontal="left"/>
    </xf>
    <xf numFmtId="0" fontId="32" fillId="0" borderId="0" xfId="10" applyFont="1" applyFill="1" applyAlignment="1">
      <alignment horizontal="left"/>
    </xf>
    <xf numFmtId="0" fontId="8" fillId="0" borderId="0" xfId="4" applyFont="1" applyFill="1"/>
    <xf numFmtId="166" fontId="32" fillId="0" borderId="0" xfId="10" quotePrefix="1" applyNumberFormat="1" applyFont="1" applyFill="1"/>
    <xf numFmtId="11" fontId="32" fillId="0" borderId="0" xfId="10" quotePrefix="1" applyNumberFormat="1" applyFont="1" applyFill="1"/>
    <xf numFmtId="11" fontId="8" fillId="0" borderId="0" xfId="4" quotePrefix="1" applyNumberFormat="1" applyFill="1"/>
    <xf numFmtId="166" fontId="8" fillId="0" borderId="0" xfId="4" quotePrefix="1" applyNumberFormat="1" applyFill="1"/>
    <xf numFmtId="11" fontId="0" fillId="0" borderId="0" xfId="0" applyNumberFormat="1" applyFill="1"/>
    <xf numFmtId="166" fontId="0" fillId="0" borderId="0" xfId="0" applyNumberFormat="1" applyFill="1"/>
    <xf numFmtId="0" fontId="8" fillId="0" borderId="0" xfId="0" applyFont="1" applyFill="1"/>
    <xf numFmtId="166" fontId="8" fillId="0" borderId="0" xfId="10" quotePrefix="1" applyNumberFormat="1" applyFont="1" applyFill="1"/>
    <xf numFmtId="11" fontId="8" fillId="0" borderId="0" xfId="0" quotePrefix="1" applyNumberFormat="1" applyFont="1" applyFill="1"/>
    <xf numFmtId="166" fontId="8" fillId="0" borderId="0" xfId="0" quotePrefix="1" applyNumberFormat="1" applyFont="1" applyFill="1"/>
    <xf numFmtId="0" fontId="8" fillId="0" borderId="0" xfId="5" applyFont="1" applyFill="1" applyAlignment="1">
      <alignment horizontal="left"/>
    </xf>
    <xf numFmtId="0" fontId="8" fillId="0" borderId="0" xfId="5" quotePrefix="1" applyFont="1" applyFill="1"/>
    <xf numFmtId="0" fontId="8" fillId="0" borderId="0" xfId="5" applyFont="1" applyFill="1"/>
    <xf numFmtId="0" fontId="15" fillId="0" borderId="0" xfId="4" applyFont="1" applyFill="1"/>
    <xf numFmtId="11" fontId="8" fillId="0" borderId="0" xfId="10" quotePrefix="1" applyNumberFormat="1" applyFont="1" applyFill="1"/>
    <xf numFmtId="0" fontId="8" fillId="0" borderId="0" xfId="0" quotePrefix="1" applyFont="1" applyFill="1"/>
    <xf numFmtId="0" fontId="32" fillId="0" borderId="0" xfId="10" quotePrefix="1" applyFont="1" applyFill="1"/>
    <xf numFmtId="0" fontId="8" fillId="0" borderId="0" xfId="4"/>
    <xf numFmtId="2" fontId="8" fillId="0" borderId="16" xfId="4" applyNumberFormat="1" applyBorder="1"/>
    <xf numFmtId="2" fontId="8" fillId="0" borderId="24" xfId="4" applyNumberFormat="1" applyBorder="1"/>
    <xf numFmtId="0" fontId="13" fillId="0" borderId="0" xfId="4" applyFont="1" applyAlignment="1">
      <alignment horizontal="center"/>
    </xf>
    <xf numFmtId="164" fontId="8" fillId="6" borderId="0" xfId="4" applyNumberFormat="1" applyFont="1" applyFill="1" applyAlignment="1" applyProtection="1">
      <alignment horizontal="center"/>
      <protection locked="0"/>
    </xf>
    <xf numFmtId="0" fontId="19" fillId="0" borderId="0" xfId="0" applyFont="1"/>
    <xf numFmtId="2" fontId="8" fillId="0" borderId="0" xfId="10" quotePrefix="1" applyNumberFormat="1" applyFont="1" applyFill="1" applyAlignment="1">
      <alignment horizontal="center"/>
    </xf>
    <xf numFmtId="10" fontId="8" fillId="0" borderId="0" xfId="1" applyNumberFormat="1" applyFont="1" applyFill="1" applyAlignment="1">
      <alignment horizontal="center"/>
    </xf>
    <xf numFmtId="0" fontId="8" fillId="0" borderId="0" xfId="10" applyFont="1" applyFill="1" applyAlignment="1">
      <alignment horizontal="center"/>
    </xf>
    <xf numFmtId="167" fontId="8" fillId="0" borderId="0" xfId="10" applyNumberFormat="1" applyFont="1" applyFill="1" applyAlignment="1">
      <alignment horizontal="center"/>
    </xf>
    <xf numFmtId="0" fontId="12" fillId="0" borderId="25" xfId="4" applyFont="1" applyBorder="1" applyAlignment="1">
      <alignment horizontal="center" vertical="center" textRotation="90"/>
    </xf>
    <xf numFmtId="0" fontId="12" fillId="0" borderId="22" xfId="4" applyFont="1" applyBorder="1" applyAlignment="1">
      <alignment horizontal="center" vertical="center" textRotation="90"/>
    </xf>
    <xf numFmtId="0" fontId="15" fillId="0" borderId="10" xfId="4" applyFont="1" applyBorder="1" applyAlignment="1">
      <alignment horizontal="center"/>
    </xf>
    <xf numFmtId="0" fontId="15" fillId="0" borderId="5" xfId="4" applyFont="1" applyBorder="1" applyAlignment="1">
      <alignment horizontal="center"/>
    </xf>
    <xf numFmtId="0" fontId="15" fillId="0" borderId="6" xfId="4" applyFont="1" applyBorder="1" applyAlignment="1">
      <alignment horizontal="center"/>
    </xf>
    <xf numFmtId="0" fontId="15" fillId="0" borderId="10" xfId="4" applyFont="1" applyBorder="1" applyAlignment="1">
      <alignment horizontal="center" vertical="center"/>
    </xf>
    <xf numFmtId="0" fontId="15" fillId="0" borderId="6" xfId="4" applyFont="1" applyBorder="1" applyAlignment="1">
      <alignment horizontal="center" vertical="center"/>
    </xf>
    <xf numFmtId="0" fontId="15" fillId="0" borderId="0" xfId="4" applyFont="1" applyAlignment="1">
      <alignment horizontal="center" wrapText="1"/>
    </xf>
    <xf numFmtId="0" fontId="15" fillId="0" borderId="9" xfId="4" applyFont="1" applyBorder="1" applyAlignment="1">
      <alignment horizontal="center" wrapText="1"/>
    </xf>
    <xf numFmtId="0" fontId="13" fillId="0" borderId="19" xfId="4" applyFont="1" applyBorder="1" applyAlignment="1">
      <alignment horizontal="center" wrapText="1"/>
    </xf>
    <xf numFmtId="0" fontId="12" fillId="0" borderId="20" xfId="4" applyFont="1" applyBorder="1" applyAlignment="1">
      <alignment horizontal="center"/>
    </xf>
    <xf numFmtId="0" fontId="12" fillId="0" borderId="25" xfId="4" applyFont="1" applyBorder="1" applyAlignment="1">
      <alignment horizontal="center"/>
    </xf>
    <xf numFmtId="0" fontId="12" fillId="0" borderId="26" xfId="4" applyFont="1" applyBorder="1" applyAlignment="1">
      <alignment horizontal="center"/>
    </xf>
    <xf numFmtId="0" fontId="12" fillId="0" borderId="21" xfId="4" applyFont="1" applyBorder="1" applyAlignment="1">
      <alignment horizontal="center"/>
    </xf>
    <xf numFmtId="0" fontId="12" fillId="0" borderId="8" xfId="4" applyFont="1" applyBorder="1" applyAlignment="1">
      <alignment horizontal="center" vertical="center"/>
    </xf>
    <xf numFmtId="0" fontId="12" fillId="0" borderId="18" xfId="4" applyFont="1" applyBorder="1" applyAlignment="1">
      <alignment horizontal="center" vertical="center"/>
    </xf>
    <xf numFmtId="0" fontId="12" fillId="0" borderId="17" xfId="4" applyFont="1" applyBorder="1" applyAlignment="1">
      <alignment horizontal="center" vertical="center"/>
    </xf>
    <xf numFmtId="0" fontId="12" fillId="0" borderId="14" xfId="4" applyFont="1" applyBorder="1" applyAlignment="1">
      <alignment horizontal="center" vertical="center"/>
    </xf>
    <xf numFmtId="0" fontId="15" fillId="0" borderId="8" xfId="4" applyFont="1" applyBorder="1" applyAlignment="1">
      <alignment horizontal="center" vertical="center" wrapText="1"/>
    </xf>
    <xf numFmtId="0" fontId="15" fillId="0" borderId="18" xfId="4" applyFont="1" applyBorder="1" applyAlignment="1">
      <alignment horizontal="center" vertical="center" wrapText="1"/>
    </xf>
    <xf numFmtId="0" fontId="15" fillId="0" borderId="17" xfId="4" applyFont="1" applyBorder="1" applyAlignment="1">
      <alignment horizontal="center" vertical="center" wrapText="1"/>
    </xf>
    <xf numFmtId="0" fontId="15" fillId="0" borderId="14" xfId="4" applyFont="1" applyBorder="1" applyAlignment="1">
      <alignment horizontal="center" vertical="center" wrapText="1"/>
    </xf>
    <xf numFmtId="2" fontId="23" fillId="5" borderId="8" xfId="4" applyNumberFormat="1" applyFont="1" applyFill="1" applyBorder="1" applyAlignment="1">
      <alignment horizontal="center" vertical="center"/>
    </xf>
    <xf numFmtId="2" fontId="23" fillId="5" borderId="2" xfId="4" applyNumberFormat="1" applyFont="1" applyFill="1" applyBorder="1" applyAlignment="1">
      <alignment horizontal="center" vertical="center"/>
    </xf>
    <xf numFmtId="2" fontId="23" fillId="5" borderId="7" xfId="4" applyNumberFormat="1" applyFont="1" applyFill="1" applyBorder="1" applyAlignment="1">
      <alignment horizontal="center" vertical="center"/>
    </xf>
    <xf numFmtId="2" fontId="23" fillId="5" borderId="4" xfId="4" applyNumberFormat="1" applyFont="1" applyFill="1" applyBorder="1" applyAlignment="1">
      <alignment horizontal="center" vertical="center"/>
    </xf>
    <xf numFmtId="2" fontId="23" fillId="5" borderId="9" xfId="4" applyNumberFormat="1" applyFont="1" applyFill="1" applyBorder="1" applyAlignment="1">
      <alignment horizontal="center" vertical="center"/>
    </xf>
    <xf numFmtId="2" fontId="23" fillId="5" borderId="11" xfId="4" applyNumberFormat="1" applyFont="1" applyFill="1" applyBorder="1" applyAlignment="1">
      <alignment horizontal="center" vertical="center"/>
    </xf>
    <xf numFmtId="0" fontId="30" fillId="0" borderId="29" xfId="4" applyFont="1" applyBorder="1" applyAlignment="1">
      <alignment horizontal="center" vertical="center"/>
    </xf>
    <xf numFmtId="0" fontId="30" fillId="0" borderId="30" xfId="4" applyFont="1" applyBorder="1" applyAlignment="1">
      <alignment horizontal="center" vertical="center"/>
    </xf>
    <xf numFmtId="0" fontId="30" fillId="0" borderId="34" xfId="4" applyFont="1" applyBorder="1" applyAlignment="1">
      <alignment horizontal="center" vertical="center"/>
    </xf>
    <xf numFmtId="0" fontId="8" fillId="0" borderId="5" xfId="4" applyBorder="1" applyAlignment="1">
      <alignment horizontal="center" vertical="center"/>
    </xf>
    <xf numFmtId="0" fontId="8" fillId="0" borderId="6" xfId="4" applyBorder="1" applyAlignment="1">
      <alignment horizontal="center" vertical="center"/>
    </xf>
    <xf numFmtId="165" fontId="23" fillId="5" borderId="2" xfId="4" applyNumberFormat="1" applyFont="1" applyFill="1" applyBorder="1" applyAlignment="1" applyProtection="1">
      <alignment horizontal="center" vertical="center"/>
      <protection locked="0"/>
    </xf>
    <xf numFmtId="165" fontId="23" fillId="5" borderId="9" xfId="4" applyNumberFormat="1" applyFont="1" applyFill="1" applyBorder="1" applyAlignment="1" applyProtection="1">
      <alignment horizontal="center" vertical="center"/>
      <protection locked="0"/>
    </xf>
    <xf numFmtId="0" fontId="23" fillId="5" borderId="7" xfId="4" applyFont="1" applyFill="1" applyBorder="1" applyAlignment="1">
      <alignment horizontal="left" vertical="center"/>
    </xf>
    <xf numFmtId="0" fontId="23" fillId="5" borderId="11" xfId="4" applyFont="1" applyFill="1" applyBorder="1" applyAlignment="1">
      <alignment horizontal="left" vertical="center"/>
    </xf>
    <xf numFmtId="0" fontId="8" fillId="0" borderId="8" xfId="4" applyFont="1" applyBorder="1" applyAlignment="1">
      <alignment horizontal="center" vertical="center" wrapText="1"/>
    </xf>
    <xf numFmtId="0" fontId="8" fillId="0" borderId="7" xfId="4" applyFont="1" applyBorder="1" applyAlignment="1">
      <alignment horizontal="center" vertical="center" wrapText="1"/>
    </xf>
    <xf numFmtId="0" fontId="8" fillId="0" borderId="7" xfId="4" applyBorder="1" applyAlignment="1">
      <alignment horizontal="center" vertical="center"/>
    </xf>
    <xf numFmtId="0" fontId="8" fillId="0" borderId="3" xfId="4" applyBorder="1" applyAlignment="1">
      <alignment horizontal="center" vertical="center"/>
    </xf>
    <xf numFmtId="0" fontId="8" fillId="0" borderId="11" xfId="4" applyBorder="1" applyAlignment="1">
      <alignment horizontal="center" vertical="center"/>
    </xf>
    <xf numFmtId="0" fontId="30" fillId="0" borderId="20" xfId="4" applyFont="1" applyBorder="1" applyAlignment="1">
      <alignment horizontal="center"/>
    </xf>
    <xf numFmtId="0" fontId="30" fillId="0" borderId="21" xfId="4" applyFont="1" applyBorder="1" applyAlignment="1">
      <alignment horizontal="center"/>
    </xf>
    <xf numFmtId="0" fontId="19" fillId="0" borderId="19" xfId="4" applyFont="1" applyBorder="1" applyAlignment="1">
      <alignment horizontal="center" vertical="center" wrapText="1"/>
    </xf>
    <xf numFmtId="0" fontId="30" fillId="0" borderId="20" xfId="4" applyFont="1" applyBorder="1" applyAlignment="1">
      <alignment horizontal="center" vertical="center"/>
    </xf>
    <xf numFmtId="0" fontId="30" fillId="0" borderId="25" xfId="4" applyFont="1" applyBorder="1" applyAlignment="1">
      <alignment horizontal="center" vertical="center"/>
    </xf>
    <xf numFmtId="0" fontId="30" fillId="0" borderId="26" xfId="4" applyFont="1" applyBorder="1" applyAlignment="1">
      <alignment horizontal="center" vertical="center"/>
    </xf>
    <xf numFmtId="0" fontId="8" fillId="3" borderId="15" xfId="4" applyFont="1" applyFill="1" applyBorder="1" applyAlignment="1">
      <alignment horizontal="center"/>
    </xf>
    <xf numFmtId="0" fontId="8" fillId="3" borderId="1" xfId="4" applyFont="1" applyFill="1" applyBorder="1" applyAlignment="1">
      <alignment horizontal="center"/>
    </xf>
    <xf numFmtId="0" fontId="19" fillId="0" borderId="28" xfId="4" applyFont="1" applyBorder="1" applyAlignment="1">
      <alignment horizontal="center" wrapText="1"/>
    </xf>
    <xf numFmtId="0" fontId="19" fillId="0" borderId="31" xfId="4" applyFont="1" applyBorder="1" applyAlignment="1">
      <alignment horizontal="center" wrapText="1"/>
    </xf>
    <xf numFmtId="165" fontId="0" fillId="0" borderId="0" xfId="0" applyNumberFormat="1"/>
    <xf numFmtId="165" fontId="8" fillId="0" borderId="0" xfId="4" applyNumberFormat="1"/>
  </cellXfs>
  <cellStyles count="17">
    <cellStyle name="Normal" xfId="0" builtinId="0"/>
    <cellStyle name="Normal 14" xfId="5" xr:uid="{00000000-0005-0000-0000-000001000000}"/>
    <cellStyle name="Normal 19" xfId="6" xr:uid="{00000000-0005-0000-0000-000002000000}"/>
    <cellStyle name="Normal 2" xfId="4" xr:uid="{00000000-0005-0000-0000-000003000000}"/>
    <cellStyle name="Normal 3" xfId="8" xr:uid="{00000000-0005-0000-0000-000004000000}"/>
    <cellStyle name="Normal 4" xfId="10" xr:uid="{00000000-0005-0000-0000-000005000000}"/>
    <cellStyle name="Normal 5" xfId="12" xr:uid="{00000000-0005-0000-0000-000006000000}"/>
    <cellStyle name="Normal 6" xfId="13" xr:uid="{00000000-0005-0000-0000-000007000000}"/>
    <cellStyle name="Normal 7" xfId="14" xr:uid="{00000000-0005-0000-0000-000008000000}"/>
    <cellStyle name="Normal 7 2" xfId="15" xr:uid="{00000000-0005-0000-0000-000009000000}"/>
    <cellStyle name="Normal 8" xfId="16" xr:uid="{00000000-0005-0000-0000-00000A000000}"/>
    <cellStyle name="Percent" xfId="1" builtinId="5"/>
    <cellStyle name="Percent 2" xfId="2" xr:uid="{00000000-0005-0000-0000-00000C000000}"/>
    <cellStyle name="Percent 2 2" xfId="3" xr:uid="{00000000-0005-0000-0000-00000D000000}"/>
    <cellStyle name="Percent 3" xfId="7" xr:uid="{00000000-0005-0000-0000-00000E000000}"/>
    <cellStyle name="Percent 4" xfId="9" xr:uid="{00000000-0005-0000-0000-00000F000000}"/>
    <cellStyle name="Percent 5" xfId="11" xr:uid="{00000000-0005-0000-0000-000010000000}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3366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hPercent val="100"/>
      <c:rotY val="9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2.7548209366391185E-2"/>
          <c:y val="0"/>
          <c:w val="0.67089734131699796"/>
          <c:h val="0.94749098058855763"/>
        </c:manualLayout>
      </c:layout>
      <c:surface3DChart>
        <c:wireframe val="0"/>
        <c:ser>
          <c:idx val="0"/>
          <c:order val="0"/>
          <c:tx>
            <c:strRef>
              <c:f>Compressor_curves!$BD$114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Compressor_curves!$BD$115:$BD$121</c:f>
              <c:numCache>
                <c:formatCode>0.00</c:formatCode>
                <c:ptCount val="7"/>
                <c:pt idx="0">
                  <c:v>18.806425312608624</c:v>
                </c:pt>
                <c:pt idx="1">
                  <c:v>12.83875128453704</c:v>
                </c:pt>
                <c:pt idx="2">
                  <c:v>41.498215062249514</c:v>
                </c:pt>
                <c:pt idx="3">
                  <c:v>35.054748056722175</c:v>
                </c:pt>
                <c:pt idx="4">
                  <c:v>4.5923545993437163</c:v>
                </c:pt>
                <c:pt idx="5">
                  <c:v>47.843107835251786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5E-4F16-A5A9-F3EA2DC87C36}"/>
            </c:ext>
          </c:extLst>
        </c:ser>
        <c:ser>
          <c:idx val="1"/>
          <c:order val="1"/>
          <c:tx>
            <c:strRef>
              <c:f>Compressor_curves!$BE$114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Compressor_curves!$BE$115:$BE$121</c:f>
              <c:numCache>
                <c:formatCode>0.00</c:formatCode>
                <c:ptCount val="7"/>
                <c:pt idx="0">
                  <c:v>37.021084478433927</c:v>
                </c:pt>
                <c:pt idx="1">
                  <c:v>5.6401831085028258</c:v>
                </c:pt>
                <c:pt idx="2">
                  <c:v>124.40682984790433</c:v>
                </c:pt>
                <c:pt idx="3">
                  <c:v>71.110480726048891</c:v>
                </c:pt>
                <c:pt idx="4">
                  <c:v>214.77214613681943</c:v>
                </c:pt>
                <c:pt idx="5">
                  <c:v>58.597930986121597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5E-4F16-A5A9-F3EA2DC87C36}"/>
            </c:ext>
          </c:extLst>
        </c:ser>
        <c:ser>
          <c:idx val="2"/>
          <c:order val="2"/>
          <c:tx>
            <c:strRef>
              <c:f>Compressor_curves!$BF$114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Compressor_curves!$BF$115:$BF$121</c:f>
              <c:numCache>
                <c:formatCode>0.00</c:formatCode>
                <c:ptCount val="7"/>
                <c:pt idx="0">
                  <c:v>20.795008587787681</c:v>
                </c:pt>
                <c:pt idx="1">
                  <c:v>11.101136551632404</c:v>
                </c:pt>
                <c:pt idx="2">
                  <c:v>60.40781722651581</c:v>
                </c:pt>
                <c:pt idx="3">
                  <c:v>115.67805915461885</c:v>
                </c:pt>
                <c:pt idx="4">
                  <c:v>26.389516404085729</c:v>
                </c:pt>
                <c:pt idx="5">
                  <c:v>0.88425842500872753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5E-4F16-A5A9-F3EA2DC87C36}"/>
            </c:ext>
          </c:extLst>
        </c:ser>
        <c:ser>
          <c:idx val="3"/>
          <c:order val="3"/>
          <c:tx>
            <c:strRef>
              <c:f>Compressor_curves!$BG$114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Compressor_curves!$BG$115:$BG$121</c:f>
              <c:numCache>
                <c:formatCode>0.00</c:formatCode>
                <c:ptCount val="7"/>
                <c:pt idx="0">
                  <c:v>9.353143742851822</c:v>
                </c:pt>
                <c:pt idx="1">
                  <c:v>9.078856858077117</c:v>
                </c:pt>
                <c:pt idx="2">
                  <c:v>1.5709199290356899</c:v>
                </c:pt>
                <c:pt idx="3">
                  <c:v>1.4069837107590504</c:v>
                </c:pt>
                <c:pt idx="4">
                  <c:v>8.2394937137666968</c:v>
                </c:pt>
                <c:pt idx="5">
                  <c:v>74.664147965280364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5E-4F16-A5A9-F3EA2DC87C36}"/>
            </c:ext>
          </c:extLst>
        </c:ser>
        <c:ser>
          <c:idx val="4"/>
          <c:order val="4"/>
          <c:tx>
            <c:strRef>
              <c:f>Compressor_curves!$BH$114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Compressor_curves!$BH$115:$BH$121</c:f>
              <c:numCache>
                <c:formatCode>0.00</c:formatCode>
                <c:ptCount val="7"/>
                <c:pt idx="0">
                  <c:v>109.70036417531763</c:v>
                </c:pt>
                <c:pt idx="1">
                  <c:v>45.242043600711099</c:v>
                </c:pt>
                <c:pt idx="2">
                  <c:v>65.354611591499449</c:v>
                </c:pt>
                <c:pt idx="3">
                  <c:v>37.119985916990473</c:v>
                </c:pt>
                <c:pt idx="4">
                  <c:v>29.865546728542551</c:v>
                </c:pt>
                <c:pt idx="5">
                  <c:v>73.909487792295593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5E-4F16-A5A9-F3EA2DC87C36}"/>
            </c:ext>
          </c:extLst>
        </c:ser>
        <c:ser>
          <c:idx val="5"/>
          <c:order val="5"/>
          <c:tx>
            <c:strRef>
              <c:f>Compressor_curves!$BI$114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Compressor_curves!$BI$115:$BI$121</c:f>
              <c:numCache>
                <c:formatCode>0.00</c:formatCode>
                <c:ptCount val="7"/>
                <c:pt idx="0">
                  <c:v>16.854059638311153</c:v>
                </c:pt>
                <c:pt idx="1">
                  <c:v>4.1436867559670967</c:v>
                </c:pt>
                <c:pt idx="2">
                  <c:v>1.5240063083512743</c:v>
                </c:pt>
                <c:pt idx="3">
                  <c:v>0.17427938439282939</c:v>
                </c:pt>
                <c:pt idx="4">
                  <c:v>5.8544239186436337E-2</c:v>
                </c:pt>
                <c:pt idx="5">
                  <c:v>7.649656985941145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5E-4F16-A5A9-F3EA2DC87C36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894965104"/>
        <c:axId val="809577376"/>
        <c:axId val="920587440"/>
      </c:surface3DChart>
      <c:catAx>
        <c:axId val="89496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957737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809577376"/>
        <c:scaling>
          <c:orientation val="minMax"/>
          <c:max val="0.30000000000000032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894965104"/>
        <c:crosses val="autoZero"/>
        <c:crossBetween val="midCat"/>
        <c:majorUnit val="0.05"/>
      </c:valAx>
      <c:serAx>
        <c:axId val="92058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9577376"/>
        <c:crosses val="autoZero"/>
        <c:tickLblSkip val="1"/>
        <c:tickMarkSkip val="1"/>
      </c:ser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79074284019165908"/>
          <c:y val="0.11977401129943503"/>
          <c:w val="0.20466559616165916"/>
          <c:h val="0.55367231638421865"/>
        </c:manualLayout>
      </c:layout>
      <c:overlay val="0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 rtl="0"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hPercent val="100"/>
      <c:rotY val="9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2.7548209366391185E-2"/>
          <c:y val="0"/>
          <c:w val="0.69541961777390893"/>
          <c:h val="0.94730477839206251"/>
        </c:manualLayout>
      </c:layout>
      <c:surface3DChart>
        <c:wireframe val="0"/>
        <c:ser>
          <c:idx val="0"/>
          <c:order val="0"/>
          <c:tx>
            <c:strRef>
              <c:f>Compressor_curves!$BM$114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Compressor_curves!$BM$115:$BM$121</c:f>
              <c:numCache>
                <c:formatCode>0.0</c:formatCode>
                <c:ptCount val="7"/>
                <c:pt idx="0">
                  <c:v>6.9013439725652663</c:v>
                </c:pt>
                <c:pt idx="1">
                  <c:v>3.2714015857877801</c:v>
                </c:pt>
                <c:pt idx="2">
                  <c:v>4.9709479652775448</c:v>
                </c:pt>
                <c:pt idx="3">
                  <c:v>4.6895107602700552</c:v>
                </c:pt>
                <c:pt idx="4">
                  <c:v>3.7254823611012498</c:v>
                </c:pt>
                <c:pt idx="5">
                  <c:v>7.4469846967087587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1-4A74-A323-094CD43E89E4}"/>
            </c:ext>
          </c:extLst>
        </c:ser>
        <c:ser>
          <c:idx val="1"/>
          <c:order val="1"/>
          <c:tx>
            <c:strRef>
              <c:f>Compressor_curves!$BN$114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Compressor_curves!$BN$115:$BN$121</c:f>
              <c:numCache>
                <c:formatCode>0.0</c:formatCode>
                <c:ptCount val="7"/>
                <c:pt idx="0">
                  <c:v>3.9726119174558141</c:v>
                </c:pt>
                <c:pt idx="1">
                  <c:v>9.3482534830527673</c:v>
                </c:pt>
                <c:pt idx="2">
                  <c:v>7.7146946901625197</c:v>
                </c:pt>
                <c:pt idx="3">
                  <c:v>9.4996747196666522</c:v>
                </c:pt>
                <c:pt idx="4">
                  <c:v>4.5021178936564512</c:v>
                </c:pt>
                <c:pt idx="5">
                  <c:v>3.4368624302576176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A1-4A74-A323-094CD43E89E4}"/>
            </c:ext>
          </c:extLst>
        </c:ser>
        <c:ser>
          <c:idx val="2"/>
          <c:order val="2"/>
          <c:tx>
            <c:strRef>
              <c:f>Compressor_curves!$BO$114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Compressor_curves!$BO$115:$BO$121</c:f>
              <c:numCache>
                <c:formatCode>0.0</c:formatCode>
                <c:ptCount val="7"/>
                <c:pt idx="0">
                  <c:v>9.3653230273665269</c:v>
                </c:pt>
                <c:pt idx="1">
                  <c:v>0.88928735000712689</c:v>
                </c:pt>
                <c:pt idx="2">
                  <c:v>0.76637102878470142</c:v>
                </c:pt>
                <c:pt idx="3">
                  <c:v>7.4406631773563028</c:v>
                </c:pt>
                <c:pt idx="4">
                  <c:v>0.20427406602186673</c:v>
                </c:pt>
                <c:pt idx="5">
                  <c:v>2.595534643471745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A1-4A74-A323-094CD43E89E4}"/>
            </c:ext>
          </c:extLst>
        </c:ser>
        <c:ser>
          <c:idx val="3"/>
          <c:order val="3"/>
          <c:tx>
            <c:strRef>
              <c:f>Compressor_curves!$BP$114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Compressor_curves!$BP$115:$BP$121</c:f>
              <c:numCache>
                <c:formatCode>0.0</c:formatCode>
                <c:ptCount val="7"/>
                <c:pt idx="0">
                  <c:v>5.5593302406745382</c:v>
                </c:pt>
                <c:pt idx="1">
                  <c:v>7.569477217515816</c:v>
                </c:pt>
                <c:pt idx="2">
                  <c:v>5.8749699639910915</c:v>
                </c:pt>
                <c:pt idx="3">
                  <c:v>5.0406093683964475</c:v>
                </c:pt>
                <c:pt idx="4">
                  <c:v>16.406218325944693</c:v>
                </c:pt>
                <c:pt idx="5">
                  <c:v>4.6391293748684834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A1-4A74-A323-094CD43E89E4}"/>
            </c:ext>
          </c:extLst>
        </c:ser>
        <c:ser>
          <c:idx val="4"/>
          <c:order val="4"/>
          <c:tx>
            <c:strRef>
              <c:f>Compressor_curves!$BQ$114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Compressor_curves!$BQ$115:$BQ$121</c:f>
              <c:numCache>
                <c:formatCode>0.0</c:formatCode>
                <c:ptCount val="7"/>
                <c:pt idx="0">
                  <c:v>2.692049941499723</c:v>
                </c:pt>
                <c:pt idx="1">
                  <c:v>1.5117122358792634</c:v>
                </c:pt>
                <c:pt idx="2">
                  <c:v>4.5871417945916786</c:v>
                </c:pt>
                <c:pt idx="3">
                  <c:v>6.4265419219095348</c:v>
                </c:pt>
                <c:pt idx="4">
                  <c:v>18.882687970920145</c:v>
                </c:pt>
                <c:pt idx="5">
                  <c:v>3.9222441812899107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A1-4A74-A323-094CD43E89E4}"/>
            </c:ext>
          </c:extLst>
        </c:ser>
        <c:ser>
          <c:idx val="5"/>
          <c:order val="5"/>
          <c:tx>
            <c:strRef>
              <c:f>Compressor_curves!$BR$114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strRef>
              <c:f>Compressor_curves!$BC$115:$BC$121</c:f>
              <c:strCache>
                <c:ptCount val="6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strCache>
            </c:strRef>
          </c:cat>
          <c:val>
            <c:numRef>
              <c:f>Compressor_curves!$BR$115:$BR$121</c:f>
              <c:numCache>
                <c:formatCode>0.0</c:formatCode>
                <c:ptCount val="7"/>
                <c:pt idx="0">
                  <c:v>7.1350338394990986</c:v>
                </c:pt>
                <c:pt idx="1">
                  <c:v>0.12415015660348649</c:v>
                </c:pt>
                <c:pt idx="2">
                  <c:v>5.8344949124747352</c:v>
                </c:pt>
                <c:pt idx="3">
                  <c:v>2.5714010233835447</c:v>
                </c:pt>
                <c:pt idx="4">
                  <c:v>12.26311691750565</c:v>
                </c:pt>
                <c:pt idx="5">
                  <c:v>5.8779908205286038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A1-4A74-A323-094CD43E89E4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571005416"/>
        <c:axId val="818770744"/>
        <c:axId val="1010771928"/>
      </c:surface3DChart>
      <c:catAx>
        <c:axId val="57100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8770744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818770744"/>
        <c:scaling>
          <c:orientation val="minMax"/>
          <c:max val="0.30000000000000032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571005416"/>
        <c:crosses val="autoZero"/>
        <c:crossBetween val="midCat"/>
        <c:majorUnit val="0.05"/>
      </c:valAx>
      <c:serAx>
        <c:axId val="101077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8770744"/>
        <c:crosses val="autoZero"/>
        <c:tickLblSkip val="1"/>
        <c:tickMarkSkip val="1"/>
      </c:ser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5"/>
        <c:txPr>
          <a:bodyPr/>
          <a:lstStyle/>
          <a:p>
            <a:pPr rtl="0">
              <a:defRPr/>
            </a:pPr>
            <a:endParaRPr lang="en-US"/>
          </a:p>
        </c:txPr>
      </c:legendEntry>
      <c:layout>
        <c:manualLayout>
          <c:xMode val="edge"/>
          <c:yMode val="edge"/>
          <c:x val="0.79957862740843444"/>
          <c:y val="0.13128330917102971"/>
          <c:w val="0.19789050238066969"/>
          <c:h val="0.53083290194259958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mpressor_curves!A3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16668</xdr:colOff>
      <xdr:row>0</xdr:row>
      <xdr:rowOff>45242</xdr:rowOff>
    </xdr:from>
    <xdr:to>
      <xdr:col>51</xdr:col>
      <xdr:colOff>64294</xdr:colOff>
      <xdr:row>1</xdr:row>
      <xdr:rowOff>178593</xdr:rowOff>
    </xdr:to>
    <xdr:sp macro="[0]!Go_back" textlink="">
      <xdr:nvSpPr>
        <xdr:cNvPr id="2" name="AutoShape 90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44045981" y="45242"/>
          <a:ext cx="654844" cy="383382"/>
        </a:xfrm>
        <a:prstGeom prst="bevel">
          <a:avLst>
            <a:gd name="adj" fmla="val 20192"/>
          </a:avLst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Go Back</a:t>
          </a:r>
        </a:p>
      </xdr:txBody>
    </xdr:sp>
    <xdr:clientData/>
  </xdr:twoCellAnchor>
  <xdr:twoCellAnchor editAs="oneCell">
    <xdr:from>
      <xdr:col>66</xdr:col>
      <xdr:colOff>76200</xdr:colOff>
      <xdr:row>21</xdr:row>
      <xdr:rowOff>40483</xdr:rowOff>
    </xdr:from>
    <xdr:to>
      <xdr:col>68</xdr:col>
      <xdr:colOff>188119</xdr:colOff>
      <xdr:row>24</xdr:row>
      <xdr:rowOff>11906</xdr:rowOff>
    </xdr:to>
    <xdr:sp macro="[0]!insert_compressor" textlink="">
      <xdr:nvSpPr>
        <xdr:cNvPr id="3" name="AutoShape 90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56333231" y="4100514"/>
          <a:ext cx="1600200" cy="531017"/>
        </a:xfrm>
        <a:prstGeom prst="bevel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Add new polynomial into compressor list</a:t>
          </a:r>
        </a:p>
      </xdr:txBody>
    </xdr:sp>
    <xdr:clientData/>
  </xdr:twoCellAnchor>
  <xdr:twoCellAnchor>
    <xdr:from>
      <xdr:col>52</xdr:col>
      <xdr:colOff>595313</xdr:colOff>
      <xdr:row>25</xdr:row>
      <xdr:rowOff>35718</xdr:rowOff>
    </xdr:from>
    <xdr:to>
      <xdr:col>58</xdr:col>
      <xdr:colOff>540544</xdr:colOff>
      <xdr:row>40</xdr:row>
      <xdr:rowOff>142874</xdr:rowOff>
    </xdr:to>
    <xdr:graphicFrame macro="">
      <xdr:nvGraphicFramePr>
        <xdr:cNvPr id="5" name="Chart 6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23812</xdr:colOff>
      <xdr:row>24</xdr:row>
      <xdr:rowOff>142874</xdr:rowOff>
    </xdr:from>
    <xdr:to>
      <xdr:col>67</xdr:col>
      <xdr:colOff>576262</xdr:colOff>
      <xdr:row>40</xdr:row>
      <xdr:rowOff>69055</xdr:rowOff>
    </xdr:to>
    <xdr:graphicFrame macro="">
      <xdr:nvGraphicFramePr>
        <xdr:cNvPr id="6" name="Chart 6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76</xdr:col>
      <xdr:colOff>514350</xdr:colOff>
      <xdr:row>23</xdr:row>
      <xdr:rowOff>66674</xdr:rowOff>
    </xdr:from>
    <xdr:to>
      <xdr:col>78</xdr:col>
      <xdr:colOff>205740</xdr:colOff>
      <xdr:row>26</xdr:row>
      <xdr:rowOff>47625</xdr:rowOff>
    </xdr:to>
    <xdr:sp macro="[0]!Poly_Compressordata_check" textlink="">
      <xdr:nvSpPr>
        <xdr:cNvPr id="7" name="AutoShape 90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60779025" y="7134224"/>
          <a:ext cx="1043939" cy="523875"/>
        </a:xfrm>
        <a:prstGeom prst="bevel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Comp. Check</a:t>
          </a:r>
        </a:p>
      </xdr:txBody>
    </xdr:sp>
    <xdr:clientData/>
  </xdr:twoCellAnchor>
  <xdr:twoCellAnchor editAs="oneCell">
    <xdr:from>
      <xdr:col>66</xdr:col>
      <xdr:colOff>54770</xdr:colOff>
      <xdr:row>18</xdr:row>
      <xdr:rowOff>0</xdr:rowOff>
    </xdr:from>
    <xdr:to>
      <xdr:col>67</xdr:col>
      <xdr:colOff>250032</xdr:colOff>
      <xdr:row>20</xdr:row>
      <xdr:rowOff>99271</xdr:rowOff>
    </xdr:to>
    <xdr:sp macro="[0]!Eng_min" textlink="">
      <xdr:nvSpPr>
        <xdr:cNvPr id="8" name="AutoShape 90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56311801" y="3464719"/>
          <a:ext cx="933450" cy="504083"/>
        </a:xfrm>
        <a:prstGeom prst="bevel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Calculate B1-B10</a:t>
          </a:r>
        </a:p>
      </xdr:txBody>
    </xdr:sp>
    <xdr:clientData/>
  </xdr:twoCellAnchor>
  <xdr:twoCellAnchor editAs="oneCell">
    <xdr:from>
      <xdr:col>57</xdr:col>
      <xdr:colOff>71438</xdr:colOff>
      <xdr:row>18</xdr:row>
      <xdr:rowOff>52388</xdr:rowOff>
    </xdr:from>
    <xdr:to>
      <xdr:col>58</xdr:col>
      <xdr:colOff>154782</xdr:colOff>
      <xdr:row>20</xdr:row>
      <xdr:rowOff>154781</xdr:rowOff>
    </xdr:to>
    <xdr:sp macro="[0]!Comp_min" textlink="">
      <xdr:nvSpPr>
        <xdr:cNvPr id="9" name="AutoShape 90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8946594" y="3517107"/>
          <a:ext cx="940594" cy="507205"/>
        </a:xfrm>
        <a:prstGeom prst="bevel">
          <a:avLst>
            <a:gd name="adj" fmla="val 12500"/>
          </a:avLst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Calculate A1-A10</a:t>
          </a:r>
        </a:p>
      </xdr:txBody>
    </xdr:sp>
    <xdr:clientData/>
  </xdr:twoCellAnchor>
  <xdr:twoCellAnchor editAs="oneCell">
    <xdr:from>
      <xdr:col>1</xdr:col>
      <xdr:colOff>0</xdr:colOff>
      <xdr:row>6</xdr:row>
      <xdr:rowOff>44824</xdr:rowOff>
    </xdr:from>
    <xdr:to>
      <xdr:col>3</xdr:col>
      <xdr:colOff>661147</xdr:colOff>
      <xdr:row>10</xdr:row>
      <xdr:rowOff>94129</xdr:rowOff>
    </xdr:to>
    <xdr:sp macro="[0]!Go_create_curves" textlink="">
      <xdr:nvSpPr>
        <xdr:cNvPr id="12" name="AutoShape 90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1030941" y="1154206"/>
          <a:ext cx="2140324" cy="822511"/>
        </a:xfrm>
        <a:prstGeom prst="bevel">
          <a:avLst>
            <a:gd name="adj" fmla="val 12500"/>
          </a:avLst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Go to: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Create compressor polynomial</a:t>
          </a:r>
        </a:p>
      </xdr:txBody>
    </xdr:sp>
    <xdr:clientData/>
  </xdr:twoCellAnchor>
  <xdr:twoCellAnchor editAs="oneCell">
    <xdr:from>
      <xdr:col>1</xdr:col>
      <xdr:colOff>11206</xdr:colOff>
      <xdr:row>13</xdr:row>
      <xdr:rowOff>33618</xdr:rowOff>
    </xdr:from>
    <xdr:to>
      <xdr:col>3</xdr:col>
      <xdr:colOff>661147</xdr:colOff>
      <xdr:row>17</xdr:row>
      <xdr:rowOff>66954</xdr:rowOff>
    </xdr:to>
    <xdr:sp macro="[0]!Go_comp_data" textlink="">
      <xdr:nvSpPr>
        <xdr:cNvPr id="13" name="AutoShape 90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1042147" y="2454089"/>
          <a:ext cx="2129118" cy="830354"/>
        </a:xfrm>
        <a:prstGeom prst="bevel">
          <a:avLst>
            <a:gd name="adj" fmla="val 12500"/>
          </a:avLst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Go to: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 of single speed compressor  polynomials</a:t>
          </a:r>
        </a:p>
      </xdr:txBody>
    </xdr:sp>
    <xdr:clientData/>
  </xdr:twoCellAnchor>
  <xdr:twoCellAnchor editAs="oneCell">
    <xdr:from>
      <xdr:col>1</xdr:col>
      <xdr:colOff>19050</xdr:colOff>
      <xdr:row>20</xdr:row>
      <xdr:rowOff>28575</xdr:rowOff>
    </xdr:from>
    <xdr:to>
      <xdr:col>3</xdr:col>
      <xdr:colOff>661147</xdr:colOff>
      <xdr:row>24</xdr:row>
      <xdr:rowOff>108992</xdr:rowOff>
    </xdr:to>
    <xdr:sp macro="[0]!Go_comp_data_VSD" textlink="">
      <xdr:nvSpPr>
        <xdr:cNvPr id="14" name="AutoShape 90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1049991" y="3793751"/>
          <a:ext cx="2121274" cy="810745"/>
        </a:xfrm>
        <a:prstGeom prst="bevel">
          <a:avLst>
            <a:gd name="adj" fmla="val 12500"/>
          </a:avLst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Go to: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List of variable speed compressor polynomials</a:t>
          </a:r>
        </a:p>
      </xdr:txBody>
    </xdr:sp>
    <xdr:clientData/>
  </xdr:twoCellAnchor>
  <xdr:oneCellAnchor>
    <xdr:from>
      <xdr:col>50</xdr:col>
      <xdr:colOff>357187</xdr:colOff>
      <xdr:row>3</xdr:row>
      <xdr:rowOff>47623</xdr:rowOff>
    </xdr:from>
    <xdr:ext cx="1095375" cy="655949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4386500" y="690561"/>
          <a:ext cx="1095375" cy="65594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Step</a:t>
          </a:r>
          <a:r>
            <a:rPr lang="en-US" sz="1200" b="1" baseline="0"/>
            <a:t> 1</a:t>
          </a:r>
          <a:r>
            <a:rPr lang="en-US" sz="1200" baseline="0"/>
            <a:t>: Enter compressor details.</a:t>
          </a:r>
          <a:endParaRPr lang="en-US" sz="1200"/>
        </a:p>
      </xdr:txBody>
    </xdr:sp>
    <xdr:clientData/>
  </xdr:oneCellAnchor>
  <xdr:twoCellAnchor>
    <xdr:from>
      <xdr:col>52</xdr:col>
      <xdr:colOff>190500</xdr:colOff>
      <xdr:row>1</xdr:row>
      <xdr:rowOff>154781</xdr:rowOff>
    </xdr:from>
    <xdr:to>
      <xdr:col>52</xdr:col>
      <xdr:colOff>595312</xdr:colOff>
      <xdr:row>3</xdr:row>
      <xdr:rowOff>71437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5434250" y="404812"/>
          <a:ext cx="404812" cy="309563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50</xdr:col>
      <xdr:colOff>330993</xdr:colOff>
      <xdr:row>10</xdr:row>
      <xdr:rowOff>69054</xdr:rowOff>
    </xdr:from>
    <xdr:ext cx="1095375" cy="2158924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44360306" y="1997867"/>
          <a:ext cx="1095375" cy="2158924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Step</a:t>
          </a:r>
          <a:r>
            <a:rPr lang="en-US" sz="1200" b="1" baseline="0"/>
            <a:t> 2</a:t>
          </a:r>
          <a:r>
            <a:rPr lang="en-US" sz="1200" baseline="0"/>
            <a:t>: Enter Cooling power and correspondingTevap and Tcond. Don't forget to specify if input is in ASHRAE or CECOMAF conditions.</a:t>
          </a:r>
          <a:endParaRPr lang="en-US" sz="1200"/>
        </a:p>
      </xdr:txBody>
    </xdr:sp>
    <xdr:clientData/>
  </xdr:oneCellAnchor>
  <xdr:twoCellAnchor>
    <xdr:from>
      <xdr:col>51</xdr:col>
      <xdr:colOff>271463</xdr:colOff>
      <xdr:row>7</xdr:row>
      <xdr:rowOff>95250</xdr:rowOff>
    </xdr:from>
    <xdr:to>
      <xdr:col>52</xdr:col>
      <xdr:colOff>547687</xdr:colOff>
      <xdr:row>10</xdr:row>
      <xdr:rowOff>69054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>
          <a:stCxn id="23" idx="0"/>
        </xdr:cNvCxnSpPr>
      </xdr:nvCxnSpPr>
      <xdr:spPr>
        <a:xfrm flipV="1">
          <a:off x="44907994" y="1476375"/>
          <a:ext cx="883443" cy="521492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61</xdr:col>
      <xdr:colOff>142874</xdr:colOff>
      <xdr:row>9</xdr:row>
      <xdr:rowOff>130968</xdr:rowOff>
    </xdr:from>
    <xdr:ext cx="797719" cy="898589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52316062" y="1869281"/>
          <a:ext cx="797719" cy="898589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/>
            <a:t>Step</a:t>
          </a:r>
          <a:r>
            <a:rPr lang="en-US" sz="1200" b="1" baseline="0"/>
            <a:t> 3</a:t>
          </a:r>
          <a:r>
            <a:rPr lang="en-US" sz="1200" baseline="0"/>
            <a:t>: Enter Electrical power.</a:t>
          </a:r>
          <a:endParaRPr lang="en-US" sz="1200"/>
        </a:p>
      </xdr:txBody>
    </xdr:sp>
    <xdr:clientData/>
  </xdr:oneCellAnchor>
  <xdr:twoCellAnchor>
    <xdr:from>
      <xdr:col>61</xdr:col>
      <xdr:colOff>541734</xdr:colOff>
      <xdr:row>9</xdr:row>
      <xdr:rowOff>119062</xdr:rowOff>
    </xdr:from>
    <xdr:to>
      <xdr:col>62</xdr:col>
      <xdr:colOff>797719</xdr:colOff>
      <xdr:row>9</xdr:row>
      <xdr:rowOff>130968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25" idx="0"/>
        </xdr:cNvCxnSpPr>
      </xdr:nvCxnSpPr>
      <xdr:spPr>
        <a:xfrm flipV="1">
          <a:off x="52714922" y="1857375"/>
          <a:ext cx="1279922" cy="11906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58</xdr:col>
      <xdr:colOff>642938</xdr:colOff>
      <xdr:row>20</xdr:row>
      <xdr:rowOff>78581</xdr:rowOff>
    </xdr:from>
    <xdr:ext cx="1345400" cy="671513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50375344" y="3948112"/>
          <a:ext cx="1345400" cy="671513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/>
            <a:t>Step</a:t>
          </a:r>
          <a:r>
            <a:rPr lang="en-US" sz="1200" b="1" baseline="0"/>
            <a:t> 4</a:t>
          </a:r>
          <a:r>
            <a:rPr lang="en-US" sz="1200" baseline="0"/>
            <a:t>: Calculate polynomial constants.</a:t>
          </a:r>
          <a:endParaRPr lang="en-US" sz="1200"/>
        </a:p>
      </xdr:txBody>
    </xdr:sp>
    <xdr:clientData/>
  </xdr:oneCellAnchor>
  <xdr:twoCellAnchor>
    <xdr:from>
      <xdr:col>58</xdr:col>
      <xdr:colOff>285750</xdr:colOff>
      <xdr:row>20</xdr:row>
      <xdr:rowOff>95250</xdr:rowOff>
    </xdr:from>
    <xdr:to>
      <xdr:col>58</xdr:col>
      <xdr:colOff>642938</xdr:colOff>
      <xdr:row>22</xdr:row>
      <xdr:rowOff>33338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>
          <a:stCxn id="29" idx="1"/>
        </xdr:cNvCxnSpPr>
      </xdr:nvCxnSpPr>
      <xdr:spPr>
        <a:xfrm flipH="1" flipV="1">
          <a:off x="50018156" y="3964781"/>
          <a:ext cx="357188" cy="319088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76</xdr:col>
      <xdr:colOff>378618</xdr:colOff>
      <xdr:row>28</xdr:row>
      <xdr:rowOff>80961</xdr:rowOff>
    </xdr:from>
    <xdr:ext cx="1395413" cy="84382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64469962" y="5414961"/>
          <a:ext cx="1395413" cy="843821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/>
            <a:t>Step</a:t>
          </a:r>
          <a:r>
            <a:rPr lang="en-US" sz="1200" b="1" baseline="0"/>
            <a:t> 5</a:t>
          </a:r>
          <a:r>
            <a:rPr lang="en-US" sz="1200" baseline="0"/>
            <a:t>: Double check results vs. data in some points.</a:t>
          </a:r>
          <a:endParaRPr lang="en-US" sz="1200"/>
        </a:p>
      </xdr:txBody>
    </xdr:sp>
    <xdr:clientData/>
  </xdr:oneCellAnchor>
  <xdr:twoCellAnchor>
    <xdr:from>
      <xdr:col>77</xdr:col>
      <xdr:colOff>469106</xdr:colOff>
      <xdr:row>26</xdr:row>
      <xdr:rowOff>142874</xdr:rowOff>
    </xdr:from>
    <xdr:to>
      <xdr:col>77</xdr:col>
      <xdr:colOff>488156</xdr:colOff>
      <xdr:row>28</xdr:row>
      <xdr:rowOff>80961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>
          <a:stCxn id="39" idx="0"/>
        </xdr:cNvCxnSpPr>
      </xdr:nvCxnSpPr>
      <xdr:spPr>
        <a:xfrm flipV="1">
          <a:off x="65167669" y="5119687"/>
          <a:ext cx="19050" cy="295274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67</xdr:col>
      <xdr:colOff>738187</xdr:colOff>
      <xdr:row>24</xdr:row>
      <xdr:rowOff>116678</xdr:rowOff>
    </xdr:from>
    <xdr:ext cx="1524000" cy="823915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57733406" y="4736303"/>
          <a:ext cx="1524000" cy="823915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200" b="1"/>
            <a:t>Step</a:t>
          </a:r>
          <a:r>
            <a:rPr lang="en-US" sz="1200" b="1" baseline="0"/>
            <a:t> 6</a:t>
          </a:r>
          <a:r>
            <a:rPr lang="en-US" sz="1200" baseline="0"/>
            <a:t>: Add polynomial and info to compressor list.</a:t>
          </a:r>
          <a:endParaRPr lang="en-US" sz="1200"/>
        </a:p>
      </xdr:txBody>
    </xdr:sp>
    <xdr:clientData/>
  </xdr:oneCellAnchor>
  <xdr:twoCellAnchor>
    <xdr:from>
      <xdr:col>68</xdr:col>
      <xdr:colOff>357186</xdr:colOff>
      <xdr:row>23</xdr:row>
      <xdr:rowOff>23814</xdr:rowOff>
    </xdr:from>
    <xdr:to>
      <xdr:col>69</xdr:col>
      <xdr:colOff>273843</xdr:colOff>
      <xdr:row>24</xdr:row>
      <xdr:rowOff>116678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>
          <a:stCxn id="45" idx="0"/>
        </xdr:cNvCxnSpPr>
      </xdr:nvCxnSpPr>
      <xdr:spPr>
        <a:xfrm flipH="1" flipV="1">
          <a:off x="58102499" y="4464845"/>
          <a:ext cx="392907" cy="271458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261931</xdr:colOff>
      <xdr:row>21</xdr:row>
      <xdr:rowOff>154781</xdr:rowOff>
    </xdr:from>
    <xdr:to>
      <xdr:col>61</xdr:col>
      <xdr:colOff>119062</xdr:colOff>
      <xdr:row>22</xdr:row>
      <xdr:rowOff>33338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CxnSpPr>
          <a:stCxn id="29" idx="3"/>
        </xdr:cNvCxnSpPr>
      </xdr:nvCxnSpPr>
      <xdr:spPr>
        <a:xfrm flipV="1">
          <a:off x="51720744" y="4214812"/>
          <a:ext cx="571506" cy="69057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211931</xdr:colOff>
      <xdr:row>14</xdr:row>
      <xdr:rowOff>95251</xdr:rowOff>
    </xdr:from>
    <xdr:to>
      <xdr:col>54</xdr:col>
      <xdr:colOff>23812</xdr:colOff>
      <xdr:row>16</xdr:row>
      <xdr:rowOff>17423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>
          <a:stCxn id="23" idx="3"/>
        </xdr:cNvCxnSpPr>
      </xdr:nvCxnSpPr>
      <xdr:spPr>
        <a:xfrm flipV="1">
          <a:off x="45455681" y="2762251"/>
          <a:ext cx="1228725" cy="315078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211931</xdr:colOff>
      <xdr:row>14</xdr:row>
      <xdr:rowOff>130969</xdr:rowOff>
    </xdr:from>
    <xdr:to>
      <xdr:col>55</xdr:col>
      <xdr:colOff>142875</xdr:colOff>
      <xdr:row>16</xdr:row>
      <xdr:rowOff>17423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>
          <a:stCxn id="23" idx="3"/>
        </xdr:cNvCxnSpPr>
      </xdr:nvCxnSpPr>
      <xdr:spPr>
        <a:xfrm flipV="1">
          <a:off x="45455681" y="2797969"/>
          <a:ext cx="1978819" cy="279360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30954</xdr:colOff>
      <xdr:row>2</xdr:row>
      <xdr:rowOff>140491</xdr:rowOff>
    </xdr:from>
    <xdr:ext cx="2314577" cy="288134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62122048" y="616741"/>
          <a:ext cx="2314577" cy="288134"/>
        </a:xfrm>
        <a:prstGeom prst="rect">
          <a:avLst/>
        </a:prstGeom>
        <a:solidFill>
          <a:schemeClr val="bg2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 b="1" baseline="0"/>
            <a:t>Output</a:t>
          </a:r>
          <a:r>
            <a:rPr lang="en-US" sz="1200" baseline="0"/>
            <a:t>: Constants in CECOMAF</a:t>
          </a:r>
          <a:endParaRPr lang="en-US" sz="1200"/>
        </a:p>
      </xdr:txBody>
    </xdr:sp>
    <xdr:clientData/>
  </xdr:oneCellAnchor>
  <xdr:twoCellAnchor>
    <xdr:from>
      <xdr:col>73</xdr:col>
      <xdr:colOff>47625</xdr:colOff>
      <xdr:row>3</xdr:row>
      <xdr:rowOff>119063</xdr:rowOff>
    </xdr:from>
    <xdr:to>
      <xdr:col>74</xdr:col>
      <xdr:colOff>95251</xdr:colOff>
      <xdr:row>3</xdr:row>
      <xdr:rowOff>154781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61531500" y="762001"/>
          <a:ext cx="654845" cy="35718"/>
        </a:xfrm>
        <a:prstGeom prst="straightConnector1">
          <a:avLst/>
        </a:prstGeom>
        <a:ln w="38100">
          <a:solidFill>
            <a:schemeClr val="bg2">
              <a:lumMod val="7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809625</xdr:colOff>
      <xdr:row>0</xdr:row>
      <xdr:rowOff>11906</xdr:rowOff>
    </xdr:from>
    <xdr:to>
      <xdr:col>1</xdr:col>
      <xdr:colOff>109687</xdr:colOff>
      <xdr:row>1</xdr:row>
      <xdr:rowOff>92927</xdr:rowOff>
    </xdr:to>
    <xdr:pic macro="[0]!Go_root">
      <xdr:nvPicPr>
        <xdr:cNvPr id="32" name="Picture 31" descr="Image result for go back icon gray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6099" y="15432"/>
          <a:ext cx="331052" cy="3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23813</xdr:colOff>
      <xdr:row>26</xdr:row>
      <xdr:rowOff>0</xdr:rowOff>
    </xdr:from>
    <xdr:to>
      <xdr:col>3</xdr:col>
      <xdr:colOff>665910</xdr:colOff>
      <xdr:row>30</xdr:row>
      <xdr:rowOff>116136</xdr:rowOff>
    </xdr:to>
    <xdr:sp macro="[0]!CopyCompList" textlink="">
      <xdr:nvSpPr>
        <xdr:cNvPr id="34" name="AutoShape 908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rrowheads="1"/>
        </xdr:cNvSpPr>
      </xdr:nvSpPr>
      <xdr:spPr bwMode="auto">
        <a:xfrm>
          <a:off x="1047751" y="4976813"/>
          <a:ext cx="2118472" cy="830511"/>
        </a:xfrm>
        <a:prstGeom prst="bevel">
          <a:avLst>
            <a:gd name="adj" fmla="val 12500"/>
          </a:avLst>
        </a:prstGeom>
        <a:solidFill>
          <a:sysClr val="window" lastClr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Copy Compressor List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9" tint="0.59999389629810485"/>
  </sheetPr>
  <dimension ref="A1:CA4054"/>
  <sheetViews>
    <sheetView tabSelected="1" topLeftCell="AS1" zoomScale="80" zoomScaleNormal="80" workbookViewId="0">
      <pane ySplit="2" topLeftCell="A21" activePane="bottomLeft" state="frozenSplit"/>
      <selection activeCell="K60" sqref="K60"/>
      <selection pane="bottomLeft" activeCell="BC21" sqref="BC21"/>
    </sheetView>
  </sheetViews>
  <sheetFormatPr baseColWidth="10" defaultColWidth="8.83203125" defaultRowHeight="13"/>
  <cols>
    <col min="1" max="1" width="15.5" bestFit="1" customWidth="1"/>
    <col min="2" max="2" width="9.33203125" bestFit="1" customWidth="1"/>
    <col min="3" max="3" width="12.83203125" bestFit="1" customWidth="1"/>
    <col min="4" max="4" width="10.33203125" bestFit="1" customWidth="1"/>
    <col min="5" max="5" width="13.5" bestFit="1" customWidth="1"/>
    <col min="6" max="6" width="37.83203125" customWidth="1"/>
    <col min="7" max="7" width="7.5" bestFit="1" customWidth="1"/>
    <col min="8" max="8" width="53.83203125" bestFit="1" customWidth="1"/>
    <col min="9" max="9" width="12.5" bestFit="1" customWidth="1"/>
    <col min="10" max="10" width="12" bestFit="1" customWidth="1"/>
    <col min="11" max="14" width="12.5" bestFit="1" customWidth="1"/>
    <col min="15" max="18" width="13.1640625" bestFit="1" customWidth="1"/>
    <col min="19" max="22" width="12.5" bestFit="1" customWidth="1"/>
    <col min="23" max="23" width="13.1640625" bestFit="1" customWidth="1"/>
    <col min="24" max="24" width="12.5" bestFit="1" customWidth="1"/>
    <col min="25" max="28" width="13.1640625" bestFit="1" customWidth="1"/>
    <col min="29" max="29" width="9.33203125" bestFit="1" customWidth="1"/>
    <col min="30" max="30" width="13.5" bestFit="1" customWidth="1"/>
    <col min="31" max="31" width="22.83203125" bestFit="1" customWidth="1"/>
    <col min="32" max="32" width="8.1640625" bestFit="1" customWidth="1"/>
    <col min="33" max="33" width="13.5" bestFit="1" customWidth="1"/>
    <col min="34" max="34" width="20.33203125" bestFit="1" customWidth="1"/>
    <col min="35" max="35" width="10.5" bestFit="1" customWidth="1"/>
    <col min="36" max="36" width="11.1640625" bestFit="1" customWidth="1"/>
    <col min="37" max="37" width="10.83203125" bestFit="1" customWidth="1"/>
    <col min="38" max="38" width="11.5" bestFit="1" customWidth="1"/>
    <col min="39" max="39" width="19.1640625" bestFit="1" customWidth="1"/>
    <col min="40" max="40" width="13.33203125" bestFit="1" customWidth="1"/>
    <col min="54" max="54" width="17.6640625" bestFit="1" customWidth="1"/>
    <col min="55" max="55" width="9.5" customWidth="1"/>
    <col min="56" max="56" width="8.5" bestFit="1" customWidth="1"/>
    <col min="57" max="57" width="10.83203125" customWidth="1"/>
    <col min="58" max="58" width="12.83203125" bestFit="1" customWidth="1"/>
    <col min="59" max="59" width="15.5" customWidth="1"/>
    <col min="60" max="60" width="10.5" customWidth="1"/>
    <col min="61" max="61" width="10.6640625" customWidth="1"/>
    <col min="62" max="62" width="15.33203125" customWidth="1"/>
    <col min="63" max="63" width="14" customWidth="1"/>
    <col min="64" max="64" width="10.83203125" customWidth="1"/>
    <col min="65" max="65" width="10.33203125" customWidth="1"/>
    <col min="66" max="66" width="10.6640625" bestFit="1" customWidth="1"/>
    <col min="67" max="67" width="11" bestFit="1" customWidth="1"/>
    <col min="68" max="68" width="11.33203125" bestFit="1" customWidth="1"/>
    <col min="69" max="69" width="7.1640625" customWidth="1"/>
    <col min="70" max="70" width="8.83203125" customWidth="1"/>
    <col min="71" max="71" width="8.1640625" customWidth="1"/>
    <col min="72" max="72" width="9.5" bestFit="1" customWidth="1"/>
    <col min="73" max="73" width="6.33203125" bestFit="1" customWidth="1"/>
    <col min="75" max="75" width="8.5" customWidth="1"/>
    <col min="78" max="78" width="11.1640625" bestFit="1" customWidth="1"/>
  </cols>
  <sheetData>
    <row r="1" spans="1:79" s="9" customFormat="1" ht="19.5" customHeight="1">
      <c r="A1" s="89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86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0"/>
      <c r="BB1" s="2" t="s">
        <v>0</v>
      </c>
      <c r="BC1" s="2" t="s">
        <v>1</v>
      </c>
      <c r="BD1" s="2" t="s">
        <v>2</v>
      </c>
      <c r="BE1" s="2" t="s">
        <v>3</v>
      </c>
      <c r="BF1" s="2" t="s">
        <v>4</v>
      </c>
      <c r="BG1" s="2" t="s">
        <v>5</v>
      </c>
      <c r="BH1" s="2" t="s">
        <v>6</v>
      </c>
      <c r="BI1" s="78" t="s">
        <v>7</v>
      </c>
      <c r="BJ1" s="78" t="s">
        <v>8</v>
      </c>
      <c r="BK1" s="113"/>
      <c r="BL1" s="11" t="s">
        <v>9</v>
      </c>
      <c r="BM1" s="11" t="s">
        <v>10</v>
      </c>
      <c r="BN1" s="11" t="s">
        <v>11</v>
      </c>
      <c r="BO1" s="11" t="s">
        <v>12</v>
      </c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</row>
    <row r="2" spans="1:79" s="9" customFormat="1" ht="18" customHeight="1">
      <c r="A2" s="6" t="s">
        <v>0</v>
      </c>
      <c r="B2" s="6" t="s">
        <v>1</v>
      </c>
      <c r="C2" s="6" t="s">
        <v>13</v>
      </c>
      <c r="D2" s="6" t="s">
        <v>3</v>
      </c>
      <c r="E2" s="6" t="s">
        <v>14</v>
      </c>
      <c r="F2" s="6" t="s">
        <v>5</v>
      </c>
      <c r="G2" s="11" t="s">
        <v>6</v>
      </c>
      <c r="H2" s="6" t="s">
        <v>15</v>
      </c>
      <c r="I2" s="12" t="s">
        <v>16</v>
      </c>
      <c r="J2" s="12" t="s">
        <v>17</v>
      </c>
      <c r="K2" s="12" t="s">
        <v>18</v>
      </c>
      <c r="L2" s="12" t="s">
        <v>19</v>
      </c>
      <c r="M2" s="12" t="s">
        <v>20</v>
      </c>
      <c r="N2" s="12" t="s">
        <v>21</v>
      </c>
      <c r="O2" s="12" t="s">
        <v>22</v>
      </c>
      <c r="P2" s="12" t="s">
        <v>23</v>
      </c>
      <c r="Q2" s="12" t="s">
        <v>24</v>
      </c>
      <c r="R2" s="12" t="s">
        <v>25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34</v>
      </c>
      <c r="AB2" s="12" t="s">
        <v>35</v>
      </c>
      <c r="AC2" s="13" t="s">
        <v>36</v>
      </c>
      <c r="AD2" s="13" t="s">
        <v>37</v>
      </c>
      <c r="AE2" s="1" t="s">
        <v>38</v>
      </c>
      <c r="AF2" s="13" t="s">
        <v>39</v>
      </c>
      <c r="AG2" s="1" t="s">
        <v>40</v>
      </c>
      <c r="AH2" s="1" t="s">
        <v>41</v>
      </c>
      <c r="AI2" s="1" t="s">
        <v>9</v>
      </c>
      <c r="AJ2" s="1" t="s">
        <v>10</v>
      </c>
      <c r="AK2" s="1" t="s">
        <v>11</v>
      </c>
      <c r="AL2" s="1" t="s">
        <v>12</v>
      </c>
      <c r="AM2" s="1" t="s">
        <v>7</v>
      </c>
      <c r="AN2" s="1" t="s">
        <v>42</v>
      </c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0"/>
      <c r="BB2" s="14" t="s">
        <v>43</v>
      </c>
      <c r="BC2" s="14" t="s">
        <v>44</v>
      </c>
      <c r="BD2" s="14" t="s">
        <v>45</v>
      </c>
      <c r="BE2" s="14" t="s">
        <v>46</v>
      </c>
      <c r="BF2" s="14" t="s">
        <v>47</v>
      </c>
      <c r="BG2" s="14" t="s">
        <v>48</v>
      </c>
      <c r="BH2" s="14">
        <v>4500</v>
      </c>
      <c r="BI2" s="15">
        <v>43742</v>
      </c>
      <c r="BJ2" s="14" t="s">
        <v>49</v>
      </c>
      <c r="BK2" s="113"/>
      <c r="BL2" s="16">
        <v>-35</v>
      </c>
      <c r="BM2" s="16">
        <v>-10</v>
      </c>
      <c r="BN2" s="16">
        <v>35</v>
      </c>
      <c r="BO2" s="16">
        <v>55</v>
      </c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</row>
    <row r="3" spans="1:79">
      <c r="BA3" s="10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</row>
    <row r="4" spans="1:79">
      <c r="BA4" s="113"/>
      <c r="BB4" s="116" t="s">
        <v>16</v>
      </c>
      <c r="BC4" s="116" t="s">
        <v>17</v>
      </c>
      <c r="BD4" s="116" t="s">
        <v>18</v>
      </c>
      <c r="BE4" s="116" t="s">
        <v>19</v>
      </c>
      <c r="BF4" s="116" t="s">
        <v>20</v>
      </c>
      <c r="BG4" s="116" t="s">
        <v>21</v>
      </c>
      <c r="BH4" s="116" t="s">
        <v>22</v>
      </c>
      <c r="BI4" s="116" t="s">
        <v>23</v>
      </c>
      <c r="BJ4" s="116" t="s">
        <v>24</v>
      </c>
      <c r="BK4" s="116" t="s">
        <v>25</v>
      </c>
      <c r="BL4" s="116" t="s">
        <v>26</v>
      </c>
      <c r="BM4" s="116" t="s">
        <v>27</v>
      </c>
      <c r="BN4" s="116" t="s">
        <v>28</v>
      </c>
      <c r="BO4" s="116" t="s">
        <v>29</v>
      </c>
      <c r="BP4" s="116" t="s">
        <v>30</v>
      </c>
      <c r="BQ4" s="116" t="s">
        <v>31</v>
      </c>
      <c r="BR4" s="116" t="s">
        <v>32</v>
      </c>
      <c r="BS4" s="116" t="s">
        <v>33</v>
      </c>
      <c r="BT4" s="116" t="s">
        <v>34</v>
      </c>
      <c r="BU4" s="116" t="s">
        <v>35</v>
      </c>
      <c r="BV4" s="113"/>
      <c r="BW4" s="113"/>
      <c r="BX4" s="113"/>
      <c r="BY4" s="113"/>
      <c r="BZ4" s="113"/>
      <c r="CA4" s="113"/>
    </row>
    <row r="5" spans="1:79">
      <c r="BA5" s="113"/>
      <c r="BB5" s="117">
        <v>2823.3036770180324</v>
      </c>
      <c r="BC5" s="117">
        <v>105.10499177816591</v>
      </c>
      <c r="BD5" s="117">
        <v>-19.359155131472296</v>
      </c>
      <c r="BE5" s="117">
        <v>1.276046376795948</v>
      </c>
      <c r="BF5" s="117">
        <v>-1.3997474550729214</v>
      </c>
      <c r="BG5" s="117">
        <v>-0.29531787723855768</v>
      </c>
      <c r="BH5" s="117">
        <v>9.4014894342902503E-3</v>
      </c>
      <c r="BI5" s="117">
        <v>-1.4200756450381106E-2</v>
      </c>
      <c r="BJ5" s="117">
        <v>4.4001465631256318E-3</v>
      </c>
      <c r="BK5" s="117">
        <v>2.6158477913016719E-3</v>
      </c>
      <c r="BL5" s="117">
        <v>326.88338490819399</v>
      </c>
      <c r="BM5" s="117">
        <v>-13.416910048655781</v>
      </c>
      <c r="BN5" s="117">
        <v>-7.2090865689399957</v>
      </c>
      <c r="BO5" s="117">
        <v>-0.21964290830653241</v>
      </c>
      <c r="BP5" s="117">
        <v>0.36357402302564995</v>
      </c>
      <c r="BQ5" s="117">
        <v>0.34512035895339238</v>
      </c>
      <c r="BR5" s="117">
        <v>-2.5623595936448132E-3</v>
      </c>
      <c r="BS5" s="117">
        <v>1.4523861333118008E-3</v>
      </c>
      <c r="BT5" s="117">
        <v>-7.5912418949144675E-4</v>
      </c>
      <c r="BU5" s="117">
        <v>-2.3494615912010666E-3</v>
      </c>
      <c r="BV5" s="113"/>
      <c r="BW5" s="113"/>
      <c r="BX5" s="113"/>
      <c r="BY5" s="113"/>
      <c r="BZ5" s="113"/>
      <c r="CA5" s="113"/>
    </row>
    <row r="6" spans="1:79" ht="14" thickBot="1">
      <c r="A6" s="113"/>
      <c r="B6" s="73"/>
      <c r="C6" s="73"/>
      <c r="D6" s="73"/>
      <c r="E6" s="74"/>
      <c r="BA6" s="10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113"/>
      <c r="BW6" s="113"/>
      <c r="BX6" s="113"/>
      <c r="BY6" s="113"/>
      <c r="BZ6" s="113"/>
      <c r="CA6" s="113"/>
    </row>
    <row r="7" spans="1:79" ht="18.75" customHeight="1">
      <c r="A7" s="113"/>
      <c r="B7" s="73"/>
      <c r="C7" s="73"/>
      <c r="D7" s="73"/>
      <c r="E7" s="74"/>
      <c r="F7" s="83" t="s">
        <v>50</v>
      </c>
      <c r="BA7" s="10"/>
      <c r="BB7" s="173" t="s">
        <v>51</v>
      </c>
      <c r="BC7" s="174"/>
      <c r="BD7" s="165" t="s">
        <v>52</v>
      </c>
      <c r="BE7" s="165"/>
      <c r="BF7" s="165"/>
      <c r="BG7" s="165"/>
      <c r="BH7" s="165"/>
      <c r="BI7" s="166"/>
      <c r="BJ7" s="17"/>
      <c r="BK7" s="167" t="s">
        <v>53</v>
      </c>
      <c r="BL7" s="168"/>
      <c r="BM7" s="165" t="s">
        <v>52</v>
      </c>
      <c r="BN7" s="165"/>
      <c r="BO7" s="165"/>
      <c r="BP7" s="165"/>
      <c r="BQ7" s="165"/>
      <c r="BR7" s="166"/>
      <c r="BS7" s="17"/>
      <c r="BT7" s="141" t="s">
        <v>54</v>
      </c>
      <c r="BU7" s="142"/>
      <c r="BV7" s="133" t="s">
        <v>55</v>
      </c>
      <c r="BW7" s="133"/>
      <c r="BX7" s="133"/>
      <c r="BY7" s="133"/>
      <c r="BZ7" s="133"/>
      <c r="CA7" s="136"/>
    </row>
    <row r="8" spans="1:79" ht="15">
      <c r="A8" s="113"/>
      <c r="B8" s="73"/>
      <c r="C8" s="73"/>
      <c r="D8" s="73"/>
      <c r="E8" s="74"/>
      <c r="F8" s="82" t="s">
        <v>56</v>
      </c>
      <c r="BA8" s="18"/>
      <c r="BB8" s="171" t="s">
        <v>57</v>
      </c>
      <c r="BC8" s="172"/>
      <c r="BD8" s="19">
        <v>35</v>
      </c>
      <c r="BE8" s="19">
        <v>40</v>
      </c>
      <c r="BF8" s="19">
        <v>45</v>
      </c>
      <c r="BG8" s="19">
        <v>50</v>
      </c>
      <c r="BH8" s="19">
        <v>55</v>
      </c>
      <c r="BI8" s="20">
        <v>60</v>
      </c>
      <c r="BJ8" s="113"/>
      <c r="BK8" s="169"/>
      <c r="BL8" s="170"/>
      <c r="BM8" s="21">
        <f>IF($BD$8="","",$BD$8)</f>
        <v>35</v>
      </c>
      <c r="BN8" s="21">
        <f>IF($BE$8="","",$BE$8)</f>
        <v>40</v>
      </c>
      <c r="BO8" s="21">
        <f>IF($BF$8="","",$BF$8)</f>
        <v>45</v>
      </c>
      <c r="BP8" s="21">
        <f>IF($BG$8="","",$BG$8)</f>
        <v>50</v>
      </c>
      <c r="BQ8" s="21">
        <f>IF($BH$8="","",$BH$8)</f>
        <v>55</v>
      </c>
      <c r="BR8" s="22">
        <f>IF($BI$8="","",$BI$8)</f>
        <v>60</v>
      </c>
      <c r="BS8" s="113"/>
      <c r="BT8" s="143"/>
      <c r="BU8" s="144"/>
      <c r="BV8" s="35">
        <f>IF($BD$8="","",$BD$8)</f>
        <v>35</v>
      </c>
      <c r="BW8" s="35">
        <f>IF($BE$8="","",$BE$8)</f>
        <v>40</v>
      </c>
      <c r="BX8" s="35">
        <f>IF($BF$8="","",$BF$8)</f>
        <v>45</v>
      </c>
      <c r="BY8" s="35">
        <f>IF($BG$8="","",$BG$8)</f>
        <v>50</v>
      </c>
      <c r="BZ8" s="35">
        <f>IF($BH$8="","",$BH$8)</f>
        <v>55</v>
      </c>
      <c r="CA8" s="36">
        <f>IF($BI$8="","",$BI$8)</f>
        <v>60</v>
      </c>
    </row>
    <row r="9" spans="1:79" ht="12.75" customHeight="1">
      <c r="A9" s="113"/>
      <c r="B9" s="73"/>
      <c r="C9" s="73"/>
      <c r="D9" s="73"/>
      <c r="E9" s="74"/>
      <c r="BA9" s="10"/>
      <c r="BB9" s="151" t="s">
        <v>58</v>
      </c>
      <c r="BC9" s="23">
        <v>-10</v>
      </c>
      <c r="BD9" s="24">
        <v>1384.3537414965899</v>
      </c>
      <c r="BE9" s="24">
        <v>1316.32653061224</v>
      </c>
      <c r="BF9" s="24">
        <v>1265.30612244897</v>
      </c>
      <c r="BG9" s="24">
        <v>1197.2789115646201</v>
      </c>
      <c r="BH9" s="24">
        <v>1112.24489795918</v>
      </c>
      <c r="BI9" s="25">
        <v>1061.2244897959099</v>
      </c>
      <c r="BJ9" s="113"/>
      <c r="BK9" s="151" t="s">
        <v>58</v>
      </c>
      <c r="BL9" s="26">
        <f>IF($BC$9="","",$BC$9)</f>
        <v>-10</v>
      </c>
      <c r="BM9" s="24">
        <v>395.87647205322497</v>
      </c>
      <c r="BN9" s="24">
        <v>429.63318746219699</v>
      </c>
      <c r="BO9" s="24">
        <v>463.37567154089697</v>
      </c>
      <c r="BP9" s="24">
        <v>497.125271284733</v>
      </c>
      <c r="BQ9" s="24">
        <v>530.87487102856903</v>
      </c>
      <c r="BR9" s="25">
        <v>564.62447077240495</v>
      </c>
      <c r="BS9" s="113"/>
      <c r="BT9" s="123" t="s">
        <v>59</v>
      </c>
      <c r="BU9" s="35">
        <f>IF($BC$9="","",$BC$9)</f>
        <v>-10</v>
      </c>
      <c r="BV9" s="38">
        <f>IF(OR(BD9="",BM9="")=TRUE,"",BD106/BM106)</f>
        <v>3.3866294140328943</v>
      </c>
      <c r="BW9" s="38">
        <f t="shared" ref="BV9:CA15" si="0">IF(OR(BE9="",BN9="")=TRUE,"",BE106/BN106)</f>
        <v>2.9082635721952879</v>
      </c>
      <c r="BX9" s="38">
        <f t="shared" si="0"/>
        <v>2.4690144249996968</v>
      </c>
      <c r="BY9" s="38">
        <f t="shared" si="0"/>
        <v>2.081890627439984</v>
      </c>
      <c r="BZ9" s="38">
        <f t="shared" si="0"/>
        <v>1.7501346506073012</v>
      </c>
      <c r="CA9" s="114">
        <f t="shared" si="0"/>
        <v>1.4716970068812705</v>
      </c>
    </row>
    <row r="10" spans="1:79" ht="15">
      <c r="A10" s="113"/>
      <c r="B10" s="73"/>
      <c r="C10" s="73"/>
      <c r="D10" s="73"/>
      <c r="E10" s="74"/>
      <c r="F10" s="82" t="s">
        <v>60</v>
      </c>
      <c r="BA10" s="10"/>
      <c r="BB10" s="152"/>
      <c r="BC10" s="23">
        <v>-5</v>
      </c>
      <c r="BD10" s="24">
        <v>1639.4557823129201</v>
      </c>
      <c r="BE10" s="24">
        <v>1571.42857142857</v>
      </c>
      <c r="BF10" s="24">
        <v>1503.4013605442101</v>
      </c>
      <c r="BG10" s="24">
        <v>1418.36734693877</v>
      </c>
      <c r="BH10" s="24">
        <v>1350.3401360544201</v>
      </c>
      <c r="BI10" s="25">
        <v>1265.30612244897</v>
      </c>
      <c r="BJ10" s="113"/>
      <c r="BK10" s="152"/>
      <c r="BL10" s="26">
        <f>IF($BC$10="","",$BC$10)</f>
        <v>-5</v>
      </c>
      <c r="BM10" s="24">
        <v>402.62212260291</v>
      </c>
      <c r="BN10" s="24">
        <v>440.12879353897603</v>
      </c>
      <c r="BO10" s="24">
        <v>477.62123314476798</v>
      </c>
      <c r="BP10" s="24">
        <v>515.12078841569701</v>
      </c>
      <c r="BQ10" s="24">
        <v>560.12025474081099</v>
      </c>
      <c r="BR10" s="25">
        <v>597.61981001174001</v>
      </c>
      <c r="BS10" s="113"/>
      <c r="BT10" s="123"/>
      <c r="BU10" s="35">
        <f>IF($BC$10="","",$BC$10)</f>
        <v>-5</v>
      </c>
      <c r="BV10" s="38">
        <f t="shared" si="0"/>
        <v>4.0091062253966081</v>
      </c>
      <c r="BW10" s="38">
        <f t="shared" si="0"/>
        <v>3.3852410256409757</v>
      </c>
      <c r="BX10" s="38">
        <f t="shared" si="0"/>
        <v>2.8365235605915831</v>
      </c>
      <c r="BY10" s="38">
        <f t="shared" si="0"/>
        <v>2.3681858982162778</v>
      </c>
      <c r="BZ10" s="38">
        <f t="shared" si="0"/>
        <v>1.9761976278903173</v>
      </c>
      <c r="CA10" s="114">
        <f t="shared" si="0"/>
        <v>1.6526766277724041</v>
      </c>
    </row>
    <row r="11" spans="1:79">
      <c r="A11" s="113"/>
      <c r="B11" s="73"/>
      <c r="C11" s="73"/>
      <c r="D11" s="73"/>
      <c r="E11" s="74"/>
      <c r="BA11" s="10"/>
      <c r="BB11" s="152"/>
      <c r="BC11" s="23">
        <v>0</v>
      </c>
      <c r="BD11" s="24">
        <v>1945.5782312925101</v>
      </c>
      <c r="BE11" s="24">
        <v>1843.5374149659799</v>
      </c>
      <c r="BF11" s="24">
        <v>1775.51020408163</v>
      </c>
      <c r="BG11" s="24">
        <v>1673.4693877550999</v>
      </c>
      <c r="BH11" s="24">
        <v>1571.42857142857</v>
      </c>
      <c r="BI11" s="25">
        <v>1486.3945578231201</v>
      </c>
      <c r="BJ11" s="113"/>
      <c r="BK11" s="152"/>
      <c r="BL11" s="26">
        <f>IF($BC$11="","",$BC$11)</f>
        <v>0</v>
      </c>
      <c r="BM11" s="24">
        <v>394.37506670936</v>
      </c>
      <c r="BN11" s="24">
        <v>443.124488561568</v>
      </c>
      <c r="BO11" s="24">
        <v>488.12395488668199</v>
      </c>
      <c r="BP11" s="24">
        <v>533.12342121179699</v>
      </c>
      <c r="BQ11" s="24">
        <v>585.62279859109799</v>
      </c>
      <c r="BR11" s="25">
        <v>626.87230938912001</v>
      </c>
      <c r="BS11" s="113"/>
      <c r="BT11" s="123"/>
      <c r="BU11" s="35">
        <f>IF($BC$11="","",$BC$11)</f>
        <v>0</v>
      </c>
      <c r="BV11" s="38">
        <f t="shared" si="0"/>
        <v>4.7808905475406496</v>
      </c>
      <c r="BW11" s="38">
        <f t="shared" si="0"/>
        <v>3.9601571180383517</v>
      </c>
      <c r="BX11" s="38">
        <f t="shared" si="0"/>
        <v>3.2683364462137785</v>
      </c>
      <c r="BY11" s="38">
        <f t="shared" si="0"/>
        <v>2.6963674781794342</v>
      </c>
      <c r="BZ11" s="38">
        <f t="shared" si="0"/>
        <v>2.2287360847689888</v>
      </c>
      <c r="CA11" s="114">
        <f t="shared" si="0"/>
        <v>1.8491271756110927</v>
      </c>
    </row>
    <row r="12" spans="1:79" ht="15">
      <c r="A12" s="113"/>
      <c r="B12" s="73"/>
      <c r="C12" s="73"/>
      <c r="D12" s="73"/>
      <c r="E12" s="74"/>
      <c r="F12" s="82" t="s">
        <v>61</v>
      </c>
      <c r="BA12" s="10"/>
      <c r="BB12" s="152"/>
      <c r="BC12" s="23">
        <v>5</v>
      </c>
      <c r="BD12" s="24">
        <v>2268.7074829931898</v>
      </c>
      <c r="BE12" s="24">
        <v>2183.6734693877502</v>
      </c>
      <c r="BF12" s="24">
        <v>2081.63265306122</v>
      </c>
      <c r="BG12" s="24">
        <v>1962.5850340136001</v>
      </c>
      <c r="BH12" s="24">
        <v>1843.5374149659799</v>
      </c>
      <c r="BI12" s="25">
        <v>1741.49659863945</v>
      </c>
      <c r="BJ12" s="113"/>
      <c r="BK12" s="152"/>
      <c r="BL12" s="26">
        <f>IF($BC$12="","",$BC$12)</f>
        <v>5</v>
      </c>
      <c r="BM12" s="24">
        <v>386.12089515067402</v>
      </c>
      <c r="BN12" s="24">
        <v>438.627388195111</v>
      </c>
      <c r="BO12" s="24">
        <v>487.376810047319</v>
      </c>
      <c r="BP12" s="24">
        <v>543.62614295371202</v>
      </c>
      <c r="BQ12" s="24">
        <v>603.61831572206199</v>
      </c>
      <c r="BR12" s="25">
        <v>652.37485323940598</v>
      </c>
      <c r="BS12" s="113"/>
      <c r="BT12" s="123"/>
      <c r="BU12" s="35">
        <f>IF($BC$12="","",$BC$12)</f>
        <v>5</v>
      </c>
      <c r="BV12" s="38">
        <f t="shared" si="0"/>
        <v>5.7931057794569218</v>
      </c>
      <c r="BW12" s="38">
        <f t="shared" si="0"/>
        <v>4.6918097065696927</v>
      </c>
      <c r="BX12" s="38">
        <f t="shared" si="0"/>
        <v>3.8047510810155916</v>
      </c>
      <c r="BY12" s="38">
        <f t="shared" si="0"/>
        <v>3.0958718872768545</v>
      </c>
      <c r="BZ12" s="38">
        <f t="shared" si="0"/>
        <v>2.5306347586275266</v>
      </c>
      <c r="CA12" s="114">
        <f t="shared" si="0"/>
        <v>2.0799030675194445</v>
      </c>
    </row>
    <row r="13" spans="1:79" ht="15">
      <c r="A13" s="113"/>
      <c r="B13" s="73"/>
      <c r="C13" s="73"/>
      <c r="D13" s="73"/>
      <c r="E13" s="74"/>
      <c r="F13" s="82" t="s">
        <v>62</v>
      </c>
      <c r="BA13" s="10"/>
      <c r="BB13" s="152"/>
      <c r="BC13" s="23">
        <v>10</v>
      </c>
      <c r="BD13" s="24">
        <v>2659.86394557823</v>
      </c>
      <c r="BE13" s="24">
        <v>2523.8095238095202</v>
      </c>
      <c r="BF13" s="24">
        <v>2421.7687074829901</v>
      </c>
      <c r="BG13" s="24">
        <v>2285.7142857142799</v>
      </c>
      <c r="BH13" s="24">
        <v>2166.6666666666601</v>
      </c>
      <c r="BI13" s="25">
        <v>2030.6122448979499</v>
      </c>
      <c r="BJ13" s="113"/>
      <c r="BK13" s="152"/>
      <c r="BL13" s="26">
        <f>IF($BC$13="","",$BC$13)</f>
        <v>10</v>
      </c>
      <c r="BM13" s="24">
        <v>362.87401714875199</v>
      </c>
      <c r="BN13" s="24">
        <v>422.86618991710202</v>
      </c>
      <c r="BO13" s="24">
        <v>482.87259401572499</v>
      </c>
      <c r="BP13" s="24">
        <v>542.87188244921094</v>
      </c>
      <c r="BQ13" s="24">
        <v>614.12103746397599</v>
      </c>
      <c r="BR13" s="25">
        <v>666.62041484327699</v>
      </c>
      <c r="BS13" s="113"/>
      <c r="BT13" s="123"/>
      <c r="BU13" s="35">
        <f>IF($BC$13="","",$BC$13)</f>
        <v>10</v>
      </c>
      <c r="BV13" s="38">
        <f t="shared" si="0"/>
        <v>7.1990886894570663</v>
      </c>
      <c r="BW13" s="38">
        <f t="shared" si="0"/>
        <v>5.6699499185245656</v>
      </c>
      <c r="BX13" s="38">
        <f t="shared" si="0"/>
        <v>4.5018638709483811</v>
      </c>
      <c r="BY13" s="38">
        <f t="shared" si="0"/>
        <v>3.6041943269807555</v>
      </c>
      <c r="BZ13" s="38">
        <f t="shared" si="0"/>
        <v>2.9086444482751133</v>
      </c>
      <c r="CA13" s="114">
        <f t="shared" si="0"/>
        <v>2.3653017835023555</v>
      </c>
    </row>
    <row r="14" spans="1:79" ht="15">
      <c r="A14" s="113"/>
      <c r="B14" s="75"/>
      <c r="C14" s="75"/>
      <c r="D14" s="75"/>
      <c r="E14" s="76"/>
      <c r="F14" s="82" t="s">
        <v>63</v>
      </c>
      <c r="BA14" s="10"/>
      <c r="BB14" s="152"/>
      <c r="BC14" s="23">
        <v>15</v>
      </c>
      <c r="BD14" s="24">
        <v>3102.0408163265301</v>
      </c>
      <c r="BE14" s="24">
        <v>2948.9795918367299</v>
      </c>
      <c r="BF14" s="24">
        <v>2812.9251700680202</v>
      </c>
      <c r="BG14" s="24">
        <v>2676.87074829931</v>
      </c>
      <c r="BH14" s="24">
        <v>2506.8027210884302</v>
      </c>
      <c r="BI14" s="25">
        <v>2370.74829931972</v>
      </c>
      <c r="BJ14" s="113"/>
      <c r="BK14" s="152"/>
      <c r="BL14" s="26">
        <f>IF($BC$14="","",$BC$14)</f>
        <v>15</v>
      </c>
      <c r="BM14" s="24">
        <v>328.377272565552</v>
      </c>
      <c r="BN14" s="24">
        <v>395.87647205322497</v>
      </c>
      <c r="BO14" s="24">
        <v>463.37567154089697</v>
      </c>
      <c r="BP14" s="24">
        <v>534.62482655566203</v>
      </c>
      <c r="BQ14" s="24">
        <v>609.61682143238295</v>
      </c>
      <c r="BR14" s="25">
        <v>673.37318105809902</v>
      </c>
      <c r="BS14" s="113"/>
      <c r="BT14" s="123"/>
      <c r="BU14" s="35">
        <f>IF($BC$14="","",$BC$14)</f>
        <v>15</v>
      </c>
      <c r="BV14" s="38">
        <f t="shared" si="0"/>
        <v>9.2912889776918615</v>
      </c>
      <c r="BW14" s="38">
        <f t="shared" si="0"/>
        <v>7.0483437781189311</v>
      </c>
      <c r="BX14" s="38">
        <f t="shared" si="0"/>
        <v>5.4473590694559908</v>
      </c>
      <c r="BY14" s="38">
        <f t="shared" si="0"/>
        <v>4.2752888209349242</v>
      </c>
      <c r="BZ14" s="38">
        <f t="shared" si="0"/>
        <v>3.3983668025207803</v>
      </c>
      <c r="CA14" s="114">
        <f>IF(OR(BI14="",BR14="")=TRUE,"",BI111/BR111)</f>
        <v>2.7303638865473618</v>
      </c>
    </row>
    <row r="15" spans="1:79" ht="16" thickBot="1">
      <c r="A15" s="113"/>
      <c r="B15" s="73"/>
      <c r="C15" s="73"/>
      <c r="D15" s="73"/>
      <c r="E15" s="74"/>
      <c r="F15" s="82"/>
      <c r="BA15" s="10"/>
      <c r="BB15" s="153"/>
      <c r="BC15" s="27"/>
      <c r="BD15" s="28" t="s">
        <v>64</v>
      </c>
      <c r="BE15" s="28" t="s">
        <v>64</v>
      </c>
      <c r="BF15" s="28"/>
      <c r="BG15" s="28" t="s">
        <v>64</v>
      </c>
      <c r="BH15" s="28" t="s">
        <v>64</v>
      </c>
      <c r="BI15" s="29" t="s">
        <v>64</v>
      </c>
      <c r="BJ15" s="113"/>
      <c r="BK15" s="153"/>
      <c r="BL15" s="30" t="str">
        <f>IF($BC$15="","",$BC$15)</f>
        <v/>
      </c>
      <c r="BM15" s="28"/>
      <c r="BN15" s="28"/>
      <c r="BO15" s="28"/>
      <c r="BP15" s="28"/>
      <c r="BQ15" s="28"/>
      <c r="BR15" s="29"/>
      <c r="BS15" s="113"/>
      <c r="BT15" s="124"/>
      <c r="BU15" s="39" t="str">
        <f>IF($BC$15="","",$BC$15)</f>
        <v/>
      </c>
      <c r="BV15" s="40" t="str">
        <f t="shared" si="0"/>
        <v/>
      </c>
      <c r="BW15" s="40" t="str">
        <f t="shared" si="0"/>
        <v/>
      </c>
      <c r="BX15" s="40" t="str">
        <f t="shared" si="0"/>
        <v/>
      </c>
      <c r="BY15" s="40" t="str">
        <f t="shared" si="0"/>
        <v/>
      </c>
      <c r="BZ15" s="40" t="str">
        <f t="shared" si="0"/>
        <v/>
      </c>
      <c r="CA15" s="115" t="str">
        <f t="shared" si="0"/>
        <v/>
      </c>
    </row>
    <row r="16" spans="1:79" ht="16" thickBot="1">
      <c r="A16" s="113"/>
      <c r="B16" s="73"/>
      <c r="C16" s="73"/>
      <c r="D16" s="73"/>
      <c r="E16" s="74"/>
      <c r="F16" s="82" t="s">
        <v>65</v>
      </c>
      <c r="G16" s="82"/>
      <c r="BA16" s="10"/>
      <c r="BJ16" s="113"/>
      <c r="BS16" s="113"/>
      <c r="BT16" s="113"/>
      <c r="BU16" s="113"/>
      <c r="BV16" s="113"/>
      <c r="BW16" s="113"/>
      <c r="BX16" s="113"/>
      <c r="BY16" s="113"/>
      <c r="BZ16" s="113"/>
      <c r="CA16" s="113"/>
    </row>
    <row r="17" spans="1:79" ht="16" thickBot="1">
      <c r="A17" s="113"/>
      <c r="B17" s="73"/>
      <c r="C17" s="73"/>
      <c r="D17" s="73"/>
      <c r="E17" s="74"/>
      <c r="F17" s="82" t="s">
        <v>66</v>
      </c>
      <c r="G17" s="82"/>
      <c r="BA17" s="10"/>
      <c r="BJ17" s="113"/>
      <c r="BS17" s="113"/>
      <c r="BT17" s="128" t="s">
        <v>67</v>
      </c>
      <c r="BU17" s="154"/>
      <c r="BV17" s="154"/>
      <c r="BW17" s="154"/>
      <c r="BX17" s="155"/>
      <c r="BY17" s="113"/>
      <c r="BZ17" s="160" t="s">
        <v>68</v>
      </c>
      <c r="CA17" s="162"/>
    </row>
    <row r="18" spans="1:79" ht="15" customHeight="1" thickBot="1">
      <c r="A18" s="113"/>
      <c r="B18" s="73"/>
      <c r="C18" s="73"/>
      <c r="D18" s="73"/>
      <c r="E18" s="74"/>
      <c r="F18" s="82" t="s">
        <v>69</v>
      </c>
      <c r="G18" s="82"/>
      <c r="BA18" s="10"/>
      <c r="BB18" s="118" t="s">
        <v>70</v>
      </c>
      <c r="BJ18" s="113"/>
      <c r="BK18" s="118" t="s">
        <v>71</v>
      </c>
      <c r="BS18" s="113"/>
      <c r="BT18" s="48" t="s">
        <v>72</v>
      </c>
      <c r="BU18" s="49">
        <v>37.799999999999997</v>
      </c>
      <c r="BV18" s="156">
        <v>113.32535824897106</v>
      </c>
      <c r="BW18" s="156"/>
      <c r="BX18" s="158" t="str">
        <f>IF(OR(BU18="",BU19="")=TRUE,"","[W]")</f>
        <v>[W]</v>
      </c>
      <c r="BY18" s="113"/>
      <c r="BZ18" s="163"/>
      <c r="CA18" s="164"/>
    </row>
    <row r="19" spans="1:79" ht="16" thickBot="1">
      <c r="A19" s="113"/>
      <c r="B19" s="73"/>
      <c r="C19" s="73"/>
      <c r="D19" s="73"/>
      <c r="E19" s="74"/>
      <c r="G19" s="82"/>
      <c r="BA19" s="10"/>
      <c r="BB19" s="41" t="s">
        <v>73</v>
      </c>
      <c r="BC19" s="42">
        <f>5*STDEV(BD115:BI121)+SUM(BD115:BI121)</f>
        <v>1631.8811361555661</v>
      </c>
      <c r="BE19" t="s">
        <v>74</v>
      </c>
      <c r="BJ19" s="113"/>
      <c r="BK19" s="41" t="s">
        <v>73</v>
      </c>
      <c r="BL19" s="42">
        <f>5*STDEV(BM115:BR121)+SUM(BM115:BR121)</f>
        <v>227.8710637113272</v>
      </c>
      <c r="BN19" s="43" t="s">
        <v>74</v>
      </c>
      <c r="BS19" s="113"/>
      <c r="BT19" s="51" t="s">
        <v>75</v>
      </c>
      <c r="BU19" s="52">
        <v>-12.2</v>
      </c>
      <c r="BV19" s="157"/>
      <c r="BW19" s="157"/>
      <c r="BX19" s="159"/>
      <c r="BY19" s="113"/>
      <c r="BZ19" s="48" t="s">
        <v>76</v>
      </c>
      <c r="CA19" s="53">
        <v>32.200000000000003</v>
      </c>
    </row>
    <row r="20" spans="1:79" ht="16" thickBot="1">
      <c r="A20" s="113"/>
      <c r="B20" s="73"/>
      <c r="C20" s="73"/>
      <c r="D20" s="73"/>
      <c r="E20" s="74"/>
      <c r="F20" s="82" t="s">
        <v>77</v>
      </c>
      <c r="BA20" s="10"/>
      <c r="BB20" s="41" t="s">
        <v>78</v>
      </c>
      <c r="BC20" s="42">
        <f>SUM(BD115:BI121)</f>
        <v>1403.3478728214704</v>
      </c>
      <c r="BJ20" s="113"/>
      <c r="BK20" s="41" t="s">
        <v>78</v>
      </c>
      <c r="BL20" s="42">
        <f>SUM(BM115:BR121)</f>
        <v>207.65963997644715</v>
      </c>
      <c r="BN20" s="44"/>
      <c r="BS20" s="113"/>
      <c r="BT20" s="128" t="s">
        <v>79</v>
      </c>
      <c r="BU20" s="154"/>
      <c r="BV20" s="154"/>
      <c r="BW20" s="154"/>
      <c r="BX20" s="155"/>
      <c r="BY20" s="113"/>
      <c r="BZ20" s="51" t="s">
        <v>80</v>
      </c>
      <c r="CA20" s="55">
        <v>0</v>
      </c>
    </row>
    <row r="21" spans="1:79" ht="16" thickBot="1">
      <c r="A21" s="113"/>
      <c r="B21" s="73"/>
      <c r="C21" s="73"/>
      <c r="D21" s="73"/>
      <c r="E21" s="74"/>
      <c r="BA21" s="10"/>
      <c r="BB21" s="46" t="s">
        <v>81</v>
      </c>
      <c r="BC21" s="47">
        <f>STDEV(BD115:BI121)</f>
        <v>45.706652666819132</v>
      </c>
      <c r="BE21" t="s">
        <v>82</v>
      </c>
      <c r="BJ21" s="113"/>
      <c r="BK21" s="46" t="s">
        <v>81</v>
      </c>
      <c r="BL21" s="47">
        <f>STDEV(BM115:BR121)</f>
        <v>4.0422847469760095</v>
      </c>
      <c r="BN21" s="43" t="s">
        <v>82</v>
      </c>
      <c r="BS21" s="113"/>
      <c r="BT21" s="48" t="s">
        <v>72</v>
      </c>
      <c r="BU21" s="57">
        <f>BU18</f>
        <v>37.799999999999997</v>
      </c>
      <c r="BV21" s="156">
        <v>34.60301955219952</v>
      </c>
      <c r="BW21" s="156"/>
      <c r="BX21" s="158" t="str">
        <f>IF(OR(BU21="",BU22="")=TRUE,"","[W]")</f>
        <v>[W]</v>
      </c>
      <c r="BY21" s="113"/>
      <c r="BZ21" s="113"/>
      <c r="CA21" s="113"/>
    </row>
    <row r="22" spans="1:79" ht="16" thickBot="1">
      <c r="A22" s="113"/>
      <c r="B22" s="73"/>
      <c r="C22" s="73"/>
      <c r="D22" s="73"/>
      <c r="E22" s="74"/>
      <c r="BA22" s="10"/>
      <c r="BB22" s="113"/>
      <c r="BC22" s="50"/>
      <c r="BJ22" s="113"/>
      <c r="BK22" s="113"/>
      <c r="BL22" s="50"/>
      <c r="BM22" s="113"/>
      <c r="BS22" s="113"/>
      <c r="BT22" s="51" t="s">
        <v>75</v>
      </c>
      <c r="BU22" s="58">
        <f>BU19</f>
        <v>-12.2</v>
      </c>
      <c r="BV22" s="157"/>
      <c r="BW22" s="157"/>
      <c r="BX22" s="159"/>
      <c r="BY22" s="113"/>
      <c r="BZ22" s="160" t="s">
        <v>83</v>
      </c>
      <c r="CA22" s="161"/>
    </row>
    <row r="23" spans="1:79" ht="15" thickBot="1">
      <c r="A23" s="113"/>
      <c r="B23" s="73"/>
      <c r="C23" s="73"/>
      <c r="D23" s="73"/>
      <c r="E23" s="74"/>
      <c r="BA23" s="10"/>
      <c r="BB23" s="10" t="s">
        <v>84</v>
      </c>
      <c r="BC23" s="54">
        <f>SUM(BD115:BI121)</f>
        <v>1403.3478728214704</v>
      </c>
      <c r="BJ23" s="113"/>
      <c r="BK23" s="10" t="s">
        <v>84</v>
      </c>
      <c r="BL23" s="54">
        <f>SUM(BM115:BR121)</f>
        <v>207.65963997644715</v>
      </c>
      <c r="BM23" s="113"/>
      <c r="BS23" s="113"/>
      <c r="BT23" s="128" t="s">
        <v>85</v>
      </c>
      <c r="BU23" s="154"/>
      <c r="BV23" s="154"/>
      <c r="BW23" s="154"/>
      <c r="BX23" s="155"/>
      <c r="BY23" s="113"/>
      <c r="BZ23" s="59" t="s">
        <v>86</v>
      </c>
      <c r="CA23" s="60" t="s">
        <v>44</v>
      </c>
    </row>
    <row r="24" spans="1:79" ht="15">
      <c r="A24" s="113"/>
      <c r="B24" s="73"/>
      <c r="C24" s="73"/>
      <c r="D24" s="73"/>
      <c r="E24" s="74"/>
      <c r="BA24" s="10"/>
      <c r="BB24" s="10" t="s">
        <v>87</v>
      </c>
      <c r="BC24" s="56">
        <f>MAX(BD137:BI143)</f>
        <v>9.416805761505144E-3</v>
      </c>
      <c r="BJ24" s="113"/>
      <c r="BK24" s="10" t="s">
        <v>87</v>
      </c>
      <c r="BL24" s="56">
        <f>MAX(BM137:BR143)</f>
        <v>8.3103083680055156E-3</v>
      </c>
      <c r="BM24" s="113"/>
      <c r="BS24" s="113"/>
      <c r="BT24" s="48" t="s">
        <v>72</v>
      </c>
      <c r="BU24" s="57">
        <f>BU21</f>
        <v>37.799999999999997</v>
      </c>
      <c r="BV24" s="145">
        <f>BV18/BV21</f>
        <v>3.2750135599587464</v>
      </c>
      <c r="BW24" s="146"/>
      <c r="BX24" s="147"/>
      <c r="BY24" s="113"/>
      <c r="BZ24" s="113"/>
      <c r="CA24" s="113"/>
    </row>
    <row r="25" spans="1:79" ht="16" thickBot="1">
      <c r="A25" s="113"/>
      <c r="B25" s="73"/>
      <c r="C25" s="73"/>
      <c r="D25" s="73"/>
      <c r="E25" s="74"/>
      <c r="BA25" s="10"/>
      <c r="BJ25" s="113"/>
      <c r="BS25" s="113"/>
      <c r="BT25" s="51" t="s">
        <v>75</v>
      </c>
      <c r="BU25" s="58">
        <f>BU22</f>
        <v>-12.2</v>
      </c>
      <c r="BV25" s="148"/>
      <c r="BW25" s="149"/>
      <c r="BX25" s="150"/>
      <c r="BY25" s="113"/>
      <c r="BZ25" s="113"/>
      <c r="CA25" s="113"/>
    </row>
    <row r="26" spans="1:79" ht="14" thickBot="1">
      <c r="A26" s="113"/>
      <c r="B26" s="73"/>
      <c r="C26" s="73"/>
      <c r="D26" s="73"/>
      <c r="E26" s="74"/>
      <c r="BA26" s="10"/>
      <c r="BJ26" s="113"/>
      <c r="BS26" s="113"/>
      <c r="BT26" s="113"/>
      <c r="BU26" s="113"/>
      <c r="BV26" s="113"/>
      <c r="BW26" s="113"/>
      <c r="BX26" s="113"/>
      <c r="BY26" s="62"/>
      <c r="BZ26" s="113"/>
      <c r="CA26" s="113"/>
    </row>
    <row r="27" spans="1:79" ht="12.75" customHeight="1" thickBot="1">
      <c r="BA27" s="10"/>
      <c r="BJ27" s="113"/>
      <c r="BS27" s="113"/>
      <c r="BT27" s="125" t="s">
        <v>88</v>
      </c>
      <c r="BU27" s="126"/>
      <c r="BV27" s="126"/>
      <c r="BW27" s="126"/>
      <c r="BX27" s="127"/>
      <c r="BY27" s="113"/>
      <c r="BZ27" s="113"/>
      <c r="CA27" s="113"/>
    </row>
    <row r="28" spans="1:79" ht="16" thickBot="1">
      <c r="BA28" s="10"/>
      <c r="BJ28" s="113"/>
      <c r="BS28" s="113"/>
      <c r="BT28" s="128" t="s">
        <v>67</v>
      </c>
      <c r="BU28" s="129"/>
      <c r="BV28" s="63">
        <v>204</v>
      </c>
      <c r="BW28" s="64" t="str">
        <f>"[W]     ± "</f>
        <v xml:space="preserve">[W]     ± </v>
      </c>
      <c r="BX28" s="65">
        <v>0.05</v>
      </c>
      <c r="BY28" s="113"/>
      <c r="BZ28" s="113"/>
      <c r="CA28" s="113"/>
    </row>
    <row r="29" spans="1:79" ht="16" thickBot="1">
      <c r="BA29" s="10"/>
      <c r="BJ29" s="113"/>
      <c r="BS29" s="113"/>
      <c r="BT29" s="128" t="s">
        <v>79</v>
      </c>
      <c r="BU29" s="129"/>
      <c r="BV29" s="63">
        <v>113</v>
      </c>
      <c r="BW29" s="64" t="str">
        <f>"[W]     ± "</f>
        <v xml:space="preserve">[W]     ± </v>
      </c>
      <c r="BX29" s="65">
        <v>0.05</v>
      </c>
      <c r="BY29" s="113"/>
      <c r="BZ29" s="113"/>
      <c r="CA29" s="113"/>
    </row>
    <row r="30" spans="1:79" ht="14" thickBot="1">
      <c r="BA30" s="10"/>
      <c r="BJ30" s="113"/>
      <c r="BS30" s="113"/>
      <c r="BT30" s="128" t="s">
        <v>85</v>
      </c>
      <c r="BU30" s="129"/>
      <c r="BV30" s="63">
        <v>1.81</v>
      </c>
      <c r="BW30" s="64" t="str">
        <f>"[W/W] ± "</f>
        <v xml:space="preserve">[W/W] ± </v>
      </c>
      <c r="BX30" s="65">
        <v>7.0000000000000007E-2</v>
      </c>
      <c r="BY30" s="113"/>
      <c r="BZ30" s="113"/>
      <c r="CA30" s="113"/>
    </row>
    <row r="31" spans="1:79">
      <c r="BA31" s="10"/>
      <c r="BJ31" s="113"/>
      <c r="BS31" s="113"/>
      <c r="BT31" s="113"/>
      <c r="BU31" s="113"/>
      <c r="BV31" s="113"/>
      <c r="BW31" s="113"/>
      <c r="BX31" s="113"/>
      <c r="BY31" s="113"/>
      <c r="BZ31" s="113"/>
      <c r="CA31" s="113"/>
    </row>
    <row r="32" spans="1:79">
      <c r="BA32" s="10"/>
      <c r="BJ32" s="113"/>
      <c r="BS32" s="113"/>
      <c r="BT32" s="113"/>
      <c r="BU32" s="113"/>
      <c r="BV32" s="113"/>
      <c r="BW32" s="113"/>
      <c r="BX32" s="113"/>
      <c r="BY32" s="113"/>
      <c r="BZ32" s="113"/>
      <c r="CA32" s="113"/>
    </row>
    <row r="33" spans="51:79">
      <c r="BA33" s="10"/>
      <c r="BJ33" s="113"/>
      <c r="BS33" s="113"/>
      <c r="BT33" s="113"/>
      <c r="BU33" s="113"/>
      <c r="BV33" s="113"/>
      <c r="BW33" s="113"/>
      <c r="BX33" s="113"/>
      <c r="BY33" s="113"/>
      <c r="BZ33" s="113"/>
      <c r="CA33" s="113"/>
    </row>
    <row r="34" spans="51:79">
      <c r="BA34" s="10"/>
      <c r="BB34" s="10"/>
      <c r="BC34" s="10"/>
      <c r="BD34" s="113"/>
      <c r="BE34" s="113"/>
      <c r="BF34" s="113"/>
      <c r="BG34" s="113"/>
      <c r="BJ34" s="43"/>
      <c r="BK34" s="113"/>
      <c r="BL34" s="113"/>
      <c r="BM34" s="113"/>
      <c r="BN34" s="113"/>
      <c r="BO34" s="113"/>
      <c r="BP34" s="113"/>
      <c r="BS34" s="43"/>
      <c r="BT34" s="113"/>
      <c r="BU34" s="113"/>
      <c r="BV34" s="113"/>
      <c r="BW34" s="113"/>
      <c r="BX34" s="113"/>
      <c r="BY34" s="113"/>
      <c r="BZ34" s="113"/>
      <c r="CA34" s="113"/>
    </row>
    <row r="35" spans="51:79">
      <c r="BA35" s="10"/>
      <c r="BB35" s="10"/>
      <c r="BC35" s="10"/>
      <c r="BD35" s="113"/>
      <c r="BE35" s="113"/>
      <c r="BF35" s="113"/>
      <c r="BG35" s="113"/>
      <c r="BJ35" s="44"/>
      <c r="BK35" s="45"/>
      <c r="BL35" s="113"/>
      <c r="BM35" s="113"/>
      <c r="BN35" s="113"/>
      <c r="BO35" s="113"/>
      <c r="BP35" s="113"/>
      <c r="BS35" s="44"/>
    </row>
    <row r="36" spans="51:79">
      <c r="BA36" s="10"/>
      <c r="BB36" s="10"/>
      <c r="BC36" s="10"/>
      <c r="BD36" s="113"/>
      <c r="BE36" s="113"/>
      <c r="BF36" s="113"/>
      <c r="BG36" s="113"/>
      <c r="BJ36" s="43"/>
      <c r="BK36" s="113"/>
      <c r="BL36" s="113"/>
      <c r="BM36" s="113"/>
      <c r="BN36" s="113"/>
      <c r="BO36" s="113"/>
      <c r="BP36" s="113"/>
      <c r="BS36" s="43"/>
    </row>
    <row r="37" spans="51:79">
      <c r="BA37" s="10"/>
      <c r="BB37" s="10"/>
      <c r="BC37" s="10"/>
      <c r="BD37" s="113"/>
      <c r="BE37" s="113"/>
      <c r="BF37" s="113"/>
      <c r="BG37" s="113"/>
      <c r="BJ37" s="113"/>
      <c r="BK37" s="113"/>
      <c r="BL37" s="113"/>
      <c r="BM37" s="113"/>
      <c r="BN37" s="113"/>
      <c r="BO37" s="113"/>
      <c r="BP37" s="113"/>
      <c r="BS37" s="113"/>
    </row>
    <row r="38" spans="51:79">
      <c r="BA38" s="10"/>
      <c r="BB38" s="10"/>
      <c r="BC38" s="10"/>
      <c r="BD38" s="113"/>
      <c r="BE38" s="113"/>
      <c r="BF38" s="113"/>
      <c r="BG38" s="113"/>
      <c r="BJ38" s="113"/>
      <c r="BK38" s="113"/>
      <c r="BL38" s="113"/>
      <c r="BM38" s="113"/>
      <c r="BN38" s="113"/>
      <c r="BO38" s="113"/>
      <c r="BP38" s="113"/>
      <c r="BS38" s="113"/>
    </row>
    <row r="39" spans="51:79">
      <c r="BA39" s="10"/>
      <c r="BB39" s="10"/>
      <c r="BC39" s="10"/>
      <c r="BD39" s="113"/>
      <c r="BE39" s="113"/>
      <c r="BF39" s="113"/>
      <c r="BG39" s="113"/>
      <c r="BJ39" s="113"/>
      <c r="BK39" s="113"/>
      <c r="BL39" s="113"/>
      <c r="BM39" s="113"/>
      <c r="BN39" s="113"/>
      <c r="BO39" s="113"/>
      <c r="BP39" s="113"/>
      <c r="BS39" s="113"/>
    </row>
    <row r="40" spans="51:79">
      <c r="BA40" s="10"/>
      <c r="BB40" s="10"/>
      <c r="BC40" s="10"/>
      <c r="BD40" s="113"/>
      <c r="BE40" s="113"/>
      <c r="BF40" s="113"/>
      <c r="BG40" s="113"/>
      <c r="BH40" s="113"/>
      <c r="BI40" s="113"/>
      <c r="BJ40" s="113"/>
      <c r="BK40" s="113"/>
      <c r="BL40" s="113"/>
      <c r="BM40" s="113"/>
      <c r="BN40" s="113"/>
      <c r="BO40" s="113"/>
      <c r="BP40" s="113"/>
      <c r="BQ40" s="113"/>
      <c r="BR40" s="113"/>
      <c r="BS40" s="113"/>
    </row>
    <row r="41" spans="51:79">
      <c r="BA41" s="10"/>
      <c r="BB41" s="10"/>
      <c r="BC41" s="10"/>
      <c r="BD41" s="113"/>
      <c r="BE41" s="113"/>
      <c r="BF41" s="113"/>
      <c r="BG41" s="113"/>
      <c r="BH41" s="113"/>
      <c r="BI41" s="80"/>
      <c r="BJ41" s="113"/>
      <c r="BK41" s="113"/>
      <c r="BL41" s="113"/>
      <c r="BM41" s="113"/>
      <c r="BN41" s="113"/>
      <c r="BO41" s="113"/>
      <c r="BP41" s="113"/>
      <c r="BQ41" s="113"/>
      <c r="BR41" s="113"/>
      <c r="BS41" s="113"/>
    </row>
    <row r="42" spans="51:79">
      <c r="BA42" s="10"/>
      <c r="BB42" s="10"/>
      <c r="BC42" s="10"/>
      <c r="BD42" s="113"/>
      <c r="BE42" s="113"/>
      <c r="BF42" s="113"/>
      <c r="BG42" s="113"/>
      <c r="BH42" s="61"/>
      <c r="BI42" s="61"/>
      <c r="BJ42" s="61"/>
      <c r="BK42" s="113"/>
      <c r="BL42" s="113"/>
      <c r="BM42" s="113"/>
      <c r="BN42" s="113"/>
      <c r="BO42" s="113"/>
      <c r="BP42" s="113"/>
      <c r="BQ42" s="61"/>
      <c r="BR42" s="81"/>
      <c r="BS42" s="61"/>
    </row>
    <row r="43" spans="51:79">
      <c r="BA43" s="10"/>
      <c r="BB43" s="10"/>
      <c r="BC43" s="10"/>
      <c r="BD43" s="113"/>
      <c r="BE43" s="113"/>
      <c r="BF43" s="113"/>
      <c r="BG43" s="113"/>
      <c r="BH43" s="61"/>
      <c r="BI43" s="61"/>
      <c r="BJ43" s="61"/>
      <c r="BK43" s="113"/>
      <c r="BL43" s="113"/>
      <c r="BM43" s="113"/>
      <c r="BN43" s="113"/>
      <c r="BO43" s="113"/>
      <c r="BP43" s="113"/>
      <c r="BQ43" s="61"/>
      <c r="BR43" s="61"/>
      <c r="BS43" s="61"/>
    </row>
    <row r="44" spans="51:79">
      <c r="BA44" s="10"/>
      <c r="BB44" s="10"/>
      <c r="BC44" s="10"/>
      <c r="BD44" s="113"/>
      <c r="BE44" s="113"/>
      <c r="BF44" s="10"/>
      <c r="BG44" s="113"/>
      <c r="BH44" s="61"/>
      <c r="BI44" s="61"/>
      <c r="BJ44" s="61"/>
      <c r="BK44" s="10"/>
      <c r="BL44" s="10"/>
      <c r="BM44" s="10"/>
      <c r="BN44" s="10"/>
      <c r="BO44" s="113"/>
      <c r="BP44" s="113"/>
      <c r="BQ44" s="61"/>
      <c r="BR44" s="61"/>
      <c r="BS44" s="61"/>
    </row>
    <row r="45" spans="51:79">
      <c r="AY45" s="4"/>
      <c r="AZ45" s="4"/>
      <c r="BB45" s="7" t="s">
        <v>697</v>
      </c>
      <c r="BC45" s="10"/>
      <c r="BD45" s="113"/>
      <c r="BE45" s="113"/>
      <c r="BF45" s="113"/>
      <c r="BG45" s="113"/>
      <c r="BH45" s="113"/>
      <c r="BI45" s="113"/>
      <c r="BJ45" s="113"/>
      <c r="BK45" s="113" t="s">
        <v>698</v>
      </c>
      <c r="BL45" s="113"/>
      <c r="BM45" s="113"/>
      <c r="BN45" s="113"/>
      <c r="BO45" s="113"/>
      <c r="BP45" s="113"/>
      <c r="BQ45" s="113"/>
      <c r="BR45" s="113"/>
      <c r="BS45" s="61"/>
    </row>
    <row r="46" spans="51:79">
      <c r="AZ46" s="4"/>
      <c r="BA46" s="7" t="s">
        <v>699</v>
      </c>
      <c r="BB46">
        <f>BC46-5</f>
        <v>30</v>
      </c>
      <c r="BC46">
        <f>BD46-5</f>
        <v>35</v>
      </c>
      <c r="BD46">
        <f>BE46-5</f>
        <v>40</v>
      </c>
      <c r="BE46">
        <f>BF46-5</f>
        <v>45</v>
      </c>
      <c r="BF46">
        <f>BG46-5</f>
        <v>50</v>
      </c>
      <c r="BG46">
        <f>BH46-5</f>
        <v>55</v>
      </c>
      <c r="BH46">
        <v>60</v>
      </c>
      <c r="BJ46" s="113" t="s">
        <v>699</v>
      </c>
      <c r="BK46" s="113">
        <v>30</v>
      </c>
      <c r="BL46" s="113">
        <f>BK46+5</f>
        <v>35</v>
      </c>
      <c r="BM46" s="113">
        <f t="shared" ref="BM46:BQ46" si="1">BL46+5</f>
        <v>40</v>
      </c>
      <c r="BN46" s="113">
        <f t="shared" si="1"/>
        <v>45</v>
      </c>
      <c r="BO46" s="113">
        <f t="shared" si="1"/>
        <v>50</v>
      </c>
      <c r="BP46" s="113">
        <f t="shared" si="1"/>
        <v>55</v>
      </c>
      <c r="BQ46" s="113">
        <f t="shared" si="1"/>
        <v>60</v>
      </c>
      <c r="BR46" s="113"/>
      <c r="BS46" s="4"/>
    </row>
    <row r="47" spans="51:79">
      <c r="BA47">
        <v>-10</v>
      </c>
      <c r="BB47" s="175">
        <v>1435.37414965986</v>
      </c>
      <c r="BC47" s="175">
        <v>1384.3537414965899</v>
      </c>
      <c r="BD47" s="175">
        <v>1316.32653061224</v>
      </c>
      <c r="BE47" s="175">
        <v>1265.30612244897</v>
      </c>
      <c r="BF47" s="175">
        <v>1197.2789115646201</v>
      </c>
      <c r="BG47" s="176">
        <v>1112.24489795918</v>
      </c>
      <c r="BH47" s="175">
        <v>1061.2244897959099</v>
      </c>
      <c r="BJ47">
        <v>-10</v>
      </c>
      <c r="BK47" s="175">
        <v>362.126872309389</v>
      </c>
      <c r="BL47" s="175">
        <v>395.87647205322497</v>
      </c>
      <c r="BM47" s="175">
        <v>429.63318746219699</v>
      </c>
      <c r="BN47" s="175">
        <v>463.37567154089697</v>
      </c>
      <c r="BO47" s="175">
        <v>497.125271284733</v>
      </c>
      <c r="BP47" s="175">
        <v>530.87487102856903</v>
      </c>
      <c r="BQ47" s="175">
        <v>564.62447077240495</v>
      </c>
      <c r="BS47" s="61"/>
    </row>
    <row r="48" spans="51:79">
      <c r="BA48">
        <v>-5</v>
      </c>
      <c r="BB48" s="175">
        <v>1707.4829931972699</v>
      </c>
      <c r="BC48" s="175">
        <v>1639.4557823129201</v>
      </c>
      <c r="BD48" s="175">
        <v>1571.42857142857</v>
      </c>
      <c r="BE48" s="175">
        <v>1503.4013605442101</v>
      </c>
      <c r="BF48" s="175">
        <v>1418.36734693877</v>
      </c>
      <c r="BG48" s="176">
        <v>1350.3401360544201</v>
      </c>
      <c r="BH48" s="175">
        <v>1265.30612244897</v>
      </c>
      <c r="BJ48">
        <v>-5</v>
      </c>
      <c r="BK48" s="175">
        <v>361.37261180488798</v>
      </c>
      <c r="BL48" s="175">
        <v>402.62212260291</v>
      </c>
      <c r="BM48" s="175">
        <v>440.12879353897603</v>
      </c>
      <c r="BN48" s="175">
        <v>477.62123314476798</v>
      </c>
      <c r="BO48" s="175">
        <v>515.12078841569701</v>
      </c>
      <c r="BP48" s="175">
        <v>560.12025474081099</v>
      </c>
      <c r="BQ48" s="175">
        <v>597.61981001174001</v>
      </c>
      <c r="BR48" s="113"/>
      <c r="BS48" s="66"/>
    </row>
    <row r="49" spans="50:79">
      <c r="AX49">
        <v>7</v>
      </c>
      <c r="BA49">
        <v>0</v>
      </c>
      <c r="BB49" s="175">
        <v>2013.6054421768699</v>
      </c>
      <c r="BC49" s="175">
        <v>1945.5782312925101</v>
      </c>
      <c r="BD49" s="175">
        <v>1843.5374149659799</v>
      </c>
      <c r="BE49" s="175">
        <v>1775.51020408163</v>
      </c>
      <c r="BF49" s="175">
        <v>1673.4693877550999</v>
      </c>
      <c r="BG49" s="176">
        <v>1571.42857142857</v>
      </c>
      <c r="BH49" s="175">
        <v>1486.3945578231201</v>
      </c>
      <c r="BJ49">
        <v>0</v>
      </c>
      <c r="BK49" s="175">
        <v>349.37560038424499</v>
      </c>
      <c r="BL49" s="175">
        <v>394.37506670936</v>
      </c>
      <c r="BM49" s="175">
        <v>443.124488561568</v>
      </c>
      <c r="BN49" s="176">
        <v>488.12395488668199</v>
      </c>
      <c r="BO49" s="175">
        <v>533.12342121179699</v>
      </c>
      <c r="BP49" s="175">
        <v>585.62279859109799</v>
      </c>
      <c r="BQ49" s="175">
        <v>626.87230938912001</v>
      </c>
      <c r="BR49" s="113"/>
      <c r="BS49" s="113"/>
    </row>
    <row r="50" spans="50:79">
      <c r="BA50">
        <v>5</v>
      </c>
      <c r="BB50" s="175">
        <v>2370.74829931972</v>
      </c>
      <c r="BC50" s="176">
        <v>2268.7074829931898</v>
      </c>
      <c r="BD50" s="175">
        <v>2183.6734693877502</v>
      </c>
      <c r="BE50" s="175">
        <v>2081.63265306122</v>
      </c>
      <c r="BF50" s="175">
        <v>1962.5850340136001</v>
      </c>
      <c r="BG50" s="176">
        <v>1843.5374149659799</v>
      </c>
      <c r="BH50" s="175">
        <v>1741.49659863945</v>
      </c>
      <c r="BJ50">
        <v>5</v>
      </c>
      <c r="BK50" s="175">
        <v>333.62151777137302</v>
      </c>
      <c r="BL50" s="175">
        <v>386.12089515067402</v>
      </c>
      <c r="BM50" s="175">
        <v>438.627388195111</v>
      </c>
      <c r="BN50" s="175">
        <v>487.376810047319</v>
      </c>
      <c r="BO50" s="175">
        <v>543.62614295371202</v>
      </c>
      <c r="BP50" s="175">
        <v>603.61831572206199</v>
      </c>
      <c r="BQ50" s="175">
        <v>652.37485323940598</v>
      </c>
      <c r="BR50" s="113"/>
      <c r="BS50" s="113"/>
    </row>
    <row r="51" spans="50:79">
      <c r="BA51">
        <v>10</v>
      </c>
      <c r="BB51" s="175">
        <v>2795.9183673469302</v>
      </c>
      <c r="BC51" s="175">
        <v>2659.86394557823</v>
      </c>
      <c r="BD51" s="175">
        <v>2523.8095238095202</v>
      </c>
      <c r="BE51" s="175">
        <v>2421.7687074829901</v>
      </c>
      <c r="BF51" s="175">
        <v>2285.7142857142799</v>
      </c>
      <c r="BG51" s="176">
        <v>2166.6666666666601</v>
      </c>
      <c r="BH51" s="175">
        <v>2030.6122448979499</v>
      </c>
      <c r="BJ51">
        <v>10</v>
      </c>
      <c r="BK51" s="175">
        <v>299.11765752303597</v>
      </c>
      <c r="BL51" s="175">
        <v>362.87401714875199</v>
      </c>
      <c r="BM51" s="175">
        <v>422.86618991710202</v>
      </c>
      <c r="BN51" s="175">
        <v>482.87259401572499</v>
      </c>
      <c r="BO51" s="175">
        <v>542.87188244921094</v>
      </c>
      <c r="BP51" s="175">
        <v>614.12103746397599</v>
      </c>
      <c r="BQ51" s="175">
        <v>666.62041484327699</v>
      </c>
      <c r="BR51" s="113"/>
      <c r="BS51" s="113"/>
    </row>
    <row r="52" spans="50:79">
      <c r="BA52">
        <v>15</v>
      </c>
      <c r="BB52" s="175">
        <v>3238.0952380952299</v>
      </c>
      <c r="BC52" s="175">
        <v>3102.0408163265301</v>
      </c>
      <c r="BD52" s="175">
        <v>2948.9795918367299</v>
      </c>
      <c r="BE52" s="175">
        <v>2812.9251700680202</v>
      </c>
      <c r="BF52" s="175">
        <v>2676.87074829931</v>
      </c>
      <c r="BG52" s="176">
        <v>2506.8027210884302</v>
      </c>
      <c r="BH52" s="175">
        <v>2370.74829931972</v>
      </c>
      <c r="BJ52">
        <v>15</v>
      </c>
      <c r="BK52" s="175">
        <v>257.12811755078701</v>
      </c>
      <c r="BL52" s="175">
        <v>328.377272565552</v>
      </c>
      <c r="BM52" s="175">
        <v>395.87647205322497</v>
      </c>
      <c r="BN52" s="175">
        <v>463.37567154089697</v>
      </c>
      <c r="BO52" s="175">
        <v>534.62482655566203</v>
      </c>
      <c r="BP52" s="175">
        <v>609.61682143238295</v>
      </c>
      <c r="BQ52" s="175">
        <v>673.37318105809902</v>
      </c>
      <c r="BR52" s="113"/>
      <c r="BS52" s="113"/>
      <c r="BT52" s="113"/>
      <c r="BU52" s="113"/>
      <c r="BV52" s="113"/>
      <c r="BW52" s="113"/>
      <c r="BX52" s="113"/>
      <c r="BY52" s="113"/>
      <c r="BZ52" s="113"/>
      <c r="CA52" s="113"/>
    </row>
    <row r="53" spans="50:79">
      <c r="BC53" s="10"/>
      <c r="BS53" s="113"/>
      <c r="BT53" s="113"/>
      <c r="BU53" s="113"/>
      <c r="BV53" s="113"/>
      <c r="BW53" s="113"/>
      <c r="BX53" s="113"/>
      <c r="BY53" s="113"/>
      <c r="BZ53" s="113"/>
      <c r="CA53" s="113"/>
    </row>
    <row r="54" spans="50:79">
      <c r="BA54" s="10"/>
      <c r="BB54" s="113"/>
      <c r="BC54" s="113"/>
      <c r="BD54" s="113"/>
      <c r="BE54" s="113"/>
      <c r="BH54" s="113"/>
      <c r="BI54" s="113"/>
      <c r="BJ54" s="113"/>
      <c r="BK54" s="113"/>
      <c r="BL54" s="113"/>
      <c r="BM54" s="113"/>
      <c r="BN54" s="113"/>
      <c r="BO54" s="113"/>
      <c r="BP54" s="113"/>
      <c r="BQ54" s="113"/>
      <c r="BR54" s="113"/>
      <c r="BS54" s="113"/>
      <c r="BT54" s="113"/>
      <c r="BU54" s="113"/>
      <c r="BV54" s="113"/>
      <c r="BW54" s="113"/>
      <c r="BX54" s="113"/>
      <c r="BY54" s="113"/>
      <c r="BZ54" s="113"/>
      <c r="CA54" s="113"/>
    </row>
    <row r="55" spans="50:79">
      <c r="BA55" s="10"/>
      <c r="BB55" s="113"/>
      <c r="BC55" s="113"/>
      <c r="BD55" s="113"/>
      <c r="BE55" s="113"/>
      <c r="BH55" s="113"/>
      <c r="BI55" s="113"/>
      <c r="BJ55" s="113"/>
      <c r="BK55" s="113"/>
      <c r="BL55" s="113"/>
      <c r="BM55" s="113"/>
      <c r="BN55" s="113"/>
      <c r="BO55" s="113"/>
      <c r="BP55" s="113"/>
      <c r="BQ55" s="113"/>
      <c r="BR55" s="113"/>
      <c r="BS55" s="113"/>
      <c r="BT55" s="113"/>
      <c r="BU55" s="113"/>
      <c r="BV55" s="113"/>
      <c r="BW55" s="113"/>
      <c r="BX55" s="113"/>
      <c r="BY55" s="113"/>
      <c r="BZ55" s="113"/>
      <c r="CA55" s="113"/>
    </row>
    <row r="56" spans="50:79">
      <c r="BA56" s="10"/>
      <c r="BB56" s="113"/>
      <c r="BC56" s="113"/>
      <c r="BD56" s="113"/>
      <c r="BE56" s="113"/>
      <c r="BH56" s="113"/>
      <c r="BI56" s="113"/>
      <c r="BJ56" s="113"/>
      <c r="BK56" s="113"/>
      <c r="BL56" s="113"/>
      <c r="BM56" s="113"/>
      <c r="BN56" s="113"/>
      <c r="BO56" s="113"/>
      <c r="BP56" s="113"/>
      <c r="BQ56" s="113"/>
      <c r="BR56" s="113"/>
      <c r="BS56" s="113"/>
      <c r="BT56" s="113"/>
      <c r="BU56" s="113"/>
      <c r="BV56" s="113"/>
      <c r="BW56" s="113"/>
      <c r="BX56" s="113"/>
      <c r="BY56" s="113"/>
      <c r="BZ56" s="113"/>
      <c r="CA56" s="113"/>
    </row>
    <row r="57" spans="50:79">
      <c r="BA57" s="10"/>
      <c r="BB57" s="113"/>
      <c r="BC57" s="113"/>
      <c r="BD57" s="113"/>
      <c r="BE57" s="113"/>
      <c r="BH57" s="113"/>
      <c r="BI57" s="113"/>
      <c r="BJ57" s="113"/>
      <c r="BK57" s="113"/>
      <c r="BL57" s="113"/>
      <c r="BM57" s="113"/>
      <c r="BN57" s="113"/>
      <c r="BO57" s="113"/>
      <c r="BP57" s="113"/>
      <c r="BQ57" s="113"/>
      <c r="BR57" s="113"/>
      <c r="BS57" s="113"/>
      <c r="BT57" s="113"/>
      <c r="BU57" s="113"/>
      <c r="BV57" s="113"/>
      <c r="BW57" s="113"/>
      <c r="BX57" s="113"/>
      <c r="BY57" s="113"/>
      <c r="BZ57" s="113"/>
      <c r="CA57" s="113"/>
    </row>
    <row r="58" spans="50:79">
      <c r="BA58" s="10"/>
      <c r="BS58" s="113"/>
      <c r="BT58" s="113"/>
      <c r="BU58" s="113"/>
      <c r="BV58" s="113"/>
      <c r="BW58" s="113"/>
      <c r="BX58" s="113"/>
      <c r="BY58" s="113"/>
      <c r="BZ58" s="113"/>
      <c r="CA58" s="113"/>
    </row>
    <row r="59" spans="50:79">
      <c r="BA59" s="10"/>
      <c r="BS59" s="113"/>
      <c r="BT59" s="113"/>
      <c r="BU59" s="113"/>
      <c r="BV59" s="113"/>
      <c r="BW59" s="113"/>
      <c r="BX59" s="113"/>
      <c r="BY59" s="113"/>
      <c r="BZ59" s="113"/>
      <c r="CA59" s="113"/>
    </row>
    <row r="60" spans="50:79">
      <c r="BA60" s="10"/>
      <c r="BS60" s="113"/>
      <c r="BT60" s="113"/>
      <c r="BU60" s="113"/>
      <c r="BV60" s="113"/>
      <c r="BW60" s="113"/>
      <c r="BX60" s="113"/>
      <c r="BY60" s="113"/>
      <c r="BZ60" s="113"/>
      <c r="CA60" s="113"/>
    </row>
    <row r="61" spans="50:79">
      <c r="BA61" s="10"/>
      <c r="BS61" s="113"/>
      <c r="BT61" s="113"/>
      <c r="BU61" s="113"/>
      <c r="BV61" s="113"/>
      <c r="BW61" s="113"/>
      <c r="BX61" s="113"/>
      <c r="BY61" s="113"/>
      <c r="BZ61" s="113"/>
      <c r="CA61" s="113"/>
    </row>
    <row r="62" spans="50:79">
      <c r="BA62" s="10"/>
      <c r="BS62" s="113"/>
      <c r="BT62" s="113"/>
      <c r="BU62" s="113"/>
      <c r="BV62" s="113"/>
      <c r="BW62" s="113"/>
      <c r="BX62" s="113"/>
      <c r="BY62" s="113"/>
      <c r="BZ62" s="113"/>
      <c r="CA62" s="113"/>
    </row>
    <row r="63" spans="50:79">
      <c r="BA63" s="10"/>
      <c r="BS63" s="113"/>
      <c r="BT63" s="113"/>
      <c r="BU63" s="113"/>
      <c r="BV63" s="113"/>
      <c r="BW63" s="113"/>
      <c r="BX63" s="113"/>
      <c r="BY63" s="113"/>
      <c r="BZ63" s="113"/>
      <c r="CA63" s="113"/>
    </row>
    <row r="64" spans="50:79">
      <c r="BA64" s="10"/>
      <c r="BS64" s="113"/>
      <c r="BT64" s="113"/>
      <c r="BU64" s="113"/>
      <c r="BV64" s="113"/>
      <c r="BW64" s="113"/>
      <c r="BX64" s="113"/>
      <c r="BY64" s="113"/>
      <c r="BZ64" s="113"/>
      <c r="CA64" s="113"/>
    </row>
    <row r="65" spans="53:79">
      <c r="BA65" s="10"/>
      <c r="BS65" s="113"/>
      <c r="BT65" s="113"/>
      <c r="BU65" s="113"/>
      <c r="BV65" s="113"/>
      <c r="BW65" s="113"/>
      <c r="BX65" s="113"/>
      <c r="BY65" s="113"/>
      <c r="BZ65" s="113"/>
      <c r="CA65" s="113"/>
    </row>
    <row r="66" spans="53:79">
      <c r="BA66" s="10"/>
      <c r="BS66" s="113"/>
      <c r="BT66" s="113"/>
      <c r="BU66" s="113"/>
      <c r="BV66" s="113"/>
      <c r="BW66" s="113"/>
      <c r="BX66" s="113"/>
      <c r="BY66" s="113"/>
      <c r="BZ66" s="113"/>
      <c r="CA66" s="113"/>
    </row>
    <row r="67" spans="53:79">
      <c r="BA67" s="10"/>
      <c r="BS67" s="113"/>
      <c r="BT67" s="113"/>
      <c r="BU67" s="113"/>
      <c r="BV67" s="113"/>
      <c r="BW67" s="113"/>
      <c r="BX67" s="113"/>
      <c r="BY67" s="113"/>
      <c r="BZ67" s="113"/>
      <c r="CA67" s="113"/>
    </row>
    <row r="68" spans="53:79">
      <c r="BA68" s="10"/>
      <c r="BS68" s="113"/>
      <c r="BT68" s="113"/>
      <c r="BU68" s="113"/>
      <c r="BV68" s="113"/>
      <c r="BW68" s="113"/>
      <c r="BX68" s="113"/>
      <c r="BY68" s="113"/>
      <c r="BZ68" s="113"/>
      <c r="CA68" s="113"/>
    </row>
    <row r="69" spans="53:79">
      <c r="BA69" s="10"/>
      <c r="BS69" s="113"/>
      <c r="BT69" s="113"/>
      <c r="BU69" s="113"/>
      <c r="BV69" s="113"/>
      <c r="BW69" s="113"/>
      <c r="BX69" s="113"/>
      <c r="BY69" s="113"/>
      <c r="BZ69" s="113"/>
      <c r="CA69" s="113"/>
    </row>
    <row r="70" spans="53:79">
      <c r="BA70" s="10"/>
      <c r="BS70" s="113"/>
      <c r="BT70" s="113"/>
      <c r="BU70" s="113"/>
      <c r="BV70" s="113"/>
      <c r="BW70" s="113"/>
      <c r="BX70" s="113"/>
      <c r="BY70" s="113"/>
      <c r="BZ70" s="113"/>
      <c r="CA70" s="113"/>
    </row>
    <row r="71" spans="53:79">
      <c r="BA71" s="10"/>
      <c r="BS71" s="113"/>
      <c r="BT71" s="113"/>
      <c r="BU71" s="113"/>
      <c r="BV71" s="113"/>
      <c r="BW71" s="113"/>
      <c r="BX71" s="113"/>
      <c r="BY71" s="113"/>
      <c r="BZ71" s="113"/>
      <c r="CA71" s="113"/>
    </row>
    <row r="72" spans="53:79">
      <c r="BA72" s="10"/>
      <c r="BS72" s="113"/>
      <c r="BT72" s="113"/>
      <c r="BU72" s="113"/>
      <c r="BV72" s="113"/>
      <c r="BW72" s="113"/>
      <c r="BX72" s="113"/>
      <c r="BY72" s="113"/>
      <c r="BZ72" s="113"/>
      <c r="CA72" s="113"/>
    </row>
    <row r="73" spans="53:79">
      <c r="BA73" s="10"/>
      <c r="BS73" s="113"/>
      <c r="BT73" s="113"/>
      <c r="BU73" s="113"/>
      <c r="BV73" s="113"/>
      <c r="BW73" s="113"/>
      <c r="BX73" s="113"/>
      <c r="BY73" s="113"/>
      <c r="BZ73" s="113"/>
      <c r="CA73" s="113"/>
    </row>
    <row r="74" spans="53:79">
      <c r="BA74" s="10"/>
      <c r="BS74" s="113"/>
      <c r="BT74" s="113"/>
      <c r="BU74" s="113"/>
      <c r="BV74" s="113"/>
      <c r="BW74" s="113"/>
      <c r="BX74" s="113"/>
      <c r="BY74" s="113"/>
      <c r="BZ74" s="113"/>
      <c r="CA74" s="113"/>
    </row>
    <row r="75" spans="53:79">
      <c r="BA75" s="10"/>
      <c r="BS75" s="113"/>
      <c r="BT75" s="113"/>
      <c r="BU75" s="113"/>
      <c r="BV75" s="113"/>
      <c r="BW75" s="113"/>
      <c r="BX75" s="113"/>
      <c r="BY75" s="113"/>
      <c r="BZ75" s="113"/>
      <c r="CA75" s="113"/>
    </row>
    <row r="76" spans="53:79">
      <c r="BA76" s="10"/>
      <c r="BS76" s="113"/>
      <c r="BT76" s="113"/>
      <c r="BU76" s="113"/>
      <c r="BV76" s="113"/>
      <c r="BW76" s="113"/>
      <c r="BX76" s="113"/>
      <c r="BY76" s="113"/>
      <c r="BZ76" s="113"/>
      <c r="CA76" s="113"/>
    </row>
    <row r="77" spans="53:79">
      <c r="BA77" s="10"/>
      <c r="BS77" s="113"/>
      <c r="BT77" s="113"/>
      <c r="BU77" s="113"/>
      <c r="BV77" s="113"/>
      <c r="BW77" s="113"/>
      <c r="BX77" s="113"/>
      <c r="BY77" s="113"/>
      <c r="BZ77" s="113"/>
      <c r="CA77" s="113"/>
    </row>
    <row r="78" spans="53:79">
      <c r="BA78" s="10"/>
      <c r="BS78" s="113"/>
      <c r="BT78" s="113"/>
      <c r="BU78" s="113"/>
      <c r="BV78" s="113"/>
      <c r="BW78" s="113"/>
      <c r="BX78" s="113"/>
      <c r="BY78" s="113"/>
      <c r="BZ78" s="113"/>
      <c r="CA78" s="113"/>
    </row>
    <row r="79" spans="53:79">
      <c r="BA79" s="10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113"/>
      <c r="BT79" s="113"/>
      <c r="BU79" s="113"/>
      <c r="BV79" s="113"/>
      <c r="BW79" s="113"/>
      <c r="BX79" s="113"/>
      <c r="BY79" s="113"/>
      <c r="BZ79" s="113"/>
      <c r="CA79" s="113"/>
    </row>
    <row r="80" spans="53:79">
      <c r="BA80" s="10"/>
      <c r="BM80" s="113"/>
      <c r="BN80" s="113"/>
      <c r="BO80" s="113"/>
      <c r="BP80" s="113"/>
      <c r="BQ80" s="113"/>
      <c r="BR80" s="113"/>
      <c r="BS80" s="113"/>
      <c r="BT80" s="113"/>
      <c r="BU80" s="113"/>
      <c r="BV80" s="113"/>
      <c r="BW80" s="113"/>
      <c r="BX80" s="113"/>
      <c r="BY80" s="113"/>
      <c r="BZ80" s="113"/>
      <c r="CA80" s="113"/>
    </row>
    <row r="81" spans="53:79">
      <c r="BA81" s="10"/>
      <c r="BM81" s="113"/>
      <c r="BN81" s="113"/>
      <c r="BO81" s="113"/>
      <c r="BP81" s="113"/>
      <c r="BQ81" s="113"/>
      <c r="BR81" s="113"/>
      <c r="BS81" s="113"/>
      <c r="BT81" s="113"/>
      <c r="BU81" s="113"/>
      <c r="BV81" s="113"/>
      <c r="BW81" s="113"/>
      <c r="BX81" s="113"/>
      <c r="BY81" s="113"/>
      <c r="BZ81" s="113"/>
      <c r="CA81" s="113"/>
    </row>
    <row r="82" spans="53:79">
      <c r="BA82" s="10"/>
      <c r="BM82" s="113"/>
      <c r="BN82" s="113"/>
      <c r="BO82" s="113"/>
      <c r="BP82" s="113"/>
      <c r="BQ82" s="113"/>
      <c r="BR82" s="113"/>
      <c r="BS82" s="113"/>
      <c r="BT82" s="113"/>
      <c r="BU82" s="113"/>
      <c r="BV82" s="113"/>
      <c r="BW82" s="113"/>
      <c r="BX82" s="113"/>
      <c r="BY82" s="113"/>
      <c r="BZ82" s="113"/>
      <c r="CA82" s="113"/>
    </row>
    <row r="83" spans="53:79">
      <c r="BA83" s="10"/>
      <c r="BM83" s="113"/>
      <c r="BN83" s="113"/>
      <c r="BO83" s="113"/>
      <c r="BP83" s="90">
        <v>42507</v>
      </c>
      <c r="BQ83" s="113"/>
      <c r="BR83" s="113"/>
      <c r="BS83" s="113"/>
      <c r="BT83" s="113"/>
      <c r="BU83" s="113"/>
      <c r="BV83" s="113"/>
      <c r="BW83" s="113"/>
      <c r="BX83" s="113"/>
      <c r="BY83" s="113"/>
      <c r="BZ83" s="113"/>
      <c r="CA83" s="113"/>
    </row>
    <row r="84" spans="53:79">
      <c r="BA84" s="10"/>
      <c r="BM84" s="113"/>
      <c r="BN84" s="113"/>
      <c r="BO84" s="113"/>
      <c r="BP84" s="113"/>
      <c r="BQ84" s="113"/>
      <c r="BR84" s="113"/>
      <c r="BS84" s="113"/>
      <c r="BT84" s="113"/>
      <c r="BU84" s="113"/>
      <c r="BV84" s="113"/>
      <c r="BW84" s="113"/>
      <c r="BX84" s="113"/>
      <c r="BY84" s="113"/>
      <c r="BZ84" s="113"/>
      <c r="CA84" s="113"/>
    </row>
    <row r="85" spans="53:79">
      <c r="BA85" s="10"/>
      <c r="BM85" s="113"/>
      <c r="BN85" s="113"/>
      <c r="BO85" s="113"/>
      <c r="BP85" s="113"/>
      <c r="BQ85" s="113"/>
      <c r="BR85" s="113"/>
      <c r="BS85" s="113"/>
      <c r="BT85" s="113"/>
      <c r="BU85" s="113"/>
      <c r="BV85" s="113"/>
      <c r="BW85" s="113"/>
      <c r="BX85" s="113"/>
      <c r="BY85" s="113"/>
      <c r="BZ85" s="113"/>
      <c r="CA85" s="113"/>
    </row>
    <row r="86" spans="53:79">
      <c r="BA86" s="10"/>
      <c r="BM86" s="113"/>
      <c r="BN86" s="113"/>
      <c r="BO86" s="113"/>
      <c r="BP86" s="113"/>
      <c r="BQ86" s="113"/>
      <c r="BR86" s="113"/>
      <c r="BS86" s="113"/>
      <c r="BT86" s="113"/>
      <c r="BU86" s="113"/>
      <c r="BV86" s="113"/>
      <c r="BW86" s="113"/>
      <c r="BX86" s="113"/>
      <c r="BY86" s="113"/>
      <c r="BZ86" s="113"/>
      <c r="CA86" s="113"/>
    </row>
    <row r="87" spans="53:79">
      <c r="BA87" s="10"/>
      <c r="BM87" s="113"/>
      <c r="BN87" s="113"/>
      <c r="BO87" s="113"/>
      <c r="BP87" s="113"/>
      <c r="BQ87" s="113"/>
      <c r="BR87" s="113"/>
      <c r="BS87" s="113"/>
      <c r="BT87" s="113"/>
      <c r="BU87" s="113"/>
      <c r="BV87" s="113"/>
      <c r="BW87" s="113"/>
      <c r="BX87" s="113"/>
      <c r="BY87" s="113"/>
      <c r="BZ87" s="113"/>
      <c r="CA87" s="113"/>
    </row>
    <row r="88" spans="53:79">
      <c r="BA88" s="10"/>
      <c r="BM88" s="113"/>
      <c r="BN88" s="113"/>
      <c r="BO88" s="113"/>
      <c r="BP88" s="113"/>
      <c r="BQ88" s="113"/>
      <c r="BR88" s="113"/>
      <c r="BS88" s="113"/>
      <c r="BT88" s="113"/>
      <c r="BU88" s="113"/>
      <c r="BV88" s="113"/>
      <c r="BW88" s="113"/>
      <c r="BX88" s="113"/>
      <c r="BY88" s="113"/>
      <c r="BZ88" s="113"/>
      <c r="CA88" s="113"/>
    </row>
    <row r="89" spans="53:79">
      <c r="BA89" s="10"/>
      <c r="BM89" s="113"/>
      <c r="BN89" s="113"/>
      <c r="BO89" s="113"/>
      <c r="BP89" s="113"/>
      <c r="BQ89" s="113"/>
      <c r="BR89" s="113"/>
      <c r="BS89" s="113"/>
      <c r="BT89" s="113"/>
      <c r="BU89" s="113"/>
      <c r="BV89" s="113"/>
      <c r="BW89" s="113"/>
      <c r="BX89" s="113"/>
      <c r="BY89" s="113"/>
      <c r="BZ89" s="113"/>
      <c r="CA89" s="113"/>
    </row>
    <row r="90" spans="53:79">
      <c r="BA90" s="10"/>
      <c r="BM90" s="113"/>
      <c r="BN90" s="113"/>
      <c r="BO90" s="113"/>
      <c r="BP90" s="113"/>
      <c r="BQ90" s="113"/>
      <c r="BR90" s="113"/>
      <c r="BS90" s="113"/>
      <c r="BT90" s="113"/>
      <c r="BU90" s="113"/>
      <c r="BV90" s="113"/>
      <c r="BW90" s="113"/>
      <c r="BX90" s="113"/>
      <c r="BY90" s="113"/>
      <c r="BZ90" s="113"/>
      <c r="CA90" s="113"/>
    </row>
    <row r="91" spans="53:79">
      <c r="BA91" s="10"/>
      <c r="BM91" s="113"/>
      <c r="BN91" s="113"/>
      <c r="BO91" s="113"/>
      <c r="BP91" s="113"/>
      <c r="BQ91" s="113"/>
      <c r="BR91" s="113"/>
      <c r="BS91" s="113"/>
      <c r="BT91" s="113"/>
      <c r="BU91" s="113"/>
      <c r="BV91" s="113"/>
      <c r="BW91" s="113"/>
      <c r="BX91" s="113"/>
      <c r="BY91" s="113"/>
      <c r="BZ91" s="113"/>
      <c r="CA91" s="113"/>
    </row>
    <row r="92" spans="53:79">
      <c r="BA92" s="10"/>
      <c r="BM92" s="113"/>
      <c r="BN92" s="113"/>
      <c r="BO92" s="113"/>
      <c r="BP92" s="113"/>
      <c r="BQ92" s="113"/>
      <c r="BR92" s="113"/>
      <c r="BS92" s="113"/>
      <c r="BT92" s="113"/>
      <c r="BU92" s="113"/>
      <c r="BV92" s="113"/>
      <c r="BW92" s="113"/>
      <c r="BX92" s="113"/>
      <c r="BY92" s="113"/>
      <c r="BZ92" s="113"/>
      <c r="CA92" s="113"/>
    </row>
    <row r="93" spans="53:79">
      <c r="BA93" s="10"/>
      <c r="BM93" s="113"/>
      <c r="BN93" s="113"/>
      <c r="BO93" s="113"/>
      <c r="BP93" s="113"/>
      <c r="BQ93" s="113"/>
      <c r="BR93" s="113"/>
      <c r="BS93" s="113"/>
      <c r="BT93" s="113"/>
      <c r="BU93" s="113"/>
      <c r="BV93" s="113"/>
      <c r="BW93" s="113"/>
      <c r="BX93" s="113"/>
      <c r="BY93" s="113"/>
      <c r="BZ93" s="113"/>
      <c r="CA93" s="113"/>
    </row>
    <row r="94" spans="53:79">
      <c r="BA94" s="10"/>
      <c r="BM94" s="113"/>
      <c r="BN94" s="113"/>
      <c r="BO94" s="113"/>
      <c r="BP94" s="113"/>
      <c r="BQ94" s="113"/>
      <c r="BR94" s="113"/>
      <c r="BS94" s="113"/>
      <c r="BT94" s="113"/>
      <c r="BU94" s="113"/>
      <c r="BV94" s="113"/>
      <c r="BW94" s="113"/>
      <c r="BX94" s="113"/>
      <c r="BY94" s="113"/>
      <c r="BZ94" s="113"/>
      <c r="CA94" s="113"/>
    </row>
    <row r="95" spans="53:79">
      <c r="BA95" s="10"/>
      <c r="BM95" s="113"/>
      <c r="BN95" s="113"/>
      <c r="BO95" s="113"/>
      <c r="BP95" s="113"/>
      <c r="BQ95" s="113"/>
      <c r="BR95" s="113"/>
      <c r="BS95" s="113"/>
      <c r="BT95" s="113"/>
      <c r="BU95" s="113"/>
      <c r="BV95" s="113"/>
      <c r="BW95" s="113"/>
      <c r="BX95" s="113"/>
      <c r="BY95" s="113"/>
      <c r="BZ95" s="113"/>
      <c r="CA95" s="113"/>
    </row>
    <row r="96" spans="53:79">
      <c r="BA96" s="10"/>
      <c r="BM96" s="113"/>
      <c r="BN96" s="113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</row>
    <row r="97" spans="53:79">
      <c r="BA97" s="10"/>
      <c r="BM97" s="113"/>
      <c r="BN97" s="113"/>
      <c r="BO97" s="113"/>
      <c r="BP97" s="113"/>
      <c r="BQ97" s="113"/>
      <c r="BR97" s="113"/>
      <c r="BS97" s="113"/>
      <c r="BT97" s="113"/>
      <c r="BU97" s="113"/>
      <c r="BV97" s="113"/>
      <c r="BW97" s="113"/>
      <c r="BX97" s="113"/>
      <c r="BY97" s="113"/>
      <c r="BZ97" s="113"/>
      <c r="CA97" s="113"/>
    </row>
    <row r="103" spans="53:79" ht="14" thickBot="1"/>
    <row r="104" spans="53:79">
      <c r="BB104" s="137" t="s">
        <v>89</v>
      </c>
      <c r="BC104" s="138"/>
      <c r="BD104" s="133" t="s">
        <v>55</v>
      </c>
      <c r="BE104" s="133"/>
      <c r="BF104" s="133"/>
      <c r="BG104" s="133"/>
      <c r="BH104" s="133"/>
      <c r="BI104" s="136"/>
      <c r="BK104" s="137" t="s">
        <v>90</v>
      </c>
      <c r="BL104" s="138"/>
      <c r="BM104" s="133" t="s">
        <v>55</v>
      </c>
      <c r="BN104" s="133"/>
      <c r="BO104" s="133"/>
      <c r="BP104" s="133"/>
      <c r="BQ104" s="133"/>
      <c r="BR104" s="136"/>
    </row>
    <row r="105" spans="53:79">
      <c r="BB105" s="139"/>
      <c r="BC105" s="140"/>
      <c r="BD105" s="21">
        <f>IF($BD$8="","",$BD$8)</f>
        <v>35</v>
      </c>
      <c r="BE105" s="21">
        <f>IF($BE$8="","",$BE$8)</f>
        <v>40</v>
      </c>
      <c r="BF105" s="21">
        <f>IF($BF$8="","",$BF$8)</f>
        <v>45</v>
      </c>
      <c r="BG105" s="21">
        <f>IF($BG$8="","",$BG$8)</f>
        <v>50</v>
      </c>
      <c r="BH105" s="21">
        <f>IF($BH$8="","",$BH$8)</f>
        <v>55</v>
      </c>
      <c r="BI105" s="22">
        <f>IF($BI$8="","",$BI$8)</f>
        <v>60</v>
      </c>
      <c r="BK105" s="139"/>
      <c r="BL105" s="140"/>
      <c r="BM105" s="21">
        <f>IF($BD$8="","",$BD$8)</f>
        <v>35</v>
      </c>
      <c r="BN105" s="21">
        <f>IF($BE$8="","",$BE$8)</f>
        <v>40</v>
      </c>
      <c r="BO105" s="21">
        <f>IF($BF$8="","",$BF$8)</f>
        <v>45</v>
      </c>
      <c r="BP105" s="21">
        <f>IF($BG$8="","",$BG$8)</f>
        <v>50</v>
      </c>
      <c r="BQ105" s="21">
        <f>IF($BH$8="","",$BH$8)</f>
        <v>55</v>
      </c>
      <c r="BR105" s="22">
        <f>IF($BI$8="","",$BI$8)</f>
        <v>60</v>
      </c>
    </row>
    <row r="106" spans="53:79">
      <c r="BB106" s="123" t="s">
        <v>59</v>
      </c>
      <c r="BC106" s="26">
        <f>IF($BC$9="","",$BC$9)</f>
        <v>-10</v>
      </c>
      <c r="BD106" s="31">
        <f t="shared" ref="BD106:BI112" si="2">IF(BD9="","",$BB$5+$BC$5*$BC106+$BD$5*BD$105+$BE$5*$BC106^2+$BF$5*BD$105*$BC106+$BG$5*BD$105^2+$BH$5*$BC106^3+$BI$5*BD$105*$BC106^2+$BJ$5*$BC106*BD$105^2+$BK$5*BD$105^3)</f>
        <v>1349.5837186158735</v>
      </c>
      <c r="BE106" s="31">
        <f t="shared" si="2"/>
        <v>1243.6899685020348</v>
      </c>
      <c r="BF106" s="31">
        <f t="shared" si="2"/>
        <v>1136.5253379925157</v>
      </c>
      <c r="BG106" s="31">
        <f t="shared" si="2"/>
        <v>1030.0517129307921</v>
      </c>
      <c r="BH106" s="31">
        <f t="shared" si="2"/>
        <v>926.23097916034021</v>
      </c>
      <c r="BI106" s="32">
        <f t="shared" si="2"/>
        <v>827.02502252463694</v>
      </c>
      <c r="BK106" s="151" t="s">
        <v>59</v>
      </c>
      <c r="BL106" s="26">
        <f>IF($BC$9="","",$BC$9)</f>
        <v>-10</v>
      </c>
      <c r="BM106" s="31">
        <f t="shared" ref="BM106:BR112" si="3">IF(BM9="","",$BL$5+$BM$5*$BL106+$BN$5*BM$105+$BO$5*$BL106^2+$BP$5*BM$105*$BL106+$BQ$5*BM$105^2+$BR$5*$BL106^3+$BS$5*BM$105*$BL106^2+$BT$5*$BL106*BM$105^2+$BU$5*BM$105^3)</f>
        <v>398.50351296888755</v>
      </c>
      <c r="BN106" s="31">
        <f t="shared" si="3"/>
        <v>427.64004624355346</v>
      </c>
      <c r="BO106" s="31">
        <f t="shared" si="3"/>
        <v>460.31539001342821</v>
      </c>
      <c r="BP106" s="31">
        <f t="shared" si="3"/>
        <v>494.76744808511125</v>
      </c>
      <c r="BQ106" s="31">
        <f t="shared" si="3"/>
        <v>529.2341242652019</v>
      </c>
      <c r="BR106" s="32">
        <f t="shared" si="3"/>
        <v>561.95332236029844</v>
      </c>
    </row>
    <row r="107" spans="53:79">
      <c r="BB107" s="123"/>
      <c r="BC107" s="26">
        <f>IF($BC$10="","",$BC$10)</f>
        <v>-5</v>
      </c>
      <c r="BD107" s="31">
        <f t="shared" si="2"/>
        <v>1606.9035812456441</v>
      </c>
      <c r="BE107" s="31">
        <f t="shared" si="2"/>
        <v>1479.5917032297361</v>
      </c>
      <c r="BF107" s="31">
        <f t="shared" si="2"/>
        <v>1352.1089814589288</v>
      </c>
      <c r="BG107" s="31">
        <f t="shared" si="2"/>
        <v>1226.4173017766987</v>
      </c>
      <c r="BH107" s="31">
        <f t="shared" si="2"/>
        <v>1104.4785500265218</v>
      </c>
      <c r="BI107" s="32">
        <f t="shared" si="2"/>
        <v>988.25461205187435</v>
      </c>
      <c r="BK107" s="152"/>
      <c r="BL107" s="26">
        <f>IF($BC$10="","",$BC$10)</f>
        <v>-5</v>
      </c>
      <c r="BM107" s="31">
        <f t="shared" si="3"/>
        <v>400.81342097306947</v>
      </c>
      <c r="BN107" s="31">
        <f t="shared" si="3"/>
        <v>437.07130216808832</v>
      </c>
      <c r="BO107" s="31">
        <f t="shared" si="3"/>
        <v>476.67821281094314</v>
      </c>
      <c r="BP107" s="31">
        <f t="shared" si="3"/>
        <v>517.87205670823334</v>
      </c>
      <c r="BQ107" s="31">
        <f t="shared" si="3"/>
        <v>558.89073766655815</v>
      </c>
      <c r="BR107" s="32">
        <f t="shared" si="3"/>
        <v>597.97215949251654</v>
      </c>
    </row>
    <row r="108" spans="53:79">
      <c r="BB108" s="123"/>
      <c r="BC108" s="26">
        <f>IF($BC$11="","",$BC$11)</f>
        <v>0</v>
      </c>
      <c r="BD108" s="31">
        <f t="shared" si="2"/>
        <v>1896.1233218513282</v>
      </c>
      <c r="BE108" s="31">
        <f t="shared" si="2"/>
        <v>1743.8431268207555</v>
      </c>
      <c r="BF108" s="31">
        <f t="shared" si="2"/>
        <v>1592.4921246760646</v>
      </c>
      <c r="BG108" s="31">
        <f t="shared" si="2"/>
        <v>1444.0322012607323</v>
      </c>
      <c r="BH108" s="31">
        <f t="shared" si="2"/>
        <v>1300.4252424182348</v>
      </c>
      <c r="BI108" s="32">
        <f t="shared" si="2"/>
        <v>1163.633133992048</v>
      </c>
      <c r="BK108" s="152"/>
      <c r="BL108" s="26">
        <f>IF($BC$11="","",$BC$11)</f>
        <v>0</v>
      </c>
      <c r="BM108" s="31">
        <f t="shared" si="3"/>
        <v>396.6046289904541</v>
      </c>
      <c r="BN108" s="31">
        <f t="shared" si="3"/>
        <v>440.34695463915364</v>
      </c>
      <c r="BO108" s="31">
        <f t="shared" si="3"/>
        <v>487.24852868831647</v>
      </c>
      <c r="BP108" s="31">
        <f t="shared" si="3"/>
        <v>535.54725494454169</v>
      </c>
      <c r="BQ108" s="31">
        <f t="shared" si="3"/>
        <v>583.48103721442885</v>
      </c>
      <c r="BR108" s="32">
        <f t="shared" si="3"/>
        <v>629.28777930457636</v>
      </c>
    </row>
    <row r="109" spans="53:79">
      <c r="BB109" s="123"/>
      <c r="BC109" s="26">
        <f>IF($BC$12="","",$BC$12)</f>
        <v>5</v>
      </c>
      <c r="BD109" s="31">
        <f t="shared" si="2"/>
        <v>2224.2940575086423</v>
      </c>
      <c r="BE109" s="31">
        <f t="shared" si="2"/>
        <v>2043.4953563508093</v>
      </c>
      <c r="BF109" s="31">
        <f t="shared" si="2"/>
        <v>1864.7258847196399</v>
      </c>
      <c r="BG109" s="31">
        <f t="shared" si="2"/>
        <v>1689.9475284586106</v>
      </c>
      <c r="BH109" s="31">
        <f t="shared" si="2"/>
        <v>1521.1221734111973</v>
      </c>
      <c r="BI109" s="32">
        <f t="shared" si="2"/>
        <v>1360.2117054208757</v>
      </c>
      <c r="BK109" s="152"/>
      <c r="BL109" s="26">
        <f>IF($BC$12="","",$BC$12)</f>
        <v>5</v>
      </c>
      <c r="BM109" s="31">
        <f t="shared" si="3"/>
        <v>383.95536732580774</v>
      </c>
      <c r="BN109" s="31">
        <f t="shared" si="3"/>
        <v>435.54523396151615</v>
      </c>
      <c r="BO109" s="31">
        <f t="shared" si="3"/>
        <v>490.10456795031484</v>
      </c>
      <c r="BP109" s="31">
        <f t="shared" si="3"/>
        <v>545.87127309880304</v>
      </c>
      <c r="BQ109" s="31">
        <f t="shared" si="3"/>
        <v>601.08325321358029</v>
      </c>
      <c r="BR109" s="32">
        <f t="shared" si="3"/>
        <v>653.97841210124534</v>
      </c>
    </row>
    <row r="110" spans="53:79">
      <c r="BB110" s="123"/>
      <c r="BC110" s="26">
        <f>IF($BC$13="","",$BC$13)</f>
        <v>10</v>
      </c>
      <c r="BD110" s="31">
        <f t="shared" si="2"/>
        <v>2598.466905293305</v>
      </c>
      <c r="BE110" s="31">
        <f t="shared" si="2"/>
        <v>2385.5995088956179</v>
      </c>
      <c r="BF110" s="31">
        <f t="shared" si="2"/>
        <v>2175.8613786653732</v>
      </c>
      <c r="BG110" s="31">
        <f t="shared" si="2"/>
        <v>1971.2144004460511</v>
      </c>
      <c r="BH110" s="31">
        <f t="shared" si="2"/>
        <v>1773.6204600811266</v>
      </c>
      <c r="BI110" s="32">
        <f t="shared" si="2"/>
        <v>1585.0414434140755</v>
      </c>
      <c r="BK110" s="152"/>
      <c r="BL110" s="26">
        <f>IF($BC$13="","",$BC$13)</f>
        <v>10</v>
      </c>
      <c r="BM110" s="31">
        <f t="shared" si="3"/>
        <v>360.9438662838968</v>
      </c>
      <c r="BN110" s="31">
        <f t="shared" si="3"/>
        <v>420.7443704399418</v>
      </c>
      <c r="BO110" s="31">
        <f t="shared" si="3"/>
        <v>483.32456090170433</v>
      </c>
      <c r="BP110" s="31">
        <f t="shared" si="3"/>
        <v>546.9223414757837</v>
      </c>
      <c r="BQ110" s="31">
        <f t="shared" si="3"/>
        <v>609.77561596877899</v>
      </c>
      <c r="BR110" s="32">
        <f t="shared" si="3"/>
        <v>670.12228818728954</v>
      </c>
    </row>
    <row r="111" spans="53:79">
      <c r="BB111" s="123"/>
      <c r="BC111" s="26">
        <f>IF($BC$14="","",$BC$14)</f>
        <v>15</v>
      </c>
      <c r="BD111" s="31">
        <f t="shared" si="2"/>
        <v>3025.6929822810343</v>
      </c>
      <c r="BE111" s="31">
        <f t="shared" si="2"/>
        <v>2777.2067015308958</v>
      </c>
      <c r="BF111" s="31">
        <f t="shared" si="2"/>
        <v>2532.9497235889821</v>
      </c>
      <c r="BG111" s="31">
        <f t="shared" si="2"/>
        <v>2294.8839342987717</v>
      </c>
      <c r="BH111" s="31">
        <f t="shared" si="2"/>
        <v>2064.9712195037409</v>
      </c>
      <c r="BI111" s="32">
        <f t="shared" si="2"/>
        <v>1845.1734650473652</v>
      </c>
      <c r="BK111" s="152"/>
      <c r="BL111" s="26">
        <f>IF($BC$14="","",$BC$14)</f>
        <v>15</v>
      </c>
      <c r="BM111" s="31">
        <f t="shared" si="3"/>
        <v>325.64835616948767</v>
      </c>
      <c r="BN111" s="31">
        <f t="shared" si="3"/>
        <v>394.02259437919747</v>
      </c>
      <c r="BO111" s="31">
        <f t="shared" si="3"/>
        <v>464.98673784725179</v>
      </c>
      <c r="BP111" s="31">
        <f t="shared" si="3"/>
        <v>536.77869038024994</v>
      </c>
      <c r="BQ111" s="31">
        <f t="shared" si="3"/>
        <v>607.63635578479148</v>
      </c>
      <c r="BR111" s="32">
        <f t="shared" si="3"/>
        <v>675.7976378674748</v>
      </c>
    </row>
    <row r="112" spans="53:79" ht="14" thickBot="1">
      <c r="BB112" s="124"/>
      <c r="BC112" s="30" t="str">
        <f>IF($BC$15="","",$BC$15)</f>
        <v/>
      </c>
      <c r="BD112" s="33" t="str">
        <f t="shared" si="2"/>
        <v/>
      </c>
      <c r="BE112" s="33" t="str">
        <f t="shared" si="2"/>
        <v/>
      </c>
      <c r="BF112" s="33" t="str">
        <f t="shared" si="2"/>
        <v/>
      </c>
      <c r="BG112" s="33" t="str">
        <f t="shared" si="2"/>
        <v/>
      </c>
      <c r="BH112" s="33" t="str">
        <f t="shared" si="2"/>
        <v/>
      </c>
      <c r="BI112" s="34" t="str">
        <f t="shared" si="2"/>
        <v/>
      </c>
      <c r="BK112" s="153"/>
      <c r="BL112" s="30" t="str">
        <f>IF($BC$15="","",$BC$15)</f>
        <v/>
      </c>
      <c r="BM112" s="33" t="str">
        <f t="shared" si="3"/>
        <v/>
      </c>
      <c r="BN112" s="33" t="str">
        <f t="shared" si="3"/>
        <v/>
      </c>
      <c r="BO112" s="33" t="str">
        <f t="shared" si="3"/>
        <v/>
      </c>
      <c r="BP112" s="33" t="str">
        <f t="shared" si="3"/>
        <v/>
      </c>
      <c r="BQ112" s="33" t="str">
        <f t="shared" si="3"/>
        <v/>
      </c>
      <c r="BR112" s="34" t="str">
        <f t="shared" si="3"/>
        <v/>
      </c>
    </row>
    <row r="113" spans="54:70">
      <c r="BB113" s="137" t="s">
        <v>91</v>
      </c>
      <c r="BC113" s="138"/>
      <c r="BD113" s="133" t="s">
        <v>55</v>
      </c>
      <c r="BE113" s="133"/>
      <c r="BF113" s="133"/>
      <c r="BG113" s="133"/>
      <c r="BH113" s="133"/>
      <c r="BI113" s="136"/>
      <c r="BK113" s="137" t="s">
        <v>91</v>
      </c>
      <c r="BL113" s="138"/>
      <c r="BM113" s="133" t="s">
        <v>55</v>
      </c>
      <c r="BN113" s="133"/>
      <c r="BO113" s="133"/>
      <c r="BP113" s="133"/>
      <c r="BQ113" s="133"/>
      <c r="BR113" s="136"/>
    </row>
    <row r="114" spans="54:70">
      <c r="BB114" s="139"/>
      <c r="BC114" s="140"/>
      <c r="BD114" s="21">
        <f>IF($BD$8="","",$BD$8)</f>
        <v>35</v>
      </c>
      <c r="BE114" s="21">
        <f>IF($BE$8="","",$BE$8)</f>
        <v>40</v>
      </c>
      <c r="BF114" s="21">
        <f>IF($BF$8="","",$BF$8)</f>
        <v>45</v>
      </c>
      <c r="BG114" s="21">
        <f>IF($BG$8="","",$BG$8)</f>
        <v>50</v>
      </c>
      <c r="BH114" s="21">
        <f>IF($BH$8="","",$BH$8)</f>
        <v>55</v>
      </c>
      <c r="BI114" s="22">
        <f>IF($BI$8="","",$BI$8)</f>
        <v>60</v>
      </c>
      <c r="BK114" s="139"/>
      <c r="BL114" s="140"/>
      <c r="BM114" s="21">
        <f>IF($BD$8="","",$BD$8)</f>
        <v>35</v>
      </c>
      <c r="BN114" s="21">
        <f>IF($BE$8="","",$BE$8)</f>
        <v>40</v>
      </c>
      <c r="BO114" s="21">
        <f>IF($BF$8="","",$BF$8)</f>
        <v>45</v>
      </c>
      <c r="BP114" s="21">
        <f>IF($BG$8="","",$BG$8)</f>
        <v>50</v>
      </c>
      <c r="BQ114" s="21">
        <f>IF($BH$8="","",$BH$8)</f>
        <v>55</v>
      </c>
      <c r="BR114" s="22">
        <f>IF($BI$8="","",$BI$8)</f>
        <v>60</v>
      </c>
    </row>
    <row r="115" spans="54:70">
      <c r="BB115" s="123" t="s">
        <v>59</v>
      </c>
      <c r="BC115" s="26">
        <f>IF($BC$9="","",$BC$9)</f>
        <v>-10</v>
      </c>
      <c r="BD115" s="37">
        <f>IF(BD127="","",(BD106-BD127)^2)</f>
        <v>18.806425312608624</v>
      </c>
      <c r="BE115" s="37">
        <f>IF(BE127="","",(BE106-BE127)^2)</f>
        <v>37.021084478433927</v>
      </c>
      <c r="BF115" s="37">
        <f t="shared" ref="BF115:BI115" si="4">IF(BF127="","",(BF106-BF127)^2)</f>
        <v>20.795008587787681</v>
      </c>
      <c r="BG115" s="37">
        <f t="shared" si="4"/>
        <v>9.353143742851822</v>
      </c>
      <c r="BH115" s="37">
        <f t="shared" si="4"/>
        <v>109.70036417531763</v>
      </c>
      <c r="BI115" s="37">
        <f t="shared" si="4"/>
        <v>16.854059638311153</v>
      </c>
      <c r="BK115" s="151" t="s">
        <v>59</v>
      </c>
      <c r="BL115" s="26">
        <f>IF($BC$9="","",$BC$9)</f>
        <v>-10</v>
      </c>
      <c r="BM115" s="31">
        <f t="shared" ref="BM115:BR121" si="5">IF(BM9="","",(BM106-BM9)^2)</f>
        <v>6.9013439725652663</v>
      </c>
      <c r="BN115" s="31">
        <f t="shared" si="5"/>
        <v>3.9726119174558141</v>
      </c>
      <c r="BO115" s="31">
        <f t="shared" si="5"/>
        <v>9.3653230273665269</v>
      </c>
      <c r="BP115" s="31">
        <f t="shared" si="5"/>
        <v>5.5593302406745382</v>
      </c>
      <c r="BQ115" s="31">
        <f t="shared" si="5"/>
        <v>2.692049941499723</v>
      </c>
      <c r="BR115" s="32">
        <f t="shared" si="5"/>
        <v>7.1350338394990986</v>
      </c>
    </row>
    <row r="116" spans="54:70">
      <c r="BB116" s="123"/>
      <c r="BC116" s="26">
        <f>IF($BC$10="","",$BC$10)</f>
        <v>-5</v>
      </c>
      <c r="BD116" s="37">
        <f t="shared" ref="BD116:BI116" si="6">IF(BD128="","",(BD107-BD128)^2)</f>
        <v>12.83875128453704</v>
      </c>
      <c r="BE116" s="37">
        <f t="shared" si="6"/>
        <v>5.6401831085028258</v>
      </c>
      <c r="BF116" s="37">
        <f t="shared" si="6"/>
        <v>11.101136551632404</v>
      </c>
      <c r="BG116" s="37">
        <f t="shared" si="6"/>
        <v>9.078856858077117</v>
      </c>
      <c r="BH116" s="37">
        <f t="shared" si="6"/>
        <v>45.242043600711099</v>
      </c>
      <c r="BI116" s="37">
        <f t="shared" si="6"/>
        <v>4.1436867559670967</v>
      </c>
      <c r="BK116" s="152"/>
      <c r="BL116" s="26">
        <f>IF($BC$10="","",$BC$10)</f>
        <v>-5</v>
      </c>
      <c r="BM116" s="31">
        <f t="shared" si="5"/>
        <v>3.2714015857877801</v>
      </c>
      <c r="BN116" s="31">
        <f t="shared" si="5"/>
        <v>9.3482534830527673</v>
      </c>
      <c r="BO116" s="31">
        <f t="shared" si="5"/>
        <v>0.88928735000712689</v>
      </c>
      <c r="BP116" s="31">
        <f t="shared" si="5"/>
        <v>7.569477217515816</v>
      </c>
      <c r="BQ116" s="31">
        <f t="shared" si="5"/>
        <v>1.5117122358792634</v>
      </c>
      <c r="BR116" s="32">
        <f t="shared" si="5"/>
        <v>0.12415015660348649</v>
      </c>
    </row>
    <row r="117" spans="54:70">
      <c r="BB117" s="123"/>
      <c r="BC117" s="26">
        <f>IF($BC$11="","",$BC$11)</f>
        <v>0</v>
      </c>
      <c r="BD117" s="37">
        <f t="shared" ref="BD117:BI117" si="7">IF(BD129="","",(BD108-BD129)^2)</f>
        <v>41.498215062249514</v>
      </c>
      <c r="BE117" s="37">
        <f t="shared" si="7"/>
        <v>124.40682984790433</v>
      </c>
      <c r="BF117" s="37">
        <f t="shared" si="7"/>
        <v>60.40781722651581</v>
      </c>
      <c r="BG117" s="37">
        <f t="shared" si="7"/>
        <v>1.5709199290356899</v>
      </c>
      <c r="BH117" s="37">
        <f t="shared" si="7"/>
        <v>65.354611591499449</v>
      </c>
      <c r="BI117" s="37">
        <f t="shared" si="7"/>
        <v>1.5240063083512743</v>
      </c>
      <c r="BK117" s="152"/>
      <c r="BL117" s="26">
        <f>IF($BC$11="","",$BC$11)</f>
        <v>0</v>
      </c>
      <c r="BM117" s="31">
        <f t="shared" si="5"/>
        <v>4.9709479652775448</v>
      </c>
      <c r="BN117" s="31">
        <f t="shared" si="5"/>
        <v>7.7146946901625197</v>
      </c>
      <c r="BO117" s="31">
        <f t="shared" si="5"/>
        <v>0.76637102878470142</v>
      </c>
      <c r="BP117" s="31">
        <f t="shared" si="5"/>
        <v>5.8749699639910915</v>
      </c>
      <c r="BQ117" s="31">
        <f t="shared" si="5"/>
        <v>4.5871417945916786</v>
      </c>
      <c r="BR117" s="32">
        <f t="shared" si="5"/>
        <v>5.8344949124747352</v>
      </c>
    </row>
    <row r="118" spans="54:70">
      <c r="BB118" s="123"/>
      <c r="BC118" s="26">
        <f>IF($BC$12="","",$BC$12)</f>
        <v>5</v>
      </c>
      <c r="BD118" s="37">
        <f t="shared" ref="BD118:BI118" si="8">IF(BD130="","",(BD109-BD130)^2)</f>
        <v>35.054748056722175</v>
      </c>
      <c r="BE118" s="37">
        <f t="shared" si="8"/>
        <v>71.110480726048891</v>
      </c>
      <c r="BF118" s="37">
        <f t="shared" si="8"/>
        <v>115.67805915461885</v>
      </c>
      <c r="BG118" s="37">
        <f t="shared" si="8"/>
        <v>1.4069837107590504</v>
      </c>
      <c r="BH118" s="37">
        <f t="shared" si="8"/>
        <v>37.119985916990473</v>
      </c>
      <c r="BI118" s="37">
        <f t="shared" si="8"/>
        <v>0.17427938439282939</v>
      </c>
      <c r="BK118" s="152"/>
      <c r="BL118" s="26">
        <f>IF($BC$12="","",$BC$12)</f>
        <v>5</v>
      </c>
      <c r="BM118" s="31">
        <f t="shared" si="5"/>
        <v>4.6895107602700552</v>
      </c>
      <c r="BN118" s="31">
        <f t="shared" si="5"/>
        <v>9.4996747196666522</v>
      </c>
      <c r="BO118" s="31">
        <f t="shared" si="5"/>
        <v>7.4406631773563028</v>
      </c>
      <c r="BP118" s="31">
        <f t="shared" si="5"/>
        <v>5.0406093683964475</v>
      </c>
      <c r="BQ118" s="31">
        <f t="shared" si="5"/>
        <v>6.4265419219095348</v>
      </c>
      <c r="BR118" s="32">
        <f t="shared" si="5"/>
        <v>2.5714010233835447</v>
      </c>
    </row>
    <row r="119" spans="54:70">
      <c r="BB119" s="123"/>
      <c r="BC119" s="26">
        <f>IF($BC$13="","",$BC$13)</f>
        <v>10</v>
      </c>
      <c r="BD119" s="37">
        <f t="shared" ref="BD119:BI119" si="9">IF(BD131="","",(BD110-BD131)^2)</f>
        <v>4.5923545993437163</v>
      </c>
      <c r="BE119" s="37">
        <f t="shared" si="9"/>
        <v>214.77214613681943</v>
      </c>
      <c r="BF119" s="37">
        <f t="shared" si="9"/>
        <v>26.389516404085729</v>
      </c>
      <c r="BG119" s="37">
        <f t="shared" si="9"/>
        <v>8.2394937137666968</v>
      </c>
      <c r="BH119" s="37">
        <f t="shared" si="9"/>
        <v>29.865546728542551</v>
      </c>
      <c r="BI119" s="37">
        <f t="shared" si="9"/>
        <v>5.8544239186436337E-2</v>
      </c>
      <c r="BK119" s="152"/>
      <c r="BL119" s="26">
        <f>IF($BC$13="","",$BC$13)</f>
        <v>10</v>
      </c>
      <c r="BM119" s="31">
        <f t="shared" si="5"/>
        <v>3.7254823611012498</v>
      </c>
      <c r="BN119" s="31">
        <f t="shared" si="5"/>
        <v>4.5021178936564512</v>
      </c>
      <c r="BO119" s="31">
        <f t="shared" si="5"/>
        <v>0.20427406602186673</v>
      </c>
      <c r="BP119" s="31">
        <f t="shared" si="5"/>
        <v>16.406218325944693</v>
      </c>
      <c r="BQ119" s="31">
        <f t="shared" si="5"/>
        <v>18.882687970920145</v>
      </c>
      <c r="BR119" s="32">
        <f t="shared" si="5"/>
        <v>12.26311691750565</v>
      </c>
    </row>
    <row r="120" spans="54:70">
      <c r="BB120" s="123"/>
      <c r="BC120" s="26">
        <f>IF($BC$14="","",$BC$14)</f>
        <v>15</v>
      </c>
      <c r="BD120" s="37">
        <f t="shared" ref="BD120:BI120" si="10">IF(BD132="","",(BD111-BD132)^2)</f>
        <v>47.843107835251786</v>
      </c>
      <c r="BE120" s="37">
        <f t="shared" si="10"/>
        <v>58.597930986121597</v>
      </c>
      <c r="BF120" s="37">
        <f t="shared" si="10"/>
        <v>0.88425842500872753</v>
      </c>
      <c r="BG120" s="37">
        <f t="shared" si="10"/>
        <v>74.664147965280364</v>
      </c>
      <c r="BH120" s="37">
        <f t="shared" si="10"/>
        <v>73.909487792295593</v>
      </c>
      <c r="BI120" s="37">
        <f t="shared" si="10"/>
        <v>7.649656985941145</v>
      </c>
      <c r="BK120" s="152"/>
      <c r="BL120" s="26">
        <f>IF($BC$14="","",$BC$14)</f>
        <v>15</v>
      </c>
      <c r="BM120" s="31">
        <f t="shared" si="5"/>
        <v>7.4469846967087587</v>
      </c>
      <c r="BN120" s="31">
        <f t="shared" si="5"/>
        <v>3.4368624302576176</v>
      </c>
      <c r="BO120" s="31">
        <f t="shared" si="5"/>
        <v>2.595534643471745</v>
      </c>
      <c r="BP120" s="31">
        <f t="shared" si="5"/>
        <v>4.6391293748684834</v>
      </c>
      <c r="BQ120" s="31">
        <f t="shared" si="5"/>
        <v>3.9222441812899107</v>
      </c>
      <c r="BR120" s="32">
        <f t="shared" si="5"/>
        <v>5.8779908205286038</v>
      </c>
    </row>
    <row r="121" spans="54:70" ht="14" thickBot="1">
      <c r="BB121" s="124"/>
      <c r="BC121" s="30" t="str">
        <f>IF($BC$15="","",$BC$15)</f>
        <v/>
      </c>
      <c r="BD121" s="37" t="str">
        <f t="shared" ref="BD121:BI121" si="11">IF(BD133="","",(BD112-BD133)^2)</f>
        <v/>
      </c>
      <c r="BE121" s="37" t="str">
        <f t="shared" si="11"/>
        <v/>
      </c>
      <c r="BF121" s="37" t="str">
        <f t="shared" si="11"/>
        <v/>
      </c>
      <c r="BG121" s="37" t="str">
        <f t="shared" si="11"/>
        <v/>
      </c>
      <c r="BH121" s="37" t="str">
        <f t="shared" si="11"/>
        <v/>
      </c>
      <c r="BI121" s="37" t="str">
        <f t="shared" si="11"/>
        <v/>
      </c>
      <c r="BK121" s="153"/>
      <c r="BL121" s="30" t="str">
        <f>IF($BC$15="","",$BC$15)</f>
        <v/>
      </c>
      <c r="BM121" s="33" t="str">
        <f t="shared" si="5"/>
        <v/>
      </c>
      <c r="BN121" s="33" t="str">
        <f t="shared" si="5"/>
        <v/>
      </c>
      <c r="BO121" s="33" t="str">
        <f t="shared" si="5"/>
        <v/>
      </c>
      <c r="BP121" s="33" t="str">
        <f t="shared" si="5"/>
        <v/>
      </c>
      <c r="BQ121" s="33" t="str">
        <f t="shared" si="5"/>
        <v/>
      </c>
      <c r="BR121" s="34" t="str">
        <f t="shared" si="5"/>
        <v/>
      </c>
    </row>
    <row r="123" spans="54:70">
      <c r="BB123" s="130" t="s">
        <v>92</v>
      </c>
      <c r="BC123" s="130"/>
      <c r="BD123" s="130"/>
      <c r="BE123" s="130"/>
      <c r="BF123" s="130"/>
      <c r="BG123" s="130"/>
      <c r="BH123" s="130"/>
      <c r="BI123" s="130"/>
      <c r="BJ123" s="113"/>
      <c r="BK123" s="113"/>
      <c r="BL123" s="113"/>
      <c r="BM123" s="113"/>
      <c r="BN123" s="113"/>
      <c r="BO123" s="113"/>
      <c r="BP123" s="113"/>
      <c r="BQ123" s="113"/>
      <c r="BR123" s="113"/>
    </row>
    <row r="124" spans="54:70" ht="14" thickBot="1">
      <c r="BB124" s="131"/>
      <c r="BC124" s="131"/>
      <c r="BD124" s="131"/>
      <c r="BE124" s="131"/>
      <c r="BF124" s="131"/>
      <c r="BG124" s="131"/>
      <c r="BH124" s="131"/>
      <c r="BI124" s="131"/>
      <c r="BJ124" s="113"/>
      <c r="BK124" s="113"/>
      <c r="BL124" s="113"/>
      <c r="BM124" s="113"/>
      <c r="BN124" s="113"/>
      <c r="BO124" s="113"/>
      <c r="BP124" s="113"/>
      <c r="BQ124" s="113"/>
      <c r="BR124" s="113"/>
    </row>
    <row r="125" spans="54:70">
      <c r="BB125" s="132" t="s">
        <v>93</v>
      </c>
      <c r="BC125" s="133"/>
      <c r="BD125" s="133" t="s">
        <v>55</v>
      </c>
      <c r="BE125" s="133"/>
      <c r="BF125" s="133"/>
      <c r="BG125" s="133"/>
      <c r="BH125" s="133"/>
      <c r="BI125" s="136"/>
      <c r="BJ125" s="113"/>
      <c r="BK125" s="113"/>
      <c r="BL125" s="113"/>
      <c r="BM125" s="113"/>
      <c r="BN125" s="113"/>
      <c r="BO125" s="113"/>
      <c r="BP125" s="113"/>
      <c r="BQ125" s="113"/>
      <c r="BR125" s="113"/>
    </row>
    <row r="126" spans="54:70">
      <c r="BB126" s="134"/>
      <c r="BC126" s="135"/>
      <c r="BD126" s="19">
        <f>IF($BD$8="","",$BD$8)</f>
        <v>35</v>
      </c>
      <c r="BE126" s="19">
        <f>IF($BE$8="","",$BE$8)</f>
        <v>40</v>
      </c>
      <c r="BF126" s="19">
        <f>IF($BF$8="","",$BF$8)</f>
        <v>45</v>
      </c>
      <c r="BG126" s="19">
        <f>IF($BG$8="","",$BG$8)</f>
        <v>50</v>
      </c>
      <c r="BH126" s="19">
        <f>IF($BH$8="","",$BH$8)</f>
        <v>55</v>
      </c>
      <c r="BI126" s="19">
        <f>IF($BI$8="","",$BI$8)</f>
        <v>60</v>
      </c>
      <c r="BJ126" s="113"/>
      <c r="BK126" s="113"/>
      <c r="BL126" s="113"/>
      <c r="BM126" s="113"/>
      <c r="BN126" s="113"/>
      <c r="BO126" s="113"/>
      <c r="BP126" s="113"/>
      <c r="BQ126" s="113"/>
      <c r="BR126" s="113"/>
    </row>
    <row r="127" spans="54:70">
      <c r="BB127" s="123" t="s">
        <v>59</v>
      </c>
      <c r="BC127" s="23">
        <f>IF($BC$9="","",$BC$9)</f>
        <v>-10</v>
      </c>
      <c r="BD127" s="67">
        <f>IF(BD9="","",IF($BB$8=$BP$201,BD9,((h_vap_super1($BC$2,32,P_sat1($BC$2,$BC127))-h_liq1($BC$2,BD$126))/(h_vap_super1($BC$2,32.2,P_sat1($BC$2,$BC127))-h_liq_ashrae1($BC$2)))*BD9))</f>
        <v>1353.920356174237</v>
      </c>
      <c r="BE127" s="67">
        <f>IF(BE9="","",IF($BB$8=$BP$201,BE9,((h_vap_super1($BC$2,32,P_sat1($BC$2,$BC127))-h_liq1($BC$2,BE$126))/(h_vap_super1($BC$2,32.2,P_sat1($BC$2,$BC127))-h_liq_ashrae1($BC$2)))*BE9))</f>
        <v>1237.605473085122</v>
      </c>
      <c r="BF127" s="67">
        <f>IF(BF9="","",IF($BB$8=$BP$201,BF9,((h_vap_super1($BC$2,32,P_sat1($BC$2,$BC127))-h_liq1($BC$2,BF$126))/(h_vap_super1($BC$2,32.2,P_sat1($BC$2,$BC127))-h_liq_ashrae1($BC$2)))*BF9))</f>
        <v>1141.0854924403154</v>
      </c>
      <c r="BG127" s="67">
        <f>IF(BG9="","",IF($BB$8=$BP$201,BG9,((h_vap_super1($BC$2,32,P_sat1($BC$2,$BC127))-h_liq1($BC$2,BG$126))/(h_vap_super1($BC$2,32.2,P_sat1($BC$2,$BC127))-h_liq_ashrae1($BC$2)))*BG9))</f>
        <v>1033.110003914798</v>
      </c>
      <c r="BH127" s="67">
        <f>IF(BH9="","",IF($BB$8=$BP$201,BH9,((h_vap_super1($BC$2,32,P_sat1($BC$2,$BC127))-h_liq1($BC$2,BH$126))/(h_vap_super1($BC$2,32.2,P_sat1($BC$2,$BC127))-h_liq_ashrae1($BC$2)))*BH9))</f>
        <v>915.75718499703351</v>
      </c>
      <c r="BI127" s="67">
        <f>IF(BI9="","",IF($BB$8=$BP$201,BI9,((h_vap_super1($BC$2,32,P_sat1($BC$2,$BC127))-h_liq1($BC$2,BI$126))/(h_vap_super1($BC$2,32.2,P_sat1($BC$2,$BC127))-h_liq_ashrae1($BC$2)))*BI9))</f>
        <v>831.13039213507534</v>
      </c>
      <c r="BJ127" s="113"/>
      <c r="BK127" s="113"/>
      <c r="BL127" s="113"/>
      <c r="BM127" s="113"/>
      <c r="BN127" s="113"/>
      <c r="BO127" s="113"/>
      <c r="BP127" s="113"/>
      <c r="BQ127" s="113"/>
      <c r="BR127" s="113"/>
    </row>
    <row r="128" spans="54:70">
      <c r="BB128" s="123"/>
      <c r="BC128" s="23">
        <f>IF($BC$10="","",$BC$10)</f>
        <v>-5</v>
      </c>
      <c r="BD128" s="67">
        <f>IF(BD10="","",IF($BB$8=$BP$201,BD10,((h_vap_super1($BC$2,32,P_sat1($BC$2,$BC128))-h_liq1($BC$2,BD$126))/(h_vap_super1($BC$2,32.2,P_sat1($BC$2,$BC128))-h_liq_ashrae1($BC$2)))*BD10))</f>
        <v>1603.3204609176985</v>
      </c>
      <c r="BE128" s="67">
        <f>IF(BE10="","",IF($BB$8=$BP$201,BE10,((h_vap_super1($BC$2,32,P_sat1($BC$2,$BC128))-h_liq1($BC$2,BE$126))/(h_vap_super1($BC$2,32.2,P_sat1($BC$2,$BC128))-h_liq_ashrae1($BC$2)))*BE10))</f>
        <v>1477.2167962613471</v>
      </c>
      <c r="BF128" s="67">
        <f>IF(BF10="","",IF($BB$8=$BP$201,BF10,((h_vap_super1($BC$2,32,P_sat1($BC$2,$BC128))-h_liq1($BC$2,BF$126))/(h_vap_super1($BC$2,32.2,P_sat1($BC$2,$BC128))-h_liq_ashrae1($BC$2)))*BF10))</f>
        <v>1355.4408182724046</v>
      </c>
      <c r="BG128" s="67">
        <f>IF(BG10="","",IF($BB$8=$BP$201,BG10,((h_vap_super1($BC$2,32,P_sat1($BC$2,$BC128))-h_liq1($BC$2,BG$126))/(h_vap_super1($BC$2,32.2,P_sat1($BC$2,$BC128))-h_liq_ashrae1($BC$2)))*BG10))</f>
        <v>1223.4041876304909</v>
      </c>
      <c r="BH128" s="67">
        <f>IF(BH10="","",IF($BB$8=$BP$201,BH10,((h_vap_super1($BC$2,32,P_sat1($BC$2,$BC128))-h_liq1($BC$2,BH$126))/(h_vap_super1($BC$2,32.2,P_sat1($BC$2,$BC128))-h_liq_ashrae1($BC$2)))*BH10))</f>
        <v>1111.2047706295582</v>
      </c>
      <c r="BI128" s="67">
        <f>IF(BI10="","",IF($BB$8=$BP$201,BI10,((h_vap_super1($BC$2,32,P_sat1($BC$2,$BC128))-h_liq1($BC$2,BI$126))/(h_vap_super1($BC$2,32.2,P_sat1($BC$2,$BC128))-h_liq_ashrae1($BC$2)))*BI10))</f>
        <v>990.29021681605798</v>
      </c>
      <c r="BJ128" s="113"/>
      <c r="BK128" s="113"/>
      <c r="BL128" s="113"/>
      <c r="BM128" s="113"/>
      <c r="BN128" s="113"/>
      <c r="BO128" s="113"/>
      <c r="BP128" s="113"/>
      <c r="BQ128" s="113"/>
      <c r="BR128" s="113"/>
    </row>
    <row r="129" spans="54:70">
      <c r="BB129" s="123"/>
      <c r="BC129" s="23">
        <f>IF($BC$11="","",$BC$11)</f>
        <v>0</v>
      </c>
      <c r="BD129" s="67">
        <f>IF(BD11="","",IF($BB$8=$BP$201,BD11,((h_vap_super1($BC$2,32,P_sat1($BC$2,$BC129))-h_liq1($BC$2,BD$126))/(h_vap_super1($BC$2,32.2,P_sat1($BC$2,$BC129))-h_liq_ashrae1($BC$2)))*BD11))</f>
        <v>1902.5652326751638</v>
      </c>
      <c r="BE129" s="67">
        <f>IF(BE11="","",IF($BB$8=$BP$201,BE11,((h_vap_super1($BC$2,32,P_sat1($BC$2,$BC129))-h_liq1($BC$2,BE$126))/(h_vap_super1($BC$2,32.2,P_sat1($BC$2,$BC129))-h_liq_ashrae1($BC$2)))*BE11))</f>
        <v>1732.6893458542893</v>
      </c>
      <c r="BF129" s="67">
        <f>IF(BF11="","",IF($BB$8=$BP$201,BF11,((h_vap_super1($BC$2,32,P_sat1($BC$2,$BC129))-h_liq1($BC$2,BF$126))/(h_vap_super1($BC$2,32.2,P_sat1($BC$2,$BC129))-h_liq_ashrae1($BC$2)))*BF11))</f>
        <v>1600.2643712770491</v>
      </c>
      <c r="BG129" s="67">
        <f>IF(BG11="","",IF($BB$8=$BP$201,BG11,((h_vap_super1($BC$2,32,P_sat1($BC$2,$BC129))-h_liq1($BC$2,BG$126))/(h_vap_super1($BC$2,32.2,P_sat1($BC$2,$BC129))-h_liq_ashrae1($BC$2)))*BG11))</f>
        <v>1442.778837814227</v>
      </c>
      <c r="BH129" s="67">
        <f>IF(BH11="","",IF($BB$8=$BP$201,BH11,((h_vap_super1($BC$2,32,P_sat1($BC$2,$BC129))-h_liq1($BC$2,BH$126))/(h_vap_super1($BC$2,32.2,P_sat1($BC$2,$BC129))-h_liq_ashrae1($BC$2)))*BH11))</f>
        <v>1292.3410225058685</v>
      </c>
      <c r="BI129" s="67">
        <f>IF(BI11="","",IF($BB$8=$BP$201,BI11,((h_vap_super1($BC$2,32,P_sat1($BC$2,$BC129))-h_liq1($BC$2,BI$126))/(h_vap_super1($BC$2,32.2,P_sat1($BC$2,$BC129))-h_liq_ashrae1($BC$2)))*BI11))</f>
        <v>1162.3986274880751</v>
      </c>
      <c r="BJ129" s="113"/>
      <c r="BK129" s="113"/>
      <c r="BL129" s="113"/>
      <c r="BM129" s="113"/>
      <c r="BN129" s="113"/>
      <c r="BO129" s="113"/>
      <c r="BP129" s="113"/>
      <c r="BQ129" s="113"/>
      <c r="BR129" s="113"/>
    </row>
    <row r="130" spans="54:70">
      <c r="BB130" s="123"/>
      <c r="BC130" s="23">
        <f>IF($BC$12="","",$BC$12)</f>
        <v>5</v>
      </c>
      <c r="BD130" s="67">
        <f>IF(BD12="","",IF($BB$8=$BP$201,BD12,((h_vap_super1($BC$2,32,P_sat1($BC$2,$BC130))-h_liq1($BC$2,BD$126))/(h_vap_super1($BC$2,32.2,P_sat1($BC$2,$BC130))-h_liq_ashrae1($BC$2)))*BD12))</f>
        <v>2218.373352478266</v>
      </c>
      <c r="BE130" s="67">
        <f>IF(BE12="","",IF($BB$8=$BP$201,BE12,((h_vap_super1($BC$2,32,P_sat1($BC$2,$BC130))-h_liq1($BC$2,BE$126))/(h_vap_super1($BC$2,32.2,P_sat1($BC$2,$BC130))-h_liq_ashrae1($BC$2)))*BE12))</f>
        <v>2051.9280594006059</v>
      </c>
      <c r="BF130" s="67">
        <f>IF(BF12="","",IF($BB$8=$BP$201,BF12,((h_vap_super1($BC$2,32,P_sat1($BC$2,$BC130))-h_liq1($BC$2,BF$126))/(h_vap_super1($BC$2,32.2,P_sat1($BC$2,$BC130))-h_liq_ashrae1($BC$2)))*BF12))</f>
        <v>1875.48125822104</v>
      </c>
      <c r="BG130" s="67">
        <f>IF(BG12="","",IF($BB$8=$BP$201,BG12,((h_vap_super1($BC$2,32,P_sat1($BC$2,$BC130))-h_liq1($BC$2,BG$126))/(h_vap_super1($BC$2,32.2,P_sat1($BC$2,$BC130))-h_liq_ashrae1($BC$2)))*BG12))</f>
        <v>1691.1336919004511</v>
      </c>
      <c r="BH130" s="67">
        <f>IF(BH12="","",IF($BB$8=$BP$201,BH12,((h_vap_super1($BC$2,32,P_sat1($BC$2,$BC130))-h_liq1($BC$2,BH$126))/(h_vap_super1($BC$2,32.2,P_sat1($BC$2,$BC130))-h_liq_ashrae1($BC$2)))*BH12))</f>
        <v>1515.0295560822499</v>
      </c>
      <c r="BI130" s="67">
        <f>IF(BI12="","",IF($BB$8=$BP$201,BI12,((h_vap_super1($BC$2,32,P_sat1($BC$2,$BC130))-h_liq1($BC$2,BI$126))/(h_vap_super1($BC$2,32.2,P_sat1($BC$2,$BC130))-h_liq_ashrae1($BC$2)))*BI12))</f>
        <v>1360.629173245256</v>
      </c>
      <c r="BJ130" s="113"/>
      <c r="BK130" s="113"/>
      <c r="BL130" s="113"/>
      <c r="BM130" s="113"/>
      <c r="BN130" s="113"/>
      <c r="BO130" s="113"/>
      <c r="BP130" s="113"/>
      <c r="BQ130" s="113"/>
      <c r="BR130" s="113"/>
    </row>
    <row r="131" spans="54:70">
      <c r="BB131" s="123"/>
      <c r="BC131" s="23">
        <f>IF($BC$13="","",$BC$13)</f>
        <v>10</v>
      </c>
      <c r="BD131" s="67">
        <f>IF(BD13="","",IF($BB$8=$BP$201,BD13,((h_vap_super1($BC$2,32,P_sat1($BC$2,$BC131))-h_liq1($BC$2,BD$126))/(h_vap_super1($BC$2,32.2,P_sat1($BC$2,$BC131))-h_liq_ashrae1($BC$2)))*BD13))</f>
        <v>2600.6098832678404</v>
      </c>
      <c r="BE131" s="67">
        <f>IF(BE13="","",IF($BB$8=$BP$201,BE13,((h_vap_super1($BC$2,32,P_sat1($BC$2,$BC131))-h_liq1($BC$2,BE$126))/(h_vap_super1($BC$2,32.2,P_sat1($BC$2,$BC131))-h_liq_ashrae1($BC$2)))*BE13))</f>
        <v>2370.9444024089075</v>
      </c>
      <c r="BF131" s="67">
        <f>IF(BF13="","",IF($BB$8=$BP$201,BF13,((h_vap_super1($BC$2,32,P_sat1($BC$2,$BC131))-h_liq1($BC$2,BF$126))/(h_vap_super1($BC$2,32.2,P_sat1($BC$2,$BC131))-h_liq_ashrae1($BC$2)))*BF13))</f>
        <v>2180.9984514119951</v>
      </c>
      <c r="BG131" s="67">
        <f>IF(BG13="","",IF($BB$8=$BP$201,BG13,((h_vap_super1($BC$2,32,P_sat1($BC$2,$BC131))-h_liq1($BC$2,BG$126))/(h_vap_super1($BC$2,32.2,P_sat1($BC$2,$BC131))-h_liq_ashrae1($BC$2)))*BG13))</f>
        <v>1968.3439486151076</v>
      </c>
      <c r="BH131" s="67">
        <f>IF(BH13="","",IF($BB$8=$BP$201,BH13,((h_vap_super1($BC$2,32,P_sat1($BC$2,$BC131))-h_liq1($BC$2,BH$126))/(h_vap_super1($BC$2,32.2,P_sat1($BC$2,$BC131))-h_liq_ashrae1($BC$2)))*BH13))</f>
        <v>1779.0853980248312</v>
      </c>
      <c r="BI131" s="67">
        <f>IF(BI13="","",IF($BB$8=$BP$201,BI13,((h_vap_super1($BC$2,32,P_sat1($BC$2,$BC131))-h_liq1($BC$2,BI$126))/(h_vap_super1($BC$2,32.2,P_sat1($BC$2,$BC131))-h_liq_ashrae1($BC$2)))*BI13))</f>
        <v>1584.7994842456474</v>
      </c>
      <c r="BJ131" s="113"/>
      <c r="BK131" s="113"/>
      <c r="BL131" s="113"/>
      <c r="BM131" s="113"/>
      <c r="BN131" s="113"/>
      <c r="BO131" s="113"/>
      <c r="BP131" s="113"/>
      <c r="BQ131" s="113"/>
      <c r="BR131" s="113"/>
    </row>
    <row r="132" spans="54:70">
      <c r="BB132" s="123"/>
      <c r="BC132" s="23">
        <f>IF($BC$14="","",$BC$14)</f>
        <v>15</v>
      </c>
      <c r="BD132" s="67">
        <f>IF(BD14="","",IF($BB$8=$BP$201,BD14,((h_vap_super1($BC$2,32,P_sat1($BC$2,$BC132))-h_liq1($BC$2,BD$126))/(h_vap_super1($BC$2,32.2,P_sat1($BC$2,$BC132))-h_liq_ashrae1($BC$2)))*BD14))</f>
        <v>3032.6098535271435</v>
      </c>
      <c r="BE132" s="67">
        <f>IF(BE14="","",IF($BB$8=$BP$201,BE14,((h_vap_super1($BC$2,32,P_sat1($BC$2,$BC132))-h_liq1($BC$2,BE$126))/(h_vap_super1($BC$2,32.2,P_sat1($BC$2,$BC132))-h_liq_ashrae1($BC$2)))*BE14))</f>
        <v>2769.5517729887001</v>
      </c>
      <c r="BF132" s="67">
        <f>IF(BF14="","",IF($BB$8=$BP$201,BF14,((h_vap_super1($BC$2,32,P_sat1($BC$2,$BC132))-h_liq1($BC$2,BF$126))/(h_vap_super1($BC$2,32.2,P_sat1($BC$2,$BC132))-h_liq_ashrae1($BC$2)))*BF14))</f>
        <v>2532.0093734281331</v>
      </c>
      <c r="BG132" s="67">
        <f>IF(BG14="","",IF($BB$8=$BP$201,BG14,((h_vap_super1($BC$2,32,P_sat1($BC$2,$BC132))-h_liq1($BC$2,BG$126))/(h_vap_super1($BC$2,32.2,P_sat1($BC$2,$BC132))-h_liq_ashrae1($BC$2)))*BG14))</f>
        <v>2303.5247761538967</v>
      </c>
      <c r="BH132" s="67">
        <f>IF(BH14="","",IF($BB$8=$BP$201,BH14,((h_vap_super1($BC$2,32,P_sat1($BC$2,$BC132))-h_liq1($BC$2,BH$126))/(h_vap_super1($BC$2,32.2,P_sat1($BC$2,$BC132))-h_liq_ashrae1($BC$2)))*BH14))</f>
        <v>2056.3741567616007</v>
      </c>
      <c r="BI132" s="67">
        <f>IF(BI14="","",IF($BB$8=$BP$201,BI14,((h_vap_super1($BC$2,32,P_sat1($BC$2,$BC132))-h_liq1($BC$2,BI$126))/(h_vap_super1($BC$2,32.2,P_sat1($BC$2,$BC132))-h_liq_ashrae1($BC$2)))*BI14))</f>
        <v>1847.9392663753606</v>
      </c>
      <c r="BJ132" s="113"/>
      <c r="BK132" s="113"/>
      <c r="BL132" s="113"/>
      <c r="BM132" s="113"/>
      <c r="BN132" s="113"/>
      <c r="BO132" s="113"/>
      <c r="BP132" s="113"/>
      <c r="BQ132" s="113"/>
      <c r="BR132" s="113"/>
    </row>
    <row r="133" spans="54:70" ht="14" thickBot="1">
      <c r="BB133" s="124"/>
      <c r="BC133" s="27" t="str">
        <f>IF($BC$15="","",$BC$15)</f>
        <v/>
      </c>
      <c r="BD133" s="67" t="str">
        <f>IF(BD15="","",IF($BB$8=$BP$201,BD15,((h_vap_super1($BC$2,32,P_sat1($BC$2,$BC133))-h_liq1($BC$2,BD$126))/(h_vap_super1($BC$2,32.2,P_sat1($BC$2,$BC133))-h_liq_ashrae1($BC$2)))*BD15))</f>
        <v/>
      </c>
      <c r="BE133" s="67" t="str">
        <f>IF(BE15="","",IF($BB$8=$BP$201,BE15,((h_vap_super1($BC$2,32,P_sat1($BC$2,$BC133))-h_liq1($BC$2,BE$126))/(h_vap_super1($BC$2,32.2,P_sat1($BC$2,$BC133))-h_liq_ashrae1($BC$2)))*BE15))</f>
        <v/>
      </c>
      <c r="BF133" s="67" t="str">
        <f>IF(BF15="","",IF($BB$8=$BP$201,BF15,((h_vap_super1($BC$2,32,P_sat1($BC$2,$BC133))-h_liq1($BC$2,BF$126))/(h_vap_super1($BC$2,32.2,P_sat1($BC$2,$BC133))-h_liq_ashrae1($BC$2)))*BF15))</f>
        <v/>
      </c>
      <c r="BG133" s="67" t="str">
        <f>IF(BG15="","",IF($BB$8=$BP$201,BG15,((h_vap_super1($BC$2,32,P_sat1($BC$2,$BC133))-h_liq1($BC$2,BG$126))/(h_vap_super1($BC$2,32.2,P_sat1($BC$2,$BC133))-h_liq_ashrae1($BC$2)))*BG15))</f>
        <v/>
      </c>
      <c r="BH133" s="67" t="str">
        <f>IF(BH15="","",IF($BB$8=$BP$201,BH15,((h_vap_super1($BC$2,32,P_sat1($BC$2,$BC133))-h_liq1($BC$2,BH$126))/(h_vap_super1($BC$2,32.2,P_sat1($BC$2,$BC133))-h_liq_ashrae1($BC$2)))*BH15))</f>
        <v/>
      </c>
      <c r="BI133" s="67" t="str">
        <f>IF(BI15="","",IF($BB$8=$BP$201,BI15,((h_vap_super1($BC$2,32,P_sat1($BC$2,$BC133))-h_liq1($BC$2,BI$126))/(h_vap_super1($BC$2,32.2,P_sat1($BC$2,$BC133))-h_liq_ashrae1($BC$2)))*BI15))</f>
        <v/>
      </c>
      <c r="BJ133" s="113"/>
      <c r="BK133" s="113"/>
      <c r="BL133" s="113"/>
      <c r="BM133" s="113"/>
      <c r="BN133" s="113"/>
      <c r="BO133" s="113"/>
      <c r="BP133" s="113"/>
      <c r="BQ133" s="113"/>
      <c r="BR133" s="113"/>
    </row>
    <row r="134" spans="54:70" ht="14" thickBot="1">
      <c r="BB134" s="113"/>
      <c r="BC134" s="113"/>
      <c r="BD134" s="113">
        <f>ABS(BD106-BD127)/BD9</f>
        <v>3.1326079659923004E-3</v>
      </c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</row>
    <row r="135" spans="54:70">
      <c r="BB135" s="132" t="s">
        <v>94</v>
      </c>
      <c r="BC135" s="133"/>
      <c r="BD135" s="133" t="s">
        <v>55</v>
      </c>
      <c r="BE135" s="133"/>
      <c r="BF135" s="133"/>
      <c r="BG135" s="133"/>
      <c r="BH135" s="133"/>
      <c r="BI135" s="136"/>
      <c r="BJ135" s="113"/>
      <c r="BK135" s="132" t="s">
        <v>95</v>
      </c>
      <c r="BL135" s="133"/>
      <c r="BM135" s="133" t="s">
        <v>55</v>
      </c>
      <c r="BN135" s="133"/>
      <c r="BO135" s="133"/>
      <c r="BP135" s="133"/>
      <c r="BQ135" s="133"/>
      <c r="BR135" s="136"/>
    </row>
    <row r="136" spans="54:70">
      <c r="BB136" s="134"/>
      <c r="BC136" s="135"/>
      <c r="BD136" s="19">
        <f>IF($BD$8="","",$BD$8)</f>
        <v>35</v>
      </c>
      <c r="BE136" s="19">
        <f>IF($BE$8="","",$BE$8)</f>
        <v>40</v>
      </c>
      <c r="BF136" s="19">
        <f>IF($BF$8="","",$BF$8)</f>
        <v>45</v>
      </c>
      <c r="BG136" s="19">
        <f>IF($BG$8="","",$BG$8)</f>
        <v>50</v>
      </c>
      <c r="BH136" s="19">
        <f>IF($BH$8="","",$BH$8)</f>
        <v>55</v>
      </c>
      <c r="BI136" s="19">
        <f>IF($BI$8="","",$BI$8)</f>
        <v>60</v>
      </c>
      <c r="BJ136" s="113"/>
      <c r="BK136" s="134"/>
      <c r="BL136" s="135"/>
      <c r="BM136" s="19">
        <f>IF($BD$8="","",$BD$8)</f>
        <v>35</v>
      </c>
      <c r="BN136" s="19">
        <f>IF($BE$8="","",$BE$8)</f>
        <v>40</v>
      </c>
      <c r="BO136" s="19">
        <f>IF($BF$8="","",$BF$8)</f>
        <v>45</v>
      </c>
      <c r="BP136" s="19">
        <f>IF($BG$8="","",$BG$8)</f>
        <v>50</v>
      </c>
      <c r="BQ136" s="19">
        <f>IF($BH$8="","",$BH$8)</f>
        <v>55</v>
      </c>
      <c r="BR136" s="19">
        <f>IF($BI$8="","",$BI$8)</f>
        <v>60</v>
      </c>
    </row>
    <row r="137" spans="54:70">
      <c r="BB137" s="123" t="s">
        <v>59</v>
      </c>
      <c r="BC137" s="23">
        <f>IF($BC$9="","",$BC$9)</f>
        <v>-10</v>
      </c>
      <c r="BD137" s="68">
        <f>IF(BD9="","",IF($BB$8=$BP$201,ABS(BD106-BD9)/BD9,ABS(BD106-BD127)/BD9))</f>
        <v>3.1326079659923004E-3</v>
      </c>
      <c r="BE137" s="68">
        <f t="shared" ref="BE137:BI137" si="12">IF(BE9="","",IF($BB$8=$BP$201,ABS(BE106-BE9)/BE9,ABS(BE106-BE127)/BE9))</f>
        <v>4.6223298516082567E-3</v>
      </c>
      <c r="BF137" s="68">
        <f t="shared" si="12"/>
        <v>3.6039930313256224E-3</v>
      </c>
      <c r="BG137" s="68">
        <f t="shared" si="12"/>
        <v>2.5543680377776734E-3</v>
      </c>
      <c r="BH137" s="68">
        <f t="shared" si="12"/>
        <v>9.416805761505144E-3</v>
      </c>
      <c r="BI137" s="68">
        <f t="shared" si="12"/>
        <v>3.8685213636823709E-3</v>
      </c>
      <c r="BJ137" s="113"/>
      <c r="BK137" s="123" t="s">
        <v>59</v>
      </c>
      <c r="BL137" s="23">
        <f>IF($BC$9="","",$BC$9)</f>
        <v>-10</v>
      </c>
      <c r="BM137" s="68">
        <f t="shared" ref="BM137:BR143" si="13">IF(BM9="","",ABS(BM106-BM9)/BM9)</f>
        <v>6.6360117388066815E-3</v>
      </c>
      <c r="BN137" s="68">
        <f t="shared" si="13"/>
        <v>4.6391695911966856E-3</v>
      </c>
      <c r="BO137" s="68">
        <f t="shared" si="13"/>
        <v>6.6043206741782153E-3</v>
      </c>
      <c r="BP137" s="68">
        <f t="shared" si="13"/>
        <v>4.7429155905278526E-3</v>
      </c>
      <c r="BQ137" s="68">
        <f t="shared" si="13"/>
        <v>3.0906468791566445E-3</v>
      </c>
      <c r="BR137" s="68">
        <f t="shared" si="13"/>
        <v>4.730840674426277E-3</v>
      </c>
    </row>
    <row r="138" spans="54:70">
      <c r="BB138" s="123"/>
      <c r="BC138" s="23">
        <f>IF($BC$10="","",$BC$10)</f>
        <v>-5</v>
      </c>
      <c r="BD138" s="68">
        <f t="shared" ref="BD138:BI138" si="14">IF(BD10="","",IF($BB$8=$BP$201,ABS(BD107-BD10)/BD10,ABS(BD107-BD128)/BD10))</f>
        <v>2.1855547228547966E-3</v>
      </c>
      <c r="BE138" s="68">
        <f t="shared" si="14"/>
        <v>1.5113044344293913E-3</v>
      </c>
      <c r="BF138" s="68">
        <f t="shared" si="14"/>
        <v>2.2161991474250742E-3</v>
      </c>
      <c r="BG138" s="68">
        <f t="shared" si="14"/>
        <v>2.1243538584773984E-3</v>
      </c>
      <c r="BH138" s="68">
        <f t="shared" si="14"/>
        <v>4.9811306229035224E-3</v>
      </c>
      <c r="BI138" s="68">
        <f t="shared" si="14"/>
        <v>1.6087844104032047E-3</v>
      </c>
      <c r="BJ138" s="113"/>
      <c r="BK138" s="123"/>
      <c r="BL138" s="23">
        <f>IF($BC$10="","",$BC$10)</f>
        <v>-5</v>
      </c>
      <c r="BM138" s="68">
        <f t="shared" si="13"/>
        <v>4.4923056342444879E-3</v>
      </c>
      <c r="BN138" s="68">
        <f t="shared" si="13"/>
        <v>6.9468106058299603E-3</v>
      </c>
      <c r="BO138" s="68">
        <f t="shared" si="13"/>
        <v>1.9744104080461097E-3</v>
      </c>
      <c r="BP138" s="68">
        <f t="shared" si="13"/>
        <v>5.3410158440666414E-3</v>
      </c>
      <c r="BQ138" s="68">
        <f t="shared" si="13"/>
        <v>2.1950948280236434E-3</v>
      </c>
      <c r="BR138" s="68">
        <f t="shared" si="13"/>
        <v>5.8958802046672927E-4</v>
      </c>
    </row>
    <row r="139" spans="54:70">
      <c r="BB139" s="123"/>
      <c r="BC139" s="23">
        <f>IF($BC$11="","",$BC$11)</f>
        <v>0</v>
      </c>
      <c r="BD139" s="68">
        <f t="shared" ref="BD139:BI139" si="15">IF(BD11="","",IF($BB$8=$BP$201,ABS(BD108-BD11)/BD11,ABS(BD108-BD129)/BD11))</f>
        <v>3.3110520667966018E-3</v>
      </c>
      <c r="BE139" s="68">
        <f t="shared" si="15"/>
        <v>6.0502059116994151E-3</v>
      </c>
      <c r="BF139" s="68">
        <f t="shared" si="15"/>
        <v>4.3774722235430255E-3</v>
      </c>
      <c r="BG139" s="68">
        <f t="shared" si="15"/>
        <v>7.4896108388732528E-4</v>
      </c>
      <c r="BH139" s="68">
        <f t="shared" si="15"/>
        <v>5.1445035805967277E-3</v>
      </c>
      <c r="BI139" s="68">
        <f t="shared" si="15"/>
        <v>8.305375564485603E-4</v>
      </c>
      <c r="BJ139" s="113"/>
      <c r="BK139" s="123"/>
      <c r="BL139" s="23">
        <f>IF($BC$11="","",$BC$11)</f>
        <v>0</v>
      </c>
      <c r="BM139" s="68">
        <f t="shared" si="13"/>
        <v>5.6534057786599623E-3</v>
      </c>
      <c r="BN139" s="68">
        <f t="shared" si="13"/>
        <v>6.2680668618214971E-3</v>
      </c>
      <c r="BO139" s="68">
        <f t="shared" si="13"/>
        <v>1.7934505971311061E-3</v>
      </c>
      <c r="BP139" s="68">
        <f t="shared" si="13"/>
        <v>4.5464776753482133E-3</v>
      </c>
      <c r="BQ139" s="68">
        <f t="shared" si="13"/>
        <v>3.6572370164239267E-3</v>
      </c>
      <c r="BR139" s="68">
        <f t="shared" si="13"/>
        <v>3.8532088262284293E-3</v>
      </c>
    </row>
    <row r="140" spans="54:70">
      <c r="BB140" s="123"/>
      <c r="BC140" s="23">
        <f>IF($BC$12="","",$BC$12)</f>
        <v>5</v>
      </c>
      <c r="BD140" s="68">
        <f t="shared" ref="BD140:BI140" si="16">IF(BD12="","",IF($BB$8=$BP$201,ABS(BD109-BD12)/BD12,ABS(BD109-BD130)/BD12))</f>
        <v>2.6097260553682336E-3</v>
      </c>
      <c r="BE140" s="68">
        <f t="shared" si="16"/>
        <v>3.8617051349535921E-3</v>
      </c>
      <c r="BF140" s="68">
        <f t="shared" si="16"/>
        <v>5.1667970742020064E-3</v>
      </c>
      <c r="BG140" s="68">
        <f t="shared" si="16"/>
        <v>6.0438830485463858E-4</v>
      </c>
      <c r="BH140" s="68">
        <f t="shared" si="16"/>
        <v>3.3048514662556267E-3</v>
      </c>
      <c r="BI140" s="68">
        <f t="shared" si="16"/>
        <v>2.3971785228088196E-4</v>
      </c>
      <c r="BJ140" s="113"/>
      <c r="BK140" s="123"/>
      <c r="BL140" s="23">
        <f>IF($BC$12="","",$BC$12)</f>
        <v>5</v>
      </c>
      <c r="BM140" s="68">
        <f t="shared" si="13"/>
        <v>5.6084191559258425E-3</v>
      </c>
      <c r="BN140" s="68">
        <f t="shared" si="13"/>
        <v>7.0268166479012482E-3</v>
      </c>
      <c r="BO140" s="68">
        <f t="shared" si="13"/>
        <v>5.5968151269466674E-3</v>
      </c>
      <c r="BP140" s="68">
        <f t="shared" si="13"/>
        <v>4.1299157043707341E-3</v>
      </c>
      <c r="BQ140" s="68">
        <f t="shared" si="13"/>
        <v>4.1997773136641849E-3</v>
      </c>
      <c r="BR140" s="68">
        <f t="shared" si="13"/>
        <v>2.4580329144766907E-3</v>
      </c>
    </row>
    <row r="141" spans="54:70">
      <c r="BB141" s="123"/>
      <c r="BC141" s="23">
        <f>IF($BC$13="","",$BC$13)</f>
        <v>10</v>
      </c>
      <c r="BD141" s="68">
        <f t="shared" ref="BD141:BI141" si="17">IF(BD13="","",IF($BB$8=$BP$201,ABS(BD110-BD13)/BD13,ABS(BD110-BD131)/BD13))</f>
        <v>8.056720262319681E-4</v>
      </c>
      <c r="BE141" s="68">
        <f t="shared" si="17"/>
        <v>5.806740306055048E-3</v>
      </c>
      <c r="BF141" s="68">
        <f t="shared" si="17"/>
        <v>2.1212070049253483E-3</v>
      </c>
      <c r="BG141" s="68">
        <f t="shared" si="17"/>
        <v>1.2558226760377696E-3</v>
      </c>
      <c r="BH141" s="68">
        <f t="shared" si="17"/>
        <v>2.5222790509406043E-3</v>
      </c>
      <c r="BI141" s="68">
        <f t="shared" si="17"/>
        <v>1.1915577138672206E-4</v>
      </c>
      <c r="BJ141" s="113"/>
      <c r="BK141" s="123"/>
      <c r="BL141" s="23">
        <f>IF($BC$13="","",$BC$13)</f>
        <v>10</v>
      </c>
      <c r="BM141" s="68">
        <f t="shared" si="13"/>
        <v>5.3190660494823235E-3</v>
      </c>
      <c r="BN141" s="68">
        <f t="shared" si="13"/>
        <v>5.0177089768661184E-3</v>
      </c>
      <c r="BO141" s="68">
        <f t="shared" si="13"/>
        <v>9.359961438702545E-4</v>
      </c>
      <c r="BP141" s="68">
        <f t="shared" si="13"/>
        <v>7.4611693062804716E-3</v>
      </c>
      <c r="BQ141" s="68">
        <f t="shared" si="13"/>
        <v>7.0758388495230501E-3</v>
      </c>
      <c r="BR141" s="68">
        <f t="shared" si="13"/>
        <v>5.2531744693655154E-3</v>
      </c>
    </row>
    <row r="142" spans="54:70">
      <c r="BB142" s="123"/>
      <c r="BC142" s="23">
        <f>IF($BC$14="","",$BC$14)</f>
        <v>15</v>
      </c>
      <c r="BD142" s="68">
        <f t="shared" ref="BD142:BI142" si="18">IF(BD14="","",IF($BB$8=$BP$201,ABS(BD111-BD14)/BD14,ABS(BD111-BD132)/BD14))</f>
        <v>2.2297808622325607E-3</v>
      </c>
      <c r="BE142" s="68">
        <f t="shared" si="18"/>
        <v>2.5957889174227501E-3</v>
      </c>
      <c r="BF142" s="68">
        <f t="shared" si="18"/>
        <v>3.3429618777461268E-4</v>
      </c>
      <c r="BG142" s="68">
        <f t="shared" si="18"/>
        <v>3.2279637934012257E-3</v>
      </c>
      <c r="BH142" s="68">
        <f t="shared" si="18"/>
        <v>3.4294931427262293E-3</v>
      </c>
      <c r="BI142" s="68">
        <f t="shared" si="18"/>
        <v>1.1666364281644932E-3</v>
      </c>
      <c r="BJ142" s="113"/>
      <c r="BK142" s="123"/>
      <c r="BL142" s="23">
        <f>IF($BC$14="","",$BC$14)</f>
        <v>15</v>
      </c>
      <c r="BM142" s="68">
        <f t="shared" si="13"/>
        <v>8.3103083680055156E-3</v>
      </c>
      <c r="BN142" s="68">
        <f t="shared" si="13"/>
        <v>4.682970080066416E-3</v>
      </c>
      <c r="BO142" s="68">
        <f t="shared" si="13"/>
        <v>3.476803823121352E-3</v>
      </c>
      <c r="BP142" s="68">
        <f t="shared" si="13"/>
        <v>4.0287388793076705E-3</v>
      </c>
      <c r="BQ142" s="68">
        <f t="shared" si="13"/>
        <v>3.2487057081825301E-3</v>
      </c>
      <c r="BR142" s="68">
        <f t="shared" si="13"/>
        <v>3.6004653549850836E-3</v>
      </c>
    </row>
    <row r="143" spans="54:70" ht="14" thickBot="1">
      <c r="BB143" s="124"/>
      <c r="BC143" s="27" t="str">
        <f>IF($BC$15="","",$BC$15)</f>
        <v/>
      </c>
      <c r="BD143" s="68" t="str">
        <f t="shared" ref="BD143:BI143" si="19">IF(BD15="","",IF($BB$8=$BP$201,ABS(BD112-BD15)/BD15,ABS(BD112-BD133)/BD15))</f>
        <v/>
      </c>
      <c r="BE143" s="68" t="str">
        <f t="shared" si="19"/>
        <v/>
      </c>
      <c r="BF143" s="68" t="str">
        <f t="shared" si="19"/>
        <v/>
      </c>
      <c r="BG143" s="68" t="str">
        <f t="shared" si="19"/>
        <v/>
      </c>
      <c r="BH143" s="68" t="str">
        <f t="shared" si="19"/>
        <v/>
      </c>
      <c r="BI143" s="68" t="str">
        <f t="shared" si="19"/>
        <v/>
      </c>
      <c r="BJ143" s="113"/>
      <c r="BK143" s="124"/>
      <c r="BL143" s="27" t="str">
        <f>IF($BC$15="","",$BC$15)</f>
        <v/>
      </c>
      <c r="BM143" s="68" t="str">
        <f t="shared" si="13"/>
        <v/>
      </c>
      <c r="BN143" s="68" t="str">
        <f t="shared" si="13"/>
        <v/>
      </c>
      <c r="BO143" s="68" t="str">
        <f t="shared" si="13"/>
        <v/>
      </c>
      <c r="BP143" s="68" t="str">
        <f t="shared" si="13"/>
        <v/>
      </c>
      <c r="BQ143" s="68" t="str">
        <f t="shared" si="13"/>
        <v/>
      </c>
      <c r="BR143" s="68" t="str">
        <f t="shared" si="13"/>
        <v/>
      </c>
    </row>
    <row r="199" spans="54:68">
      <c r="BB199" s="8" t="s">
        <v>0</v>
      </c>
      <c r="BC199" s="8" t="s">
        <v>1</v>
      </c>
      <c r="BD199" s="8" t="s">
        <v>2</v>
      </c>
      <c r="BE199" s="8" t="s">
        <v>3</v>
      </c>
      <c r="BF199" s="8" t="s">
        <v>86</v>
      </c>
      <c r="BG199" s="8" t="s">
        <v>96</v>
      </c>
      <c r="BH199" s="8"/>
      <c r="BI199" s="113"/>
      <c r="BJ199" s="113"/>
      <c r="BK199" s="113"/>
      <c r="BL199" s="11" t="s">
        <v>97</v>
      </c>
      <c r="BP199" s="5" t="s">
        <v>98</v>
      </c>
    </row>
    <row r="200" spans="54:68">
      <c r="BB200" t="s">
        <v>99</v>
      </c>
      <c r="BC200" s="17" t="s">
        <v>100</v>
      </c>
      <c r="BD200" s="71" t="s">
        <v>45</v>
      </c>
      <c r="BE200" s="71" t="s">
        <v>101</v>
      </c>
      <c r="BF200" s="17" t="s">
        <v>102</v>
      </c>
      <c r="BG200" s="69" t="s">
        <v>103</v>
      </c>
      <c r="BH200" s="70"/>
      <c r="BI200" s="113"/>
      <c r="BJ200" s="113"/>
      <c r="BK200" s="113"/>
      <c r="BL200" s="113"/>
      <c r="BP200" s="7" t="s">
        <v>57</v>
      </c>
    </row>
    <row r="201" spans="54:68">
      <c r="BB201" t="s">
        <v>104</v>
      </c>
      <c r="BC201" s="17" t="s">
        <v>44</v>
      </c>
      <c r="BD201" s="71" t="s">
        <v>105</v>
      </c>
      <c r="BE201" s="71" t="s">
        <v>106</v>
      </c>
      <c r="BF201" s="17" t="s">
        <v>47</v>
      </c>
      <c r="BG201" s="70"/>
      <c r="BH201" s="70"/>
      <c r="BI201" s="113"/>
      <c r="BJ201" s="113"/>
      <c r="BK201" s="113"/>
      <c r="BL201" s="113"/>
      <c r="BP201" s="7" t="s">
        <v>107</v>
      </c>
    </row>
    <row r="202" spans="54:68">
      <c r="BB202" t="s">
        <v>43</v>
      </c>
      <c r="BC202" s="113" t="s">
        <v>108</v>
      </c>
      <c r="BD202" s="113"/>
      <c r="BE202" s="71" t="s">
        <v>109</v>
      </c>
      <c r="BF202" s="113"/>
      <c r="BG202" s="70" t="s">
        <v>110</v>
      </c>
      <c r="BH202" s="69"/>
      <c r="BI202" s="113"/>
      <c r="BJ202" s="113"/>
      <c r="BK202" s="113"/>
      <c r="BL202" s="17" t="s">
        <v>111</v>
      </c>
    </row>
    <row r="203" spans="54:68">
      <c r="BB203" t="s">
        <v>112</v>
      </c>
      <c r="BC203" s="113"/>
      <c r="BD203" s="113"/>
      <c r="BE203" s="71" t="s">
        <v>46</v>
      </c>
      <c r="BF203" s="113"/>
      <c r="BG203" s="70" t="s">
        <v>113</v>
      </c>
      <c r="BH203" s="70"/>
      <c r="BI203" s="113"/>
      <c r="BJ203" s="113"/>
      <c r="BK203" s="113"/>
      <c r="BL203" s="17" t="s">
        <v>114</v>
      </c>
    </row>
    <row r="204" spans="54:68">
      <c r="BB204" t="s">
        <v>115</v>
      </c>
      <c r="BC204" s="113"/>
      <c r="BD204" s="113"/>
      <c r="BE204" s="72"/>
      <c r="BF204" s="113"/>
      <c r="BG204" s="70" t="s">
        <v>116</v>
      </c>
      <c r="BH204" s="70"/>
      <c r="BI204" s="113"/>
      <c r="BJ204" s="113"/>
      <c r="BK204" s="113"/>
      <c r="BL204" s="113" t="s">
        <v>117</v>
      </c>
    </row>
    <row r="205" spans="54:68">
      <c r="BB205" t="s">
        <v>118</v>
      </c>
      <c r="BC205" s="113"/>
      <c r="BD205" s="113"/>
      <c r="BE205" s="72"/>
      <c r="BF205" s="113"/>
      <c r="BG205" s="70" t="s">
        <v>119</v>
      </c>
      <c r="BH205" s="70"/>
      <c r="BI205" s="113"/>
      <c r="BJ205" s="113"/>
      <c r="BK205" s="113"/>
      <c r="BL205" s="113" t="s">
        <v>120</v>
      </c>
    </row>
    <row r="206" spans="54:68">
      <c r="BB206" t="s">
        <v>121</v>
      </c>
      <c r="BC206" s="113"/>
      <c r="BD206" s="113"/>
      <c r="BE206" s="72"/>
      <c r="BF206" s="113"/>
      <c r="BG206" s="70" t="s">
        <v>122</v>
      </c>
      <c r="BH206" s="70"/>
      <c r="BI206" s="113"/>
      <c r="BJ206" s="113"/>
      <c r="BK206" s="113"/>
      <c r="BL206" s="113" t="s">
        <v>123</v>
      </c>
    </row>
    <row r="207" spans="54:68">
      <c r="BB207" t="s">
        <v>124</v>
      </c>
      <c r="BC207" s="113"/>
      <c r="BD207" s="113"/>
      <c r="BE207" s="72"/>
      <c r="BF207" s="113"/>
      <c r="BG207" s="69" t="s">
        <v>125</v>
      </c>
      <c r="BH207" s="69"/>
      <c r="BI207" s="113"/>
      <c r="BJ207" s="113"/>
      <c r="BK207" s="113"/>
      <c r="BL207" s="113" t="s">
        <v>48</v>
      </c>
    </row>
    <row r="208" spans="54:68">
      <c r="BB208" t="s">
        <v>126</v>
      </c>
      <c r="BC208" s="113"/>
      <c r="BD208" s="113"/>
      <c r="BE208" s="113"/>
      <c r="BF208" s="113"/>
      <c r="BG208" s="113" t="s">
        <v>125</v>
      </c>
      <c r="BH208" s="113"/>
      <c r="BI208" s="113"/>
      <c r="BJ208" s="113"/>
      <c r="BK208" s="113"/>
      <c r="BL208" s="113" t="s">
        <v>127</v>
      </c>
    </row>
    <row r="209" spans="54:64">
      <c r="BB209" t="s">
        <v>128</v>
      </c>
      <c r="BC209" s="113"/>
      <c r="BD209" s="113"/>
      <c r="BE209" s="113"/>
      <c r="BF209" s="113"/>
      <c r="BG209" s="113" t="s">
        <v>125</v>
      </c>
      <c r="BH209" s="113"/>
      <c r="BI209" s="113"/>
      <c r="BJ209" s="113"/>
      <c r="BK209" s="113"/>
      <c r="BL209" s="113" t="s">
        <v>129</v>
      </c>
    </row>
    <row r="210" spans="54:64">
      <c r="BC210" s="113"/>
      <c r="BD210" s="113"/>
      <c r="BE210" s="113"/>
      <c r="BF210" s="113"/>
      <c r="BG210" s="113" t="s">
        <v>130</v>
      </c>
      <c r="BH210" s="113"/>
      <c r="BI210" s="113"/>
      <c r="BJ210" s="113"/>
      <c r="BK210" s="113"/>
      <c r="BL210" s="113" t="s">
        <v>131</v>
      </c>
    </row>
    <row r="211" spans="54:64">
      <c r="BC211" s="113"/>
      <c r="BD211" s="113"/>
      <c r="BE211" s="113"/>
      <c r="BF211" s="113"/>
      <c r="BG211" s="113" t="s">
        <v>132</v>
      </c>
      <c r="BH211" s="113"/>
      <c r="BI211" s="113"/>
      <c r="BJ211" s="113"/>
      <c r="BK211" s="113"/>
      <c r="BL211" s="113" t="s">
        <v>133</v>
      </c>
    </row>
    <row r="212" spans="54:64">
      <c r="BC212" s="113"/>
      <c r="BD212" s="113"/>
      <c r="BE212" s="113"/>
      <c r="BF212" s="113"/>
      <c r="BG212" s="113" t="s">
        <v>134</v>
      </c>
      <c r="BH212" s="113"/>
      <c r="BI212" s="113"/>
      <c r="BJ212" s="113"/>
      <c r="BK212" s="113"/>
      <c r="BL212" s="113" t="s">
        <v>135</v>
      </c>
    </row>
    <row r="213" spans="54:64">
      <c r="BC213" s="113"/>
      <c r="BD213" s="113"/>
      <c r="BE213" s="113"/>
      <c r="BF213" s="113"/>
      <c r="BG213" s="113" t="s">
        <v>136</v>
      </c>
      <c r="BH213" s="113"/>
      <c r="BI213" s="113"/>
      <c r="BJ213" s="113"/>
      <c r="BK213" s="113"/>
      <c r="BL213" s="113" t="s">
        <v>137</v>
      </c>
    </row>
    <row r="214" spans="54:64">
      <c r="BC214" s="113"/>
      <c r="BD214" s="113"/>
      <c r="BE214" s="113"/>
      <c r="BF214" s="113"/>
      <c r="BG214" s="113" t="s">
        <v>138</v>
      </c>
      <c r="BH214" s="113"/>
      <c r="BI214" s="113"/>
      <c r="BJ214" s="113"/>
      <c r="BK214" s="113"/>
      <c r="BL214" s="113" t="s">
        <v>139</v>
      </c>
    </row>
    <row r="215" spans="54:64">
      <c r="BC215" s="113"/>
      <c r="BD215" s="113"/>
      <c r="BE215" s="113"/>
      <c r="BF215" s="113"/>
      <c r="BG215" s="113" t="s">
        <v>140</v>
      </c>
      <c r="BH215" s="113"/>
      <c r="BI215" s="113"/>
      <c r="BJ215" s="113"/>
      <c r="BK215" s="113"/>
      <c r="BL215" s="113" t="s">
        <v>141</v>
      </c>
    </row>
    <row r="216" spans="54:64">
      <c r="BC216" s="113"/>
      <c r="BD216" s="113"/>
      <c r="BE216" s="113"/>
      <c r="BF216" s="113"/>
      <c r="BG216" s="113" t="s">
        <v>142</v>
      </c>
      <c r="BH216" s="113"/>
      <c r="BI216" s="113"/>
      <c r="BJ216" s="113"/>
      <c r="BK216" s="113"/>
      <c r="BL216" s="113" t="s">
        <v>143</v>
      </c>
    </row>
    <row r="217" spans="54:64">
      <c r="BG217" t="s">
        <v>144</v>
      </c>
      <c r="BL217" t="s">
        <v>145</v>
      </c>
    </row>
    <row r="218" spans="54:64">
      <c r="BG218" t="s">
        <v>146</v>
      </c>
      <c r="BL218" t="s">
        <v>147</v>
      </c>
    </row>
    <row r="219" spans="54:64">
      <c r="BG219" t="s">
        <v>148</v>
      </c>
      <c r="BL219" t="s">
        <v>149</v>
      </c>
    </row>
    <row r="220" spans="54:64">
      <c r="BG220" t="s">
        <v>150</v>
      </c>
      <c r="BL220" t="s">
        <v>151</v>
      </c>
    </row>
    <row r="221" spans="54:64">
      <c r="BG221" t="s">
        <v>152</v>
      </c>
      <c r="BL221" t="s">
        <v>153</v>
      </c>
    </row>
    <row r="222" spans="54:64">
      <c r="BG222" t="s">
        <v>154</v>
      </c>
      <c r="BL222" t="s">
        <v>155</v>
      </c>
    </row>
    <row r="223" spans="54:64">
      <c r="BG223" s="7" t="s">
        <v>156</v>
      </c>
      <c r="BL223" s="7" t="s">
        <v>157</v>
      </c>
    </row>
    <row r="224" spans="54:64">
      <c r="BG224" t="s">
        <v>158</v>
      </c>
      <c r="BL224" t="s">
        <v>159</v>
      </c>
    </row>
    <row r="225" spans="59:64">
      <c r="BG225" t="s">
        <v>160</v>
      </c>
      <c r="BL225" t="s">
        <v>161</v>
      </c>
    </row>
    <row r="226" spans="59:64">
      <c r="BG226" t="s">
        <v>162</v>
      </c>
      <c r="BL226" t="s">
        <v>163</v>
      </c>
    </row>
    <row r="227" spans="59:64">
      <c r="BG227" t="s">
        <v>164</v>
      </c>
      <c r="BL227" t="s">
        <v>165</v>
      </c>
    </row>
    <row r="228" spans="59:64">
      <c r="BG228" t="s">
        <v>166</v>
      </c>
      <c r="BL228" t="s">
        <v>167</v>
      </c>
    </row>
    <row r="229" spans="59:64">
      <c r="BG229" t="s">
        <v>168</v>
      </c>
      <c r="BL229" t="s">
        <v>169</v>
      </c>
    </row>
    <row r="230" spans="59:64">
      <c r="BG230" t="s">
        <v>170</v>
      </c>
      <c r="BL230" t="s">
        <v>171</v>
      </c>
    </row>
    <row r="231" spans="59:64">
      <c r="BG231" t="s">
        <v>172</v>
      </c>
      <c r="BL231" t="s">
        <v>173</v>
      </c>
    </row>
    <row r="232" spans="59:64">
      <c r="BG232" t="s">
        <v>174</v>
      </c>
      <c r="BL232" t="s">
        <v>175</v>
      </c>
    </row>
    <row r="233" spans="59:64">
      <c r="BG233" t="s">
        <v>176</v>
      </c>
      <c r="BL233" t="s">
        <v>177</v>
      </c>
    </row>
    <row r="234" spans="59:64">
      <c r="BG234" t="s">
        <v>178</v>
      </c>
      <c r="BL234" t="s">
        <v>179</v>
      </c>
    </row>
    <row r="235" spans="59:64">
      <c r="BG235" t="s">
        <v>180</v>
      </c>
      <c r="BL235" t="s">
        <v>133</v>
      </c>
    </row>
    <row r="236" spans="59:64">
      <c r="BG236" t="s">
        <v>181</v>
      </c>
      <c r="BL236" t="s">
        <v>182</v>
      </c>
    </row>
    <row r="237" spans="59:64">
      <c r="BG237" t="s">
        <v>183</v>
      </c>
      <c r="BL237" t="s">
        <v>184</v>
      </c>
    </row>
    <row r="238" spans="59:64">
      <c r="BG238" t="s">
        <v>185</v>
      </c>
      <c r="BL238" t="s">
        <v>186</v>
      </c>
    </row>
    <row r="239" spans="59:64">
      <c r="BG239" t="s">
        <v>187</v>
      </c>
      <c r="BL239" t="s">
        <v>188</v>
      </c>
    </row>
    <row r="240" spans="59:64">
      <c r="BG240" t="s">
        <v>189</v>
      </c>
      <c r="BL240" t="s">
        <v>190</v>
      </c>
    </row>
    <row r="241" spans="59:64">
      <c r="BG241" t="s">
        <v>191</v>
      </c>
      <c r="BL241" t="s">
        <v>192</v>
      </c>
    </row>
    <row r="242" spans="59:64">
      <c r="BG242" t="s">
        <v>193</v>
      </c>
      <c r="BL242" t="s">
        <v>194</v>
      </c>
    </row>
    <row r="243" spans="59:64">
      <c r="BG243" t="s">
        <v>193</v>
      </c>
      <c r="BL243" t="s">
        <v>194</v>
      </c>
    </row>
    <row r="244" spans="59:64">
      <c r="BG244" t="s">
        <v>195</v>
      </c>
      <c r="BL244" t="s">
        <v>196</v>
      </c>
    </row>
    <row r="245" spans="59:64">
      <c r="BG245" t="s">
        <v>197</v>
      </c>
      <c r="BL245" t="s">
        <v>198</v>
      </c>
    </row>
    <row r="246" spans="59:64">
      <c r="BG246" t="s">
        <v>199</v>
      </c>
      <c r="BL246" t="s">
        <v>200</v>
      </c>
    </row>
    <row r="247" spans="59:64">
      <c r="BG247" t="s">
        <v>201</v>
      </c>
      <c r="BL247" t="s">
        <v>202</v>
      </c>
    </row>
    <row r="248" spans="59:64">
      <c r="BG248" t="s">
        <v>203</v>
      </c>
      <c r="BL248" t="s">
        <v>204</v>
      </c>
    </row>
    <row r="249" spans="59:64">
      <c r="BG249" t="s">
        <v>205</v>
      </c>
      <c r="BL249" t="s">
        <v>206</v>
      </c>
    </row>
    <row r="250" spans="59:64">
      <c r="BG250" t="s">
        <v>207</v>
      </c>
      <c r="BL250" t="s">
        <v>208</v>
      </c>
    </row>
    <row r="251" spans="59:64">
      <c r="BG251" t="s">
        <v>209</v>
      </c>
      <c r="BL251" t="s">
        <v>210</v>
      </c>
    </row>
    <row r="252" spans="59:64">
      <c r="BG252" t="s">
        <v>211</v>
      </c>
      <c r="BL252" t="s">
        <v>212</v>
      </c>
    </row>
    <row r="253" spans="59:64">
      <c r="BG253" t="s">
        <v>213</v>
      </c>
      <c r="BL253" t="s">
        <v>214</v>
      </c>
    </row>
    <row r="254" spans="59:64">
      <c r="BG254" t="s">
        <v>215</v>
      </c>
      <c r="BL254" t="s">
        <v>216</v>
      </c>
    </row>
    <row r="255" spans="59:64">
      <c r="BG255" t="s">
        <v>217</v>
      </c>
      <c r="BL255" t="s">
        <v>218</v>
      </c>
    </row>
    <row r="256" spans="59:64">
      <c r="BG256" t="s">
        <v>219</v>
      </c>
      <c r="BL256" t="s">
        <v>220</v>
      </c>
    </row>
    <row r="257" spans="59:64">
      <c r="BG257" t="s">
        <v>221</v>
      </c>
      <c r="BL257" t="s">
        <v>222</v>
      </c>
    </row>
    <row r="258" spans="59:64">
      <c r="BG258" t="s">
        <v>223</v>
      </c>
      <c r="BL258" t="s">
        <v>224</v>
      </c>
    </row>
    <row r="259" spans="59:64">
      <c r="BG259" t="s">
        <v>225</v>
      </c>
      <c r="BL259" t="s">
        <v>226</v>
      </c>
    </row>
    <row r="260" spans="59:64">
      <c r="BG260" t="s">
        <v>227</v>
      </c>
      <c r="BL260" t="s">
        <v>228</v>
      </c>
    </row>
    <row r="261" spans="59:64">
      <c r="BG261" t="s">
        <v>229</v>
      </c>
      <c r="BL261" t="s">
        <v>230</v>
      </c>
    </row>
    <row r="262" spans="59:64">
      <c r="BG262" t="s">
        <v>231</v>
      </c>
      <c r="BL262" t="s">
        <v>232</v>
      </c>
    </row>
    <row r="263" spans="59:64">
      <c r="BG263" t="s">
        <v>233</v>
      </c>
      <c r="BL263" t="s">
        <v>234</v>
      </c>
    </row>
    <row r="264" spans="59:64">
      <c r="BG264" t="s">
        <v>235</v>
      </c>
      <c r="BL264" t="s">
        <v>236</v>
      </c>
    </row>
    <row r="265" spans="59:64">
      <c r="BG265" t="s">
        <v>237</v>
      </c>
      <c r="BL265" t="s">
        <v>238</v>
      </c>
    </row>
    <row r="266" spans="59:64">
      <c r="BG266" t="s">
        <v>239</v>
      </c>
      <c r="BL266" t="s">
        <v>240</v>
      </c>
    </row>
    <row r="270" spans="59:64">
      <c r="BG270" t="s">
        <v>241</v>
      </c>
    </row>
    <row r="272" spans="59:64">
      <c r="BG272" t="s">
        <v>242</v>
      </c>
    </row>
    <row r="273" spans="59:59">
      <c r="BG273" t="s">
        <v>243</v>
      </c>
    </row>
    <row r="274" spans="59:59">
      <c r="BG274" t="s">
        <v>244</v>
      </c>
    </row>
    <row r="275" spans="59:59">
      <c r="BG275" t="s">
        <v>245</v>
      </c>
    </row>
    <row r="276" spans="59:59">
      <c r="BG276" t="s">
        <v>246</v>
      </c>
    </row>
    <row r="277" spans="59:59">
      <c r="BG277" t="s">
        <v>247</v>
      </c>
    </row>
    <row r="278" spans="59:59">
      <c r="BG278" t="s">
        <v>248</v>
      </c>
    </row>
    <row r="279" spans="59:59">
      <c r="BG279" t="s">
        <v>249</v>
      </c>
    </row>
    <row r="280" spans="59:59">
      <c r="BG280" t="s">
        <v>250</v>
      </c>
    </row>
    <row r="281" spans="59:59">
      <c r="BG281" t="s">
        <v>251</v>
      </c>
    </row>
    <row r="282" spans="59:59">
      <c r="BG282" t="s">
        <v>252</v>
      </c>
    </row>
    <row r="283" spans="59:59">
      <c r="BG283" t="s">
        <v>253</v>
      </c>
    </row>
    <row r="284" spans="59:59">
      <c r="BG284" t="s">
        <v>254</v>
      </c>
    </row>
    <row r="285" spans="59:59">
      <c r="BG285" t="s">
        <v>255</v>
      </c>
    </row>
    <row r="286" spans="59:59">
      <c r="BG286" t="s">
        <v>256</v>
      </c>
    </row>
    <row r="287" spans="59:59">
      <c r="BG287" t="s">
        <v>257</v>
      </c>
    </row>
    <row r="288" spans="59:59">
      <c r="BG288" t="s">
        <v>258</v>
      </c>
    </row>
    <row r="289" spans="59:59">
      <c r="BG289" t="s">
        <v>259</v>
      </c>
    </row>
    <row r="290" spans="59:59">
      <c r="BG290" t="s">
        <v>260</v>
      </c>
    </row>
    <row r="291" spans="59:59">
      <c r="BG291" t="s">
        <v>261</v>
      </c>
    </row>
    <row r="292" spans="59:59">
      <c r="BG292" t="s">
        <v>262</v>
      </c>
    </row>
    <row r="293" spans="59:59">
      <c r="BG293" t="s">
        <v>263</v>
      </c>
    </row>
    <row r="294" spans="59:59">
      <c r="BG294" t="s">
        <v>264</v>
      </c>
    </row>
    <row r="295" spans="59:59">
      <c r="BG295" t="s">
        <v>265</v>
      </c>
    </row>
    <row r="296" spans="59:59">
      <c r="BG296" t="s">
        <v>266</v>
      </c>
    </row>
    <row r="297" spans="59:59">
      <c r="BG297" t="s">
        <v>267</v>
      </c>
    </row>
    <row r="298" spans="59:59">
      <c r="BG298" t="s">
        <v>268</v>
      </c>
    </row>
    <row r="299" spans="59:59">
      <c r="BG299" t="s">
        <v>269</v>
      </c>
    </row>
    <row r="300" spans="59:59">
      <c r="BG300" t="s">
        <v>270</v>
      </c>
    </row>
    <row r="301" spans="59:59">
      <c r="BG301" t="s">
        <v>271</v>
      </c>
    </row>
    <row r="302" spans="59:59">
      <c r="BG302" t="s">
        <v>272</v>
      </c>
    </row>
    <row r="303" spans="59:59">
      <c r="BG303" t="s">
        <v>273</v>
      </c>
    </row>
    <row r="304" spans="59:59">
      <c r="BG304" t="s">
        <v>274</v>
      </c>
    </row>
    <row r="305" spans="59:59">
      <c r="BG305" t="s">
        <v>275</v>
      </c>
    </row>
    <row r="306" spans="59:59">
      <c r="BG306" t="s">
        <v>276</v>
      </c>
    </row>
    <row r="307" spans="59:59">
      <c r="BG307" t="s">
        <v>277</v>
      </c>
    </row>
    <row r="308" spans="59:59">
      <c r="BG308" t="s">
        <v>278</v>
      </c>
    </row>
    <row r="309" spans="59:59">
      <c r="BG309" t="s">
        <v>279</v>
      </c>
    </row>
    <row r="310" spans="59:59">
      <c r="BG310" t="s">
        <v>280</v>
      </c>
    </row>
    <row r="311" spans="59:59">
      <c r="BG311" t="s">
        <v>281</v>
      </c>
    </row>
    <row r="312" spans="59:59">
      <c r="BG312" t="s">
        <v>282</v>
      </c>
    </row>
    <row r="313" spans="59:59">
      <c r="BG313" t="s">
        <v>283</v>
      </c>
    </row>
    <row r="314" spans="59:59">
      <c r="BG314" t="s">
        <v>284</v>
      </c>
    </row>
    <row r="315" spans="59:59">
      <c r="BG315" t="s">
        <v>285</v>
      </c>
    </row>
    <row r="316" spans="59:59">
      <c r="BG316" t="s">
        <v>286</v>
      </c>
    </row>
    <row r="317" spans="59:59">
      <c r="BG317" t="s">
        <v>287</v>
      </c>
    </row>
    <row r="318" spans="59:59">
      <c r="BG318" t="s">
        <v>288</v>
      </c>
    </row>
    <row r="319" spans="59:59">
      <c r="BG319" t="s">
        <v>289</v>
      </c>
    </row>
    <row r="320" spans="59:59">
      <c r="BG320" t="s">
        <v>290</v>
      </c>
    </row>
    <row r="321" spans="59:59">
      <c r="BG321" t="s">
        <v>291</v>
      </c>
    </row>
    <row r="322" spans="59:59">
      <c r="BG322" t="s">
        <v>292</v>
      </c>
    </row>
    <row r="323" spans="59:59">
      <c r="BG323" t="s">
        <v>293</v>
      </c>
    </row>
    <row r="324" spans="59:59">
      <c r="BG324" t="s">
        <v>294</v>
      </c>
    </row>
    <row r="325" spans="59:59">
      <c r="BG325" t="s">
        <v>295</v>
      </c>
    </row>
    <row r="326" spans="59:59">
      <c r="BG326" t="s">
        <v>296</v>
      </c>
    </row>
    <row r="327" spans="59:59">
      <c r="BG327" t="s">
        <v>297</v>
      </c>
    </row>
    <row r="328" spans="59:59">
      <c r="BG328" t="s">
        <v>298</v>
      </c>
    </row>
    <row r="329" spans="59:59">
      <c r="BG329" t="s">
        <v>299</v>
      </c>
    </row>
    <row r="330" spans="59:59">
      <c r="BG330" t="s">
        <v>300</v>
      </c>
    </row>
    <row r="331" spans="59:59">
      <c r="BG331" t="s">
        <v>301</v>
      </c>
    </row>
    <row r="332" spans="59:59">
      <c r="BG332" t="s">
        <v>302</v>
      </c>
    </row>
    <row r="333" spans="59:59">
      <c r="BG333" t="s">
        <v>303</v>
      </c>
    </row>
    <row r="334" spans="59:59">
      <c r="BG334" t="s">
        <v>304</v>
      </c>
    </row>
    <row r="335" spans="59:59">
      <c r="BG335" t="s">
        <v>305</v>
      </c>
    </row>
    <row r="336" spans="59:59">
      <c r="BG336" t="s">
        <v>306</v>
      </c>
    </row>
    <row r="337" spans="59:59">
      <c r="BG337" t="s">
        <v>307</v>
      </c>
    </row>
    <row r="338" spans="59:59">
      <c r="BG338" t="s">
        <v>308</v>
      </c>
    </row>
    <row r="339" spans="59:59">
      <c r="BG339" t="s">
        <v>309</v>
      </c>
    </row>
    <row r="340" spans="59:59">
      <c r="BG340" t="s">
        <v>310</v>
      </c>
    </row>
    <row r="341" spans="59:59">
      <c r="BG341" t="s">
        <v>311</v>
      </c>
    </row>
    <row r="342" spans="59:59">
      <c r="BG342" t="s">
        <v>312</v>
      </c>
    </row>
    <row r="343" spans="59:59">
      <c r="BG343" t="s">
        <v>313</v>
      </c>
    </row>
    <row r="344" spans="59:59">
      <c r="BG344" t="s">
        <v>314</v>
      </c>
    </row>
    <row r="345" spans="59:59">
      <c r="BG345" t="s">
        <v>315</v>
      </c>
    </row>
    <row r="346" spans="59:59">
      <c r="BG346" t="s">
        <v>316</v>
      </c>
    </row>
    <row r="347" spans="59:59">
      <c r="BG347" t="s">
        <v>317</v>
      </c>
    </row>
    <row r="348" spans="59:59">
      <c r="BG348" t="s">
        <v>318</v>
      </c>
    </row>
    <row r="349" spans="59:59">
      <c r="BG349" t="s">
        <v>319</v>
      </c>
    </row>
    <row r="350" spans="59:59">
      <c r="BG350" t="s">
        <v>320</v>
      </c>
    </row>
    <row r="351" spans="59:59">
      <c r="BG351" t="s">
        <v>321</v>
      </c>
    </row>
    <row r="352" spans="59:59">
      <c r="BG352" t="s">
        <v>322</v>
      </c>
    </row>
    <row r="353" spans="59:59">
      <c r="BG353" t="s">
        <v>323</v>
      </c>
    </row>
    <row r="354" spans="59:59">
      <c r="BG354" t="s">
        <v>324</v>
      </c>
    </row>
    <row r="355" spans="59:59">
      <c r="BG355" t="s">
        <v>325</v>
      </c>
    </row>
    <row r="356" spans="59:59">
      <c r="BG356" t="s">
        <v>326</v>
      </c>
    </row>
    <row r="357" spans="59:59">
      <c r="BG357" t="s">
        <v>327</v>
      </c>
    </row>
    <row r="358" spans="59:59">
      <c r="BG358" t="s">
        <v>328</v>
      </c>
    </row>
    <row r="359" spans="59:59">
      <c r="BG359" t="s">
        <v>329</v>
      </c>
    </row>
    <row r="360" spans="59:59">
      <c r="BG360" t="s">
        <v>330</v>
      </c>
    </row>
    <row r="361" spans="59:59">
      <c r="BG361" t="s">
        <v>331</v>
      </c>
    </row>
    <row r="362" spans="59:59">
      <c r="BG362" t="s">
        <v>332</v>
      </c>
    </row>
    <row r="363" spans="59:59">
      <c r="BG363" t="s">
        <v>333</v>
      </c>
    </row>
    <row r="364" spans="59:59">
      <c r="BG364" t="s">
        <v>334</v>
      </c>
    </row>
    <row r="365" spans="59:59">
      <c r="BG365" t="s">
        <v>335</v>
      </c>
    </row>
    <row r="366" spans="59:59">
      <c r="BG366" t="s">
        <v>336</v>
      </c>
    </row>
    <row r="367" spans="59:59">
      <c r="BG367" t="s">
        <v>337</v>
      </c>
    </row>
    <row r="368" spans="59:59">
      <c r="BG368" t="s">
        <v>338</v>
      </c>
    </row>
    <row r="369" spans="59:59">
      <c r="BG369" t="s">
        <v>339</v>
      </c>
    </row>
    <row r="370" spans="59:59">
      <c r="BG370" t="s">
        <v>340</v>
      </c>
    </row>
    <row r="371" spans="59:59">
      <c r="BG371" t="s">
        <v>341</v>
      </c>
    </row>
    <row r="372" spans="59:59">
      <c r="BG372" t="s">
        <v>342</v>
      </c>
    </row>
    <row r="373" spans="59:59">
      <c r="BG373" t="s">
        <v>343</v>
      </c>
    </row>
    <row r="374" spans="59:59">
      <c r="BG374" t="s">
        <v>344</v>
      </c>
    </row>
    <row r="375" spans="59:59">
      <c r="BG375" t="s">
        <v>345</v>
      </c>
    </row>
    <row r="376" spans="59:59">
      <c r="BG376" t="s">
        <v>346</v>
      </c>
    </row>
    <row r="377" spans="59:59">
      <c r="BG377" t="s">
        <v>347</v>
      </c>
    </row>
    <row r="378" spans="59:59">
      <c r="BG378" t="s">
        <v>348</v>
      </c>
    </row>
    <row r="379" spans="59:59">
      <c r="BG379" t="s">
        <v>349</v>
      </c>
    </row>
    <row r="380" spans="59:59">
      <c r="BG380" t="s">
        <v>350</v>
      </c>
    </row>
    <row r="381" spans="59:59">
      <c r="BG381" t="s">
        <v>351</v>
      </c>
    </row>
    <row r="382" spans="59:59">
      <c r="BG382" t="s">
        <v>352</v>
      </c>
    </row>
    <row r="383" spans="59:59">
      <c r="BG383" t="s">
        <v>353</v>
      </c>
    </row>
    <row r="384" spans="59:59">
      <c r="BG384" t="s">
        <v>354</v>
      </c>
    </row>
    <row r="385" spans="59:59">
      <c r="BG385" t="s">
        <v>355</v>
      </c>
    </row>
    <row r="386" spans="59:59">
      <c r="BG386" t="s">
        <v>356</v>
      </c>
    </row>
    <row r="387" spans="59:59">
      <c r="BG387" t="s">
        <v>357</v>
      </c>
    </row>
    <row r="388" spans="59:59">
      <c r="BG388" t="s">
        <v>358</v>
      </c>
    </row>
    <row r="389" spans="59:59">
      <c r="BG389" t="s">
        <v>359</v>
      </c>
    </row>
    <row r="390" spans="59:59">
      <c r="BG390" t="s">
        <v>360</v>
      </c>
    </row>
    <row r="391" spans="59:59">
      <c r="BG391" t="s">
        <v>361</v>
      </c>
    </row>
    <row r="392" spans="59:59">
      <c r="BG392" t="s">
        <v>362</v>
      </c>
    </row>
    <row r="393" spans="59:59">
      <c r="BG393" t="s">
        <v>363</v>
      </c>
    </row>
    <row r="394" spans="59:59">
      <c r="BG394" t="s">
        <v>364</v>
      </c>
    </row>
    <row r="395" spans="59:59">
      <c r="BG395" t="s">
        <v>365</v>
      </c>
    </row>
    <row r="396" spans="59:59">
      <c r="BG396" t="s">
        <v>366</v>
      </c>
    </row>
    <row r="397" spans="59:59">
      <c r="BG397" t="s">
        <v>367</v>
      </c>
    </row>
    <row r="398" spans="59:59">
      <c r="BG398" t="s">
        <v>368</v>
      </c>
    </row>
    <row r="399" spans="59:59">
      <c r="BG399" t="s">
        <v>369</v>
      </c>
    </row>
    <row r="400" spans="59:59">
      <c r="BG400" t="s">
        <v>370</v>
      </c>
    </row>
    <row r="401" spans="59:59">
      <c r="BG401" t="s">
        <v>371</v>
      </c>
    </row>
    <row r="402" spans="59:59">
      <c r="BG402" t="s">
        <v>372</v>
      </c>
    </row>
    <row r="403" spans="59:59">
      <c r="BG403" t="s">
        <v>373</v>
      </c>
    </row>
    <row r="404" spans="59:59">
      <c r="BG404" t="s">
        <v>374</v>
      </c>
    </row>
    <row r="405" spans="59:59">
      <c r="BG405" t="s">
        <v>375</v>
      </c>
    </row>
    <row r="406" spans="59:59">
      <c r="BG406" t="s">
        <v>376</v>
      </c>
    </row>
    <row r="407" spans="59:59">
      <c r="BG407" t="s">
        <v>377</v>
      </c>
    </row>
    <row r="408" spans="59:59">
      <c r="BG408" t="s">
        <v>378</v>
      </c>
    </row>
    <row r="409" spans="59:59">
      <c r="BG409" t="s">
        <v>379</v>
      </c>
    </row>
    <row r="410" spans="59:59">
      <c r="BG410" t="s">
        <v>380</v>
      </c>
    </row>
    <row r="411" spans="59:59">
      <c r="BG411" t="s">
        <v>381</v>
      </c>
    </row>
    <row r="412" spans="59:59">
      <c r="BG412" t="s">
        <v>382</v>
      </c>
    </row>
    <row r="413" spans="59:59">
      <c r="BG413" t="s">
        <v>383</v>
      </c>
    </row>
    <row r="414" spans="59:59">
      <c r="BG414" t="s">
        <v>384</v>
      </c>
    </row>
    <row r="415" spans="59:59">
      <c r="BG415" t="s">
        <v>385</v>
      </c>
    </row>
    <row r="416" spans="59:59">
      <c r="BG416" t="s">
        <v>386</v>
      </c>
    </row>
    <row r="417" spans="59:59">
      <c r="BG417" t="s">
        <v>387</v>
      </c>
    </row>
    <row r="418" spans="59:59">
      <c r="BG418" t="s">
        <v>388</v>
      </c>
    </row>
    <row r="419" spans="59:59">
      <c r="BG419" t="s">
        <v>389</v>
      </c>
    </row>
    <row r="420" spans="59:59">
      <c r="BG420" t="s">
        <v>390</v>
      </c>
    </row>
    <row r="421" spans="59:59">
      <c r="BG421" t="s">
        <v>391</v>
      </c>
    </row>
    <row r="422" spans="59:59">
      <c r="BG422" t="s">
        <v>392</v>
      </c>
    </row>
    <row r="423" spans="59:59">
      <c r="BG423" t="s">
        <v>393</v>
      </c>
    </row>
    <row r="424" spans="59:59">
      <c r="BG424" t="s">
        <v>394</v>
      </c>
    </row>
    <row r="425" spans="59:59">
      <c r="BG425" t="s">
        <v>395</v>
      </c>
    </row>
    <row r="426" spans="59:59">
      <c r="BG426" t="s">
        <v>396</v>
      </c>
    </row>
    <row r="427" spans="59:59">
      <c r="BG427" t="s">
        <v>397</v>
      </c>
    </row>
    <row r="428" spans="59:59">
      <c r="BG428" t="s">
        <v>398</v>
      </c>
    </row>
    <row r="429" spans="59:59">
      <c r="BG429" t="s">
        <v>399</v>
      </c>
    </row>
    <row r="430" spans="59:59">
      <c r="BG430" t="s">
        <v>400</v>
      </c>
    </row>
    <row r="431" spans="59:59">
      <c r="BG431" t="s">
        <v>401</v>
      </c>
    </row>
    <row r="432" spans="59:59">
      <c r="BG432" t="s">
        <v>402</v>
      </c>
    </row>
    <row r="433" spans="59:59">
      <c r="BG433" t="s">
        <v>403</v>
      </c>
    </row>
    <row r="434" spans="59:59">
      <c r="BG434" t="s">
        <v>404</v>
      </c>
    </row>
    <row r="435" spans="59:59">
      <c r="BG435" t="s">
        <v>405</v>
      </c>
    </row>
    <row r="436" spans="59:59">
      <c r="BG436" t="s">
        <v>406</v>
      </c>
    </row>
    <row r="437" spans="59:59">
      <c r="BG437" t="s">
        <v>407</v>
      </c>
    </row>
    <row r="438" spans="59:59">
      <c r="BG438" t="s">
        <v>408</v>
      </c>
    </row>
    <row r="439" spans="59:59">
      <c r="BG439" t="s">
        <v>409</v>
      </c>
    </row>
    <row r="440" spans="59:59">
      <c r="BG440" t="s">
        <v>410</v>
      </c>
    </row>
    <row r="441" spans="59:59">
      <c r="BG441" t="s">
        <v>411</v>
      </c>
    </row>
    <row r="442" spans="59:59">
      <c r="BG442" t="s">
        <v>412</v>
      </c>
    </row>
    <row r="443" spans="59:59">
      <c r="BG443" t="s">
        <v>413</v>
      </c>
    </row>
    <row r="444" spans="59:59">
      <c r="BG444" t="s">
        <v>414</v>
      </c>
    </row>
    <row r="445" spans="59:59">
      <c r="BG445" t="s">
        <v>415</v>
      </c>
    </row>
    <row r="446" spans="59:59">
      <c r="BG446" t="s">
        <v>416</v>
      </c>
    </row>
    <row r="447" spans="59:59">
      <c r="BG447" t="s">
        <v>417</v>
      </c>
    </row>
    <row r="448" spans="59:59">
      <c r="BG448" t="s">
        <v>418</v>
      </c>
    </row>
    <row r="449" spans="59:59">
      <c r="BG449" t="s">
        <v>419</v>
      </c>
    </row>
    <row r="450" spans="59:59">
      <c r="BG450" t="s">
        <v>420</v>
      </c>
    </row>
    <row r="451" spans="59:59">
      <c r="BG451" t="s">
        <v>421</v>
      </c>
    </row>
    <row r="452" spans="59:59">
      <c r="BG452" t="s">
        <v>422</v>
      </c>
    </row>
    <row r="453" spans="59:59">
      <c r="BG453" t="s">
        <v>423</v>
      </c>
    </row>
    <row r="454" spans="59:59">
      <c r="BG454" t="s">
        <v>424</v>
      </c>
    </row>
    <row r="455" spans="59:59">
      <c r="BG455" t="s">
        <v>425</v>
      </c>
    </row>
    <row r="456" spans="59:59">
      <c r="BG456" t="s">
        <v>426</v>
      </c>
    </row>
    <row r="457" spans="59:59">
      <c r="BG457" t="s">
        <v>427</v>
      </c>
    </row>
    <row r="458" spans="59:59">
      <c r="BG458" t="s">
        <v>428</v>
      </c>
    </row>
    <row r="459" spans="59:59">
      <c r="BG459" t="s">
        <v>429</v>
      </c>
    </row>
    <row r="460" spans="59:59">
      <c r="BG460" t="s">
        <v>430</v>
      </c>
    </row>
    <row r="461" spans="59:59">
      <c r="BG461" t="s">
        <v>431</v>
      </c>
    </row>
    <row r="462" spans="59:59">
      <c r="BG462" t="s">
        <v>432</v>
      </c>
    </row>
    <row r="463" spans="59:59">
      <c r="BG463" t="s">
        <v>433</v>
      </c>
    </row>
    <row r="464" spans="59:59">
      <c r="BG464" t="s">
        <v>434</v>
      </c>
    </row>
    <row r="465" spans="59:59">
      <c r="BG465" t="s">
        <v>435</v>
      </c>
    </row>
    <row r="466" spans="59:59">
      <c r="BG466" t="s">
        <v>436</v>
      </c>
    </row>
    <row r="467" spans="59:59">
      <c r="BG467" t="s">
        <v>437</v>
      </c>
    </row>
    <row r="468" spans="59:59">
      <c r="BG468" t="s">
        <v>438</v>
      </c>
    </row>
    <row r="469" spans="59:59">
      <c r="BG469" t="s">
        <v>439</v>
      </c>
    </row>
    <row r="470" spans="59:59">
      <c r="BG470" t="s">
        <v>440</v>
      </c>
    </row>
    <row r="471" spans="59:59">
      <c r="BG471" t="s">
        <v>441</v>
      </c>
    </row>
    <row r="472" spans="59:59">
      <c r="BG472" t="s">
        <v>442</v>
      </c>
    </row>
    <row r="473" spans="59:59">
      <c r="BG473" t="s">
        <v>443</v>
      </c>
    </row>
    <row r="474" spans="59:59">
      <c r="BG474" t="s">
        <v>444</v>
      </c>
    </row>
    <row r="475" spans="59:59">
      <c r="BG475" t="s">
        <v>445</v>
      </c>
    </row>
    <row r="476" spans="59:59">
      <c r="BG476" t="s">
        <v>446</v>
      </c>
    </row>
    <row r="477" spans="59:59">
      <c r="BG477" t="s">
        <v>447</v>
      </c>
    </row>
    <row r="478" spans="59:59">
      <c r="BG478" t="s">
        <v>448</v>
      </c>
    </row>
    <row r="479" spans="59:59">
      <c r="BG479" t="s">
        <v>449</v>
      </c>
    </row>
    <row r="480" spans="59:59">
      <c r="BG480" t="s">
        <v>450</v>
      </c>
    </row>
    <row r="481" spans="59:59">
      <c r="BG481" t="s">
        <v>451</v>
      </c>
    </row>
    <row r="482" spans="59:59">
      <c r="BG482" t="s">
        <v>452</v>
      </c>
    </row>
    <row r="483" spans="59:59">
      <c r="BG483" t="s">
        <v>453</v>
      </c>
    </row>
    <row r="484" spans="59:59">
      <c r="BG484" t="s">
        <v>454</v>
      </c>
    </row>
    <row r="485" spans="59:59">
      <c r="BG485" t="s">
        <v>455</v>
      </c>
    </row>
    <row r="486" spans="59:59">
      <c r="BG486" t="s">
        <v>456</v>
      </c>
    </row>
    <row r="487" spans="59:59">
      <c r="BG487" t="s">
        <v>457</v>
      </c>
    </row>
    <row r="488" spans="59:59">
      <c r="BG488" t="s">
        <v>458</v>
      </c>
    </row>
    <row r="489" spans="59:59">
      <c r="BG489" t="s">
        <v>459</v>
      </c>
    </row>
    <row r="490" spans="59:59">
      <c r="BG490" t="s">
        <v>460</v>
      </c>
    </row>
    <row r="491" spans="59:59">
      <c r="BG491" t="s">
        <v>461</v>
      </c>
    </row>
    <row r="492" spans="59:59">
      <c r="BG492" t="s">
        <v>462</v>
      </c>
    </row>
    <row r="493" spans="59:59">
      <c r="BG493" t="s">
        <v>463</v>
      </c>
    </row>
    <row r="494" spans="59:59">
      <c r="BG494" t="s">
        <v>464</v>
      </c>
    </row>
    <row r="495" spans="59:59">
      <c r="BG495" t="s">
        <v>465</v>
      </c>
    </row>
    <row r="496" spans="59:59">
      <c r="BG496" t="s">
        <v>466</v>
      </c>
    </row>
    <row r="497" spans="59:59">
      <c r="BG497" t="s">
        <v>467</v>
      </c>
    </row>
    <row r="498" spans="59:59">
      <c r="BG498" t="s">
        <v>468</v>
      </c>
    </row>
    <row r="499" spans="59:59">
      <c r="BG499" t="s">
        <v>469</v>
      </c>
    </row>
    <row r="500" spans="59:59">
      <c r="BG500" t="s">
        <v>470</v>
      </c>
    </row>
    <row r="501" spans="59:59">
      <c r="BG501" t="s">
        <v>471</v>
      </c>
    </row>
    <row r="502" spans="59:59">
      <c r="BG502" t="s">
        <v>472</v>
      </c>
    </row>
    <row r="680" spans="29:40">
      <c r="AC680" s="119"/>
      <c r="AD680" s="119"/>
      <c r="AE680" s="120"/>
      <c r="AF680" s="119"/>
      <c r="AG680" s="119"/>
      <c r="AH680" s="120"/>
      <c r="AI680" s="121"/>
      <c r="AJ680" s="121"/>
      <c r="AK680" s="121"/>
      <c r="AL680" s="121"/>
      <c r="AM680" s="122"/>
      <c r="AN680" s="121"/>
    </row>
    <row r="681" spans="29:40">
      <c r="AC681" s="119"/>
      <c r="AD681" s="119"/>
      <c r="AE681" s="120"/>
      <c r="AF681" s="119"/>
      <c r="AG681" s="119"/>
      <c r="AH681" s="120"/>
      <c r="AI681" s="121"/>
      <c r="AJ681" s="121"/>
      <c r="AK681" s="121"/>
      <c r="AL681" s="121"/>
      <c r="AM681" s="122"/>
      <c r="AN681" s="121"/>
    </row>
    <row r="682" spans="29:40">
      <c r="AC682" s="119"/>
      <c r="AD682" s="119"/>
      <c r="AE682" s="120"/>
      <c r="AF682" s="119"/>
      <c r="AG682" s="119"/>
      <c r="AH682" s="120"/>
      <c r="AI682" s="121"/>
      <c r="AJ682" s="121"/>
      <c r="AK682" s="121"/>
      <c r="AL682" s="121"/>
      <c r="AM682" s="122"/>
      <c r="AN682" s="121"/>
    </row>
    <row r="683" spans="29:40">
      <c r="AC683" s="119"/>
      <c r="AD683" s="119"/>
      <c r="AE683" s="120"/>
      <c r="AF683" s="119"/>
      <c r="AG683" s="119"/>
      <c r="AH683" s="120"/>
      <c r="AI683" s="121"/>
      <c r="AJ683" s="121"/>
      <c r="AK683" s="121"/>
      <c r="AL683" s="121"/>
      <c r="AM683" s="122"/>
      <c r="AN683" s="121"/>
    </row>
    <row r="684" spans="29:40">
      <c r="AC684" s="119"/>
      <c r="AD684" s="119"/>
      <c r="AE684" s="120"/>
      <c r="AF684" s="119"/>
      <c r="AG684" s="119"/>
      <c r="AH684" s="120"/>
      <c r="AI684" s="121"/>
      <c r="AJ684" s="121"/>
      <c r="AK684" s="121"/>
      <c r="AL684" s="121"/>
      <c r="AM684" s="122"/>
      <c r="AN684" s="121"/>
    </row>
    <row r="685" spans="29:40">
      <c r="AC685" s="119"/>
      <c r="AD685" s="119"/>
      <c r="AE685" s="120"/>
      <c r="AF685" s="119"/>
      <c r="AG685" s="119"/>
      <c r="AH685" s="120"/>
      <c r="AI685" s="121"/>
      <c r="AJ685" s="121"/>
      <c r="AK685" s="121"/>
      <c r="AL685" s="121"/>
      <c r="AM685" s="122"/>
      <c r="AN685" s="121"/>
    </row>
    <row r="686" spans="29:40">
      <c r="AC686" s="119"/>
      <c r="AD686" s="119"/>
      <c r="AE686" s="120"/>
      <c r="AF686" s="119"/>
      <c r="AG686" s="119"/>
      <c r="AH686" s="120"/>
      <c r="AI686" s="121"/>
      <c r="AJ686" s="121"/>
      <c r="AK686" s="121"/>
      <c r="AL686" s="121"/>
      <c r="AM686" s="122"/>
      <c r="AN686" s="121"/>
    </row>
    <row r="687" spans="29:40">
      <c r="AC687" s="119"/>
      <c r="AD687" s="119"/>
      <c r="AE687" s="120"/>
      <c r="AF687" s="119"/>
      <c r="AG687" s="119"/>
      <c r="AH687" s="120"/>
      <c r="AI687" s="121"/>
      <c r="AJ687" s="121"/>
      <c r="AK687" s="121"/>
      <c r="AL687" s="121"/>
      <c r="AM687" s="122"/>
      <c r="AN687" s="121"/>
    </row>
    <row r="688" spans="29:40">
      <c r="AC688" s="119"/>
      <c r="AD688" s="119"/>
      <c r="AE688" s="120"/>
      <c r="AF688" s="119"/>
      <c r="AG688" s="119"/>
      <c r="AH688" s="120"/>
      <c r="AI688" s="121"/>
      <c r="AJ688" s="121"/>
      <c r="AK688" s="121"/>
      <c r="AL688" s="121"/>
      <c r="AM688" s="122"/>
      <c r="AN688" s="121"/>
    </row>
    <row r="689" spans="29:40">
      <c r="AC689" s="119"/>
      <c r="AD689" s="119"/>
      <c r="AE689" s="120"/>
      <c r="AF689" s="119"/>
      <c r="AG689" s="119"/>
      <c r="AH689" s="120"/>
      <c r="AI689" s="121"/>
      <c r="AJ689" s="121"/>
      <c r="AK689" s="121"/>
      <c r="AL689" s="121"/>
      <c r="AM689" s="122"/>
      <c r="AN689" s="121"/>
    </row>
    <row r="690" spans="29:40">
      <c r="AC690" s="119"/>
      <c r="AD690" s="119"/>
      <c r="AE690" s="120"/>
      <c r="AF690" s="119"/>
      <c r="AG690" s="119"/>
      <c r="AH690" s="120"/>
      <c r="AI690" s="121"/>
      <c r="AJ690" s="121"/>
      <c r="AK690" s="121"/>
      <c r="AL690" s="121"/>
      <c r="AM690" s="122"/>
      <c r="AN690" s="121"/>
    </row>
    <row r="691" spans="29:40">
      <c r="AC691" s="119"/>
      <c r="AD691" s="119"/>
      <c r="AE691" s="120"/>
      <c r="AF691" s="119"/>
      <c r="AG691" s="119"/>
      <c r="AH691" s="120"/>
      <c r="AI691" s="121"/>
      <c r="AJ691" s="121"/>
      <c r="AK691" s="121"/>
      <c r="AL691" s="121"/>
      <c r="AM691" s="122"/>
      <c r="AN691" s="121"/>
    </row>
    <row r="692" spans="29:40">
      <c r="AC692" s="119"/>
      <c r="AD692" s="119"/>
      <c r="AE692" s="120"/>
      <c r="AF692" s="119"/>
      <c r="AG692" s="119"/>
      <c r="AH692" s="120"/>
      <c r="AI692" s="121"/>
      <c r="AJ692" s="121"/>
      <c r="AK692" s="121"/>
      <c r="AL692" s="121"/>
      <c r="AM692" s="122"/>
      <c r="AN692" s="121"/>
    </row>
    <row r="693" spans="29:40">
      <c r="AC693" s="119"/>
      <c r="AD693" s="119"/>
      <c r="AE693" s="120"/>
      <c r="AF693" s="119"/>
      <c r="AG693" s="119"/>
      <c r="AH693" s="120"/>
      <c r="AI693" s="121"/>
      <c r="AJ693" s="121"/>
      <c r="AK693" s="121"/>
      <c r="AL693" s="121"/>
      <c r="AM693" s="122"/>
      <c r="AN693" s="121"/>
    </row>
    <row r="694" spans="29:40">
      <c r="AC694" s="119"/>
      <c r="AD694" s="119"/>
      <c r="AE694" s="120"/>
      <c r="AF694" s="119"/>
      <c r="AG694" s="119"/>
      <c r="AH694" s="120"/>
      <c r="AI694" s="121"/>
      <c r="AJ694" s="121"/>
      <c r="AK694" s="121"/>
      <c r="AL694" s="121"/>
      <c r="AM694" s="122"/>
      <c r="AN694" s="121"/>
    </row>
    <row r="695" spans="29:40">
      <c r="AC695" s="119"/>
      <c r="AD695" s="119"/>
      <c r="AE695" s="120"/>
      <c r="AF695" s="119"/>
      <c r="AG695" s="119"/>
      <c r="AH695" s="120"/>
      <c r="AI695" s="121"/>
      <c r="AJ695" s="121"/>
      <c r="AK695" s="121"/>
      <c r="AL695" s="121"/>
      <c r="AM695" s="122"/>
      <c r="AN695" s="121"/>
    </row>
    <row r="696" spans="29:40">
      <c r="AC696" s="119"/>
      <c r="AD696" s="119"/>
      <c r="AE696" s="120"/>
      <c r="AF696" s="119"/>
      <c r="AG696" s="119"/>
      <c r="AH696" s="120"/>
      <c r="AI696" s="121"/>
      <c r="AJ696" s="121"/>
      <c r="AK696" s="121"/>
      <c r="AL696" s="121"/>
      <c r="AM696" s="122"/>
      <c r="AN696" s="121"/>
    </row>
    <row r="697" spans="29:40">
      <c r="AC697" s="119"/>
      <c r="AD697" s="119"/>
      <c r="AE697" s="120"/>
      <c r="AF697" s="119"/>
      <c r="AG697" s="119"/>
      <c r="AH697" s="120"/>
      <c r="AI697" s="121"/>
      <c r="AJ697" s="121"/>
      <c r="AK697" s="121"/>
      <c r="AL697" s="121"/>
      <c r="AM697" s="122"/>
      <c r="AN697" s="121"/>
    </row>
    <row r="698" spans="29:40">
      <c r="AC698" s="119"/>
      <c r="AD698" s="119"/>
      <c r="AE698" s="120"/>
      <c r="AF698" s="119"/>
      <c r="AG698" s="119"/>
      <c r="AH698" s="120"/>
      <c r="AI698" s="121"/>
      <c r="AJ698" s="121"/>
      <c r="AK698" s="121"/>
      <c r="AL698" s="121"/>
      <c r="AM698" s="122"/>
      <c r="AN698" s="121"/>
    </row>
    <row r="699" spans="29:40">
      <c r="AC699" s="119"/>
      <c r="AD699" s="119"/>
      <c r="AE699" s="120"/>
      <c r="AF699" s="119"/>
      <c r="AG699" s="119"/>
      <c r="AH699" s="120"/>
      <c r="AI699" s="121"/>
      <c r="AJ699" s="121"/>
      <c r="AK699" s="121"/>
      <c r="AL699" s="121"/>
      <c r="AM699" s="122"/>
      <c r="AN699" s="121"/>
    </row>
    <row r="700" spans="29:40">
      <c r="AC700" s="119"/>
      <c r="AD700" s="119"/>
      <c r="AE700" s="120"/>
      <c r="AF700" s="119"/>
      <c r="AG700" s="119"/>
      <c r="AH700" s="120"/>
      <c r="AI700" s="121"/>
      <c r="AJ700" s="121"/>
      <c r="AK700" s="121"/>
      <c r="AL700" s="121"/>
      <c r="AM700" s="122"/>
      <c r="AN700" s="121"/>
    </row>
    <row r="701" spans="29:40">
      <c r="AC701" s="119"/>
      <c r="AD701" s="119"/>
      <c r="AE701" s="120"/>
      <c r="AF701" s="119"/>
      <c r="AG701" s="119"/>
      <c r="AH701" s="120"/>
      <c r="AI701" s="121"/>
      <c r="AJ701" s="121"/>
      <c r="AK701" s="121"/>
      <c r="AL701" s="121"/>
      <c r="AM701" s="122"/>
      <c r="AN701" s="121"/>
    </row>
    <row r="702" spans="29:40">
      <c r="AC702" s="119"/>
      <c r="AD702" s="119"/>
      <c r="AE702" s="120"/>
      <c r="AF702" s="119"/>
      <c r="AG702" s="119"/>
      <c r="AH702" s="120"/>
      <c r="AI702" s="121"/>
      <c r="AJ702" s="121"/>
      <c r="AK702" s="121"/>
      <c r="AL702" s="121"/>
      <c r="AM702" s="122"/>
      <c r="AN702" s="121"/>
    </row>
    <row r="703" spans="29:40">
      <c r="AC703" s="119"/>
      <c r="AD703" s="119"/>
      <c r="AE703" s="120"/>
      <c r="AF703" s="119"/>
      <c r="AG703" s="119"/>
      <c r="AH703" s="120"/>
      <c r="AI703" s="121"/>
      <c r="AJ703" s="121"/>
      <c r="AK703" s="121"/>
      <c r="AL703" s="121"/>
      <c r="AM703" s="122"/>
      <c r="AN703" s="121"/>
    </row>
    <row r="704" spans="29:40">
      <c r="AC704" s="119"/>
      <c r="AD704" s="119"/>
      <c r="AE704" s="120"/>
      <c r="AF704" s="119"/>
      <c r="AG704" s="119"/>
      <c r="AH704" s="120"/>
      <c r="AI704" s="121"/>
      <c r="AJ704" s="121"/>
      <c r="AK704" s="121"/>
      <c r="AL704" s="121"/>
      <c r="AM704" s="122"/>
      <c r="AN704" s="121"/>
    </row>
    <row r="705" spans="29:40">
      <c r="AC705" s="119"/>
      <c r="AD705" s="119"/>
      <c r="AE705" s="120"/>
      <c r="AF705" s="119"/>
      <c r="AG705" s="119"/>
      <c r="AH705" s="120"/>
      <c r="AI705" s="121"/>
      <c r="AJ705" s="121"/>
      <c r="AK705" s="121"/>
      <c r="AL705" s="121"/>
      <c r="AM705" s="122"/>
      <c r="AN705" s="121"/>
    </row>
    <row r="706" spans="29:40">
      <c r="AC706" s="119"/>
      <c r="AD706" s="119"/>
      <c r="AE706" s="120"/>
      <c r="AF706" s="119"/>
      <c r="AG706" s="119"/>
      <c r="AH706" s="120"/>
      <c r="AI706" s="121"/>
      <c r="AJ706" s="121"/>
      <c r="AK706" s="121"/>
      <c r="AL706" s="121"/>
      <c r="AM706" s="122"/>
      <c r="AN706" s="121"/>
    </row>
    <row r="707" spans="29:40">
      <c r="AC707" s="119"/>
      <c r="AD707" s="119"/>
      <c r="AE707" s="120"/>
      <c r="AF707" s="119"/>
      <c r="AG707" s="119"/>
      <c r="AH707" s="120"/>
      <c r="AI707" s="121"/>
      <c r="AJ707" s="121"/>
      <c r="AK707" s="121"/>
      <c r="AL707" s="121"/>
      <c r="AM707" s="122"/>
      <c r="AN707" s="121"/>
    </row>
    <row r="708" spans="29:40">
      <c r="AC708" s="119"/>
      <c r="AD708" s="119"/>
      <c r="AE708" s="120"/>
      <c r="AF708" s="119"/>
      <c r="AG708" s="119"/>
      <c r="AH708" s="120"/>
      <c r="AI708" s="121"/>
      <c r="AJ708" s="121"/>
      <c r="AK708" s="121"/>
      <c r="AL708" s="121"/>
      <c r="AM708" s="122"/>
      <c r="AN708" s="121"/>
    </row>
    <row r="709" spans="29:40">
      <c r="AC709" s="119"/>
      <c r="AD709" s="119"/>
      <c r="AE709" s="120"/>
      <c r="AF709" s="119"/>
      <c r="AG709" s="119"/>
      <c r="AH709" s="120"/>
      <c r="AI709" s="121"/>
      <c r="AJ709" s="121"/>
      <c r="AK709" s="121"/>
      <c r="AL709" s="121"/>
      <c r="AM709" s="122"/>
      <c r="AN709" s="121"/>
    </row>
    <row r="710" spans="29:40">
      <c r="AC710" s="119"/>
      <c r="AD710" s="119"/>
      <c r="AE710" s="120"/>
      <c r="AF710" s="119"/>
      <c r="AG710" s="119"/>
      <c r="AH710" s="120"/>
      <c r="AI710" s="121"/>
      <c r="AJ710" s="121"/>
      <c r="AK710" s="121"/>
      <c r="AL710" s="121"/>
      <c r="AM710" s="122"/>
      <c r="AN710" s="121"/>
    </row>
    <row r="711" spans="29:40">
      <c r="AC711" s="119"/>
      <c r="AD711" s="119"/>
      <c r="AE711" s="120"/>
      <c r="AF711" s="119"/>
      <c r="AG711" s="119"/>
      <c r="AH711" s="120"/>
      <c r="AI711" s="121"/>
      <c r="AJ711" s="121"/>
      <c r="AK711" s="121"/>
      <c r="AL711" s="121"/>
      <c r="AM711" s="122"/>
      <c r="AN711" s="121"/>
    </row>
    <row r="712" spans="29:40">
      <c r="AC712" s="119"/>
      <c r="AD712" s="119"/>
      <c r="AE712" s="120"/>
      <c r="AF712" s="119"/>
      <c r="AG712" s="119"/>
      <c r="AH712" s="120"/>
      <c r="AI712" s="121"/>
      <c r="AJ712" s="121"/>
      <c r="AK712" s="121"/>
      <c r="AL712" s="121"/>
      <c r="AM712" s="122"/>
      <c r="AN712" s="121"/>
    </row>
    <row r="713" spans="29:40">
      <c r="AC713" s="119"/>
      <c r="AD713" s="119"/>
      <c r="AE713" s="120"/>
      <c r="AF713" s="119"/>
      <c r="AG713" s="119"/>
      <c r="AH713" s="120"/>
      <c r="AI713" s="121"/>
      <c r="AJ713" s="121"/>
      <c r="AK713" s="121"/>
      <c r="AL713" s="121"/>
      <c r="AM713" s="122"/>
      <c r="AN713" s="121"/>
    </row>
    <row r="714" spans="29:40">
      <c r="AC714" s="119"/>
      <c r="AD714" s="119"/>
      <c r="AE714" s="120"/>
      <c r="AF714" s="119"/>
      <c r="AG714" s="119"/>
      <c r="AH714" s="120"/>
      <c r="AI714" s="121"/>
      <c r="AJ714" s="121"/>
      <c r="AK714" s="121"/>
      <c r="AL714" s="121"/>
      <c r="AM714" s="122"/>
      <c r="AN714" s="121"/>
    </row>
    <row r="715" spans="29:40">
      <c r="AC715" s="119"/>
      <c r="AD715" s="119"/>
      <c r="AE715" s="120"/>
      <c r="AF715" s="119"/>
      <c r="AG715" s="119"/>
      <c r="AH715" s="120"/>
      <c r="AI715" s="121"/>
      <c r="AJ715" s="121"/>
      <c r="AK715" s="121"/>
      <c r="AL715" s="121"/>
      <c r="AM715" s="122"/>
      <c r="AN715" s="121"/>
    </row>
    <row r="716" spans="29:40">
      <c r="AC716" s="119"/>
      <c r="AD716" s="119"/>
      <c r="AE716" s="120"/>
      <c r="AF716" s="119"/>
      <c r="AG716" s="119"/>
      <c r="AH716" s="120"/>
      <c r="AI716" s="121"/>
      <c r="AJ716" s="121"/>
      <c r="AK716" s="121"/>
      <c r="AL716" s="121"/>
      <c r="AM716" s="122"/>
      <c r="AN716" s="121"/>
    </row>
    <row r="717" spans="29:40">
      <c r="AC717" s="119"/>
      <c r="AD717" s="119"/>
      <c r="AE717" s="120"/>
      <c r="AF717" s="119"/>
      <c r="AG717" s="119"/>
      <c r="AH717" s="120"/>
      <c r="AI717" s="121"/>
      <c r="AJ717" s="121"/>
      <c r="AK717" s="121"/>
      <c r="AL717" s="121"/>
      <c r="AM717" s="122"/>
      <c r="AN717" s="121"/>
    </row>
    <row r="718" spans="29:40">
      <c r="AC718" s="119"/>
      <c r="AD718" s="119"/>
      <c r="AE718" s="120"/>
      <c r="AF718" s="119"/>
      <c r="AG718" s="119"/>
      <c r="AH718" s="120"/>
      <c r="AI718" s="121"/>
      <c r="AJ718" s="121"/>
      <c r="AK718" s="121"/>
      <c r="AL718" s="121"/>
      <c r="AM718" s="122"/>
      <c r="AN718" s="121"/>
    </row>
    <row r="719" spans="29:40">
      <c r="AC719" s="119"/>
      <c r="AD719" s="119"/>
      <c r="AE719" s="120"/>
      <c r="AF719" s="119"/>
      <c r="AG719" s="119"/>
      <c r="AH719" s="120"/>
      <c r="AI719" s="121"/>
      <c r="AJ719" s="121"/>
      <c r="AK719" s="121"/>
      <c r="AL719" s="121"/>
      <c r="AM719" s="122"/>
      <c r="AN719" s="121"/>
    </row>
    <row r="720" spans="29:40">
      <c r="AC720" s="119"/>
      <c r="AD720" s="119"/>
      <c r="AE720" s="120"/>
      <c r="AF720" s="119"/>
      <c r="AG720" s="119"/>
      <c r="AH720" s="120"/>
      <c r="AI720" s="121"/>
      <c r="AJ720" s="121"/>
      <c r="AK720" s="121"/>
      <c r="AL720" s="121"/>
      <c r="AM720" s="122"/>
      <c r="AN720" s="121"/>
    </row>
    <row r="721" spans="29:40">
      <c r="AC721" s="119"/>
      <c r="AD721" s="119"/>
      <c r="AE721" s="120"/>
      <c r="AF721" s="119"/>
      <c r="AG721" s="119"/>
      <c r="AH721" s="120"/>
      <c r="AI721" s="121"/>
      <c r="AJ721" s="121"/>
      <c r="AK721" s="121"/>
      <c r="AL721" s="121"/>
      <c r="AM721" s="122"/>
      <c r="AN721" s="121"/>
    </row>
    <row r="722" spans="29:40">
      <c r="AC722" s="119"/>
      <c r="AD722" s="119"/>
      <c r="AE722" s="120"/>
      <c r="AF722" s="119"/>
      <c r="AG722" s="119"/>
      <c r="AH722" s="120"/>
      <c r="AI722" s="121"/>
      <c r="AJ722" s="121"/>
      <c r="AK722" s="121"/>
      <c r="AL722" s="121"/>
      <c r="AM722" s="122"/>
      <c r="AN722" s="121"/>
    </row>
    <row r="723" spans="29:40">
      <c r="AC723" s="119"/>
      <c r="AD723" s="119"/>
      <c r="AE723" s="120"/>
      <c r="AF723" s="119"/>
      <c r="AG723" s="119"/>
      <c r="AH723" s="120"/>
      <c r="AI723" s="121"/>
      <c r="AJ723" s="121"/>
      <c r="AK723" s="121"/>
      <c r="AL723" s="121"/>
      <c r="AM723" s="122"/>
      <c r="AN723" s="121"/>
    </row>
    <row r="724" spans="29:40">
      <c r="AC724" s="119"/>
      <c r="AD724" s="119"/>
      <c r="AE724" s="120"/>
      <c r="AF724" s="119"/>
      <c r="AG724" s="119"/>
      <c r="AH724" s="120"/>
      <c r="AI724" s="121"/>
      <c r="AJ724" s="121"/>
      <c r="AK724" s="121"/>
      <c r="AL724" s="121"/>
      <c r="AM724" s="122"/>
      <c r="AN724" s="121"/>
    </row>
    <row r="725" spans="29:40">
      <c r="AC725" s="119"/>
      <c r="AD725" s="119"/>
      <c r="AE725" s="120"/>
      <c r="AF725" s="119"/>
      <c r="AG725" s="119"/>
      <c r="AH725" s="120"/>
      <c r="AI725" s="121"/>
      <c r="AJ725" s="121"/>
      <c r="AK725" s="121"/>
      <c r="AL725" s="121"/>
      <c r="AM725" s="122"/>
      <c r="AN725" s="121"/>
    </row>
    <row r="726" spans="29:40">
      <c r="AC726" s="119"/>
      <c r="AD726" s="119"/>
      <c r="AE726" s="120"/>
      <c r="AF726" s="119"/>
      <c r="AG726" s="119"/>
      <c r="AH726" s="120"/>
      <c r="AI726" s="121"/>
      <c r="AJ726" s="121"/>
      <c r="AK726" s="121"/>
      <c r="AL726" s="121"/>
      <c r="AM726" s="122"/>
      <c r="AN726" s="121"/>
    </row>
    <row r="727" spans="29:40">
      <c r="AC727" s="119"/>
      <c r="AD727" s="119"/>
      <c r="AE727" s="120"/>
      <c r="AF727" s="119"/>
      <c r="AG727" s="119"/>
      <c r="AH727" s="120"/>
      <c r="AI727" s="121"/>
      <c r="AJ727" s="121"/>
      <c r="AK727" s="121"/>
      <c r="AL727" s="121"/>
      <c r="AM727" s="122"/>
      <c r="AN727" s="121"/>
    </row>
    <row r="728" spans="29:40">
      <c r="AC728" s="119"/>
      <c r="AD728" s="119"/>
      <c r="AE728" s="120"/>
      <c r="AF728" s="119"/>
      <c r="AG728" s="119"/>
      <c r="AH728" s="120"/>
      <c r="AI728" s="121"/>
      <c r="AJ728" s="121"/>
      <c r="AK728" s="121"/>
      <c r="AL728" s="121"/>
      <c r="AM728" s="122"/>
      <c r="AN728" s="121"/>
    </row>
    <row r="729" spans="29:40">
      <c r="AC729" s="119"/>
      <c r="AD729" s="119"/>
      <c r="AE729" s="120"/>
      <c r="AF729" s="119"/>
      <c r="AG729" s="119"/>
      <c r="AH729" s="120"/>
      <c r="AI729" s="121"/>
      <c r="AJ729" s="121"/>
      <c r="AK729" s="121"/>
      <c r="AL729" s="121"/>
      <c r="AM729" s="122"/>
      <c r="AN729" s="121"/>
    </row>
    <row r="730" spans="29:40">
      <c r="AC730" s="119"/>
      <c r="AD730" s="119"/>
      <c r="AE730" s="120"/>
      <c r="AF730" s="119"/>
      <c r="AG730" s="119"/>
      <c r="AH730" s="120"/>
      <c r="AI730" s="121"/>
      <c r="AJ730" s="121"/>
      <c r="AK730" s="121"/>
      <c r="AL730" s="121"/>
      <c r="AM730" s="122"/>
      <c r="AN730" s="121"/>
    </row>
    <row r="731" spans="29:40">
      <c r="AC731" s="119"/>
      <c r="AD731" s="119"/>
      <c r="AE731" s="120"/>
      <c r="AF731" s="119"/>
      <c r="AG731" s="119"/>
      <c r="AH731" s="120"/>
      <c r="AI731" s="121"/>
      <c r="AJ731" s="121"/>
      <c r="AK731" s="121"/>
      <c r="AL731" s="121"/>
      <c r="AM731" s="122"/>
      <c r="AN731" s="121"/>
    </row>
    <row r="732" spans="29:40">
      <c r="AC732" s="119"/>
      <c r="AD732" s="119"/>
      <c r="AE732" s="120"/>
      <c r="AF732" s="119"/>
      <c r="AG732" s="119"/>
      <c r="AH732" s="120"/>
      <c r="AI732" s="121"/>
      <c r="AJ732" s="121"/>
      <c r="AK732" s="121"/>
      <c r="AL732" s="121"/>
      <c r="AM732" s="122"/>
      <c r="AN732" s="121"/>
    </row>
    <row r="733" spans="29:40">
      <c r="AC733" s="119"/>
      <c r="AD733" s="119"/>
      <c r="AE733" s="120"/>
      <c r="AF733" s="119"/>
      <c r="AG733" s="119"/>
      <c r="AH733" s="120"/>
      <c r="AI733" s="121"/>
      <c r="AJ733" s="121"/>
      <c r="AK733" s="121"/>
      <c r="AL733" s="121"/>
      <c r="AM733" s="122"/>
      <c r="AN733" s="121"/>
    </row>
    <row r="734" spans="29:40">
      <c r="AC734" s="119"/>
      <c r="AD734" s="119"/>
      <c r="AE734" s="120"/>
      <c r="AF734" s="119"/>
      <c r="AG734" s="119"/>
      <c r="AH734" s="120"/>
      <c r="AI734" s="121"/>
      <c r="AJ734" s="121"/>
      <c r="AK734" s="121"/>
      <c r="AL734" s="121"/>
      <c r="AM734" s="122"/>
      <c r="AN734" s="121"/>
    </row>
    <row r="735" spans="29:40">
      <c r="AC735" s="119"/>
      <c r="AD735" s="119"/>
      <c r="AE735" s="120"/>
      <c r="AF735" s="119"/>
      <c r="AG735" s="119"/>
      <c r="AH735" s="120"/>
      <c r="AI735" s="121"/>
      <c r="AJ735" s="121"/>
      <c r="AK735" s="121"/>
      <c r="AL735" s="121"/>
      <c r="AM735" s="122"/>
      <c r="AN735" s="121"/>
    </row>
    <row r="736" spans="29:40">
      <c r="AC736" s="119"/>
      <c r="AD736" s="119"/>
      <c r="AE736" s="120"/>
      <c r="AF736" s="119"/>
      <c r="AG736" s="119"/>
      <c r="AH736" s="120"/>
      <c r="AI736" s="121"/>
      <c r="AJ736" s="121"/>
      <c r="AK736" s="121"/>
      <c r="AL736" s="121"/>
      <c r="AM736" s="122"/>
      <c r="AN736" s="121"/>
    </row>
    <row r="737" spans="29:40">
      <c r="AC737" s="119"/>
      <c r="AD737" s="119"/>
      <c r="AE737" s="120"/>
      <c r="AF737" s="119"/>
      <c r="AG737" s="119"/>
      <c r="AH737" s="120"/>
      <c r="AI737" s="121"/>
      <c r="AJ737" s="121"/>
      <c r="AK737" s="121"/>
      <c r="AL737" s="121"/>
      <c r="AM737" s="122"/>
      <c r="AN737" s="121"/>
    </row>
    <row r="738" spans="29:40">
      <c r="AC738" s="119"/>
      <c r="AD738" s="119"/>
      <c r="AE738" s="120"/>
      <c r="AF738" s="119"/>
      <c r="AG738" s="119"/>
      <c r="AH738" s="120"/>
      <c r="AI738" s="121"/>
      <c r="AJ738" s="121"/>
      <c r="AK738" s="121"/>
      <c r="AL738" s="121"/>
      <c r="AM738" s="122"/>
      <c r="AN738" s="121"/>
    </row>
    <row r="739" spans="29:40">
      <c r="AC739" s="119"/>
      <c r="AD739" s="119"/>
      <c r="AE739" s="120"/>
      <c r="AF739" s="119"/>
      <c r="AG739" s="119"/>
      <c r="AH739" s="120"/>
      <c r="AI739" s="121"/>
      <c r="AJ739" s="121"/>
      <c r="AK739" s="121"/>
      <c r="AL739" s="121"/>
      <c r="AM739" s="122"/>
      <c r="AN739" s="121"/>
    </row>
    <row r="740" spans="29:40">
      <c r="AC740" s="119"/>
      <c r="AD740" s="119"/>
      <c r="AE740" s="120"/>
      <c r="AF740" s="119"/>
      <c r="AG740" s="119"/>
      <c r="AH740" s="120"/>
      <c r="AI740" s="121"/>
      <c r="AJ740" s="121"/>
      <c r="AK740" s="121"/>
      <c r="AL740" s="121"/>
      <c r="AM740" s="122"/>
      <c r="AN740" s="121"/>
    </row>
    <row r="741" spans="29:40">
      <c r="AC741" s="119"/>
      <c r="AD741" s="119"/>
      <c r="AE741" s="120"/>
      <c r="AF741" s="119"/>
      <c r="AG741" s="119"/>
      <c r="AH741" s="120"/>
      <c r="AI741" s="121"/>
      <c r="AJ741" s="121"/>
      <c r="AK741" s="121"/>
      <c r="AL741" s="121"/>
      <c r="AM741" s="122"/>
      <c r="AN741" s="121"/>
    </row>
    <row r="742" spans="29:40">
      <c r="AC742" s="119"/>
      <c r="AD742" s="119"/>
      <c r="AE742" s="120"/>
      <c r="AF742" s="119"/>
      <c r="AG742" s="119"/>
      <c r="AH742" s="120"/>
      <c r="AI742" s="121"/>
      <c r="AJ742" s="121"/>
      <c r="AK742" s="121"/>
      <c r="AL742" s="121"/>
      <c r="AM742" s="122"/>
      <c r="AN742" s="121"/>
    </row>
    <row r="743" spans="29:40">
      <c r="AC743" s="119"/>
      <c r="AD743" s="119"/>
      <c r="AE743" s="120"/>
      <c r="AF743" s="119"/>
      <c r="AG743" s="119"/>
      <c r="AH743" s="120"/>
      <c r="AI743" s="121"/>
      <c r="AJ743" s="121"/>
      <c r="AK743" s="121"/>
      <c r="AL743" s="121"/>
      <c r="AM743" s="122"/>
      <c r="AN743" s="121"/>
    </row>
    <row r="744" spans="29:40">
      <c r="AC744" s="119"/>
      <c r="AD744" s="119"/>
      <c r="AE744" s="120"/>
      <c r="AF744" s="119"/>
      <c r="AG744" s="119"/>
      <c r="AH744" s="120"/>
      <c r="AI744" s="121"/>
      <c r="AJ744" s="121"/>
      <c r="AK744" s="121"/>
      <c r="AL744" s="121"/>
      <c r="AM744" s="122"/>
      <c r="AN744" s="121"/>
    </row>
    <row r="745" spans="29:40">
      <c r="AC745" s="119"/>
      <c r="AD745" s="119"/>
      <c r="AE745" s="120"/>
      <c r="AF745" s="119"/>
      <c r="AG745" s="119"/>
      <c r="AH745" s="120"/>
      <c r="AI745" s="121"/>
      <c r="AJ745" s="121"/>
      <c r="AK745" s="121"/>
      <c r="AL745" s="121"/>
      <c r="AM745" s="122"/>
      <c r="AN745" s="121"/>
    </row>
    <row r="746" spans="29:40">
      <c r="AC746" s="119"/>
      <c r="AD746" s="119"/>
      <c r="AE746" s="120"/>
      <c r="AF746" s="119"/>
      <c r="AG746" s="119"/>
      <c r="AH746" s="120"/>
      <c r="AI746" s="121"/>
      <c r="AJ746" s="121"/>
      <c r="AK746" s="121"/>
      <c r="AL746" s="121"/>
      <c r="AM746" s="122"/>
      <c r="AN746" s="121"/>
    </row>
    <row r="747" spans="29:40">
      <c r="AC747" s="119"/>
      <c r="AD747" s="119"/>
      <c r="AE747" s="120"/>
      <c r="AF747" s="119"/>
      <c r="AG747" s="119"/>
      <c r="AH747" s="120"/>
      <c r="AI747" s="121"/>
      <c r="AJ747" s="121"/>
      <c r="AK747" s="121"/>
      <c r="AL747" s="121"/>
      <c r="AM747" s="122"/>
      <c r="AN747" s="121"/>
    </row>
    <row r="748" spans="29:40">
      <c r="AC748" s="119"/>
      <c r="AD748" s="119"/>
      <c r="AE748" s="120"/>
      <c r="AF748" s="119"/>
      <c r="AG748" s="119"/>
      <c r="AH748" s="120"/>
      <c r="AI748" s="121"/>
      <c r="AJ748" s="121"/>
      <c r="AK748" s="121"/>
      <c r="AL748" s="121"/>
      <c r="AM748" s="122"/>
      <c r="AN748" s="121"/>
    </row>
    <row r="749" spans="29:40">
      <c r="AC749" s="119"/>
      <c r="AD749" s="119"/>
      <c r="AE749" s="120"/>
      <c r="AF749" s="119"/>
      <c r="AG749" s="119"/>
      <c r="AH749" s="120"/>
      <c r="AI749" s="121"/>
      <c r="AJ749" s="121"/>
      <c r="AK749" s="121"/>
      <c r="AL749" s="121"/>
      <c r="AM749" s="122"/>
      <c r="AN749" s="121"/>
    </row>
    <row r="750" spans="29:40">
      <c r="AC750" s="119"/>
      <c r="AD750" s="119"/>
      <c r="AE750" s="120"/>
      <c r="AF750" s="119"/>
      <c r="AG750" s="119"/>
      <c r="AH750" s="120"/>
      <c r="AI750" s="121"/>
      <c r="AJ750" s="121"/>
      <c r="AK750" s="121"/>
      <c r="AL750" s="121"/>
      <c r="AM750" s="122"/>
      <c r="AN750" s="121"/>
    </row>
    <row r="751" spans="29:40">
      <c r="AC751" s="119"/>
      <c r="AD751" s="119"/>
      <c r="AE751" s="120"/>
      <c r="AF751" s="119"/>
      <c r="AG751" s="119"/>
      <c r="AH751" s="120"/>
      <c r="AI751" s="121"/>
      <c r="AJ751" s="121"/>
      <c r="AK751" s="121"/>
      <c r="AL751" s="121"/>
      <c r="AM751" s="122"/>
      <c r="AN751" s="121"/>
    </row>
    <row r="752" spans="29:40">
      <c r="AC752" s="119"/>
      <c r="AD752" s="119"/>
      <c r="AE752" s="120"/>
      <c r="AF752" s="119"/>
      <c r="AG752" s="119"/>
      <c r="AH752" s="120"/>
      <c r="AI752" s="121"/>
      <c r="AJ752" s="121"/>
      <c r="AK752" s="121"/>
      <c r="AL752" s="121"/>
      <c r="AM752" s="122"/>
      <c r="AN752" s="121"/>
    </row>
    <row r="753" spans="29:40">
      <c r="AC753" s="119"/>
      <c r="AD753" s="119"/>
      <c r="AE753" s="120"/>
      <c r="AF753" s="119"/>
      <c r="AG753" s="119"/>
      <c r="AH753" s="120"/>
      <c r="AI753" s="121"/>
      <c r="AJ753" s="121"/>
      <c r="AK753" s="121"/>
      <c r="AL753" s="121"/>
      <c r="AM753" s="122"/>
      <c r="AN753" s="121"/>
    </row>
    <row r="754" spans="29:40">
      <c r="AC754" s="119"/>
      <c r="AD754" s="119"/>
      <c r="AE754" s="120"/>
      <c r="AF754" s="119"/>
      <c r="AG754" s="119"/>
      <c r="AH754" s="120"/>
      <c r="AI754" s="121"/>
      <c r="AJ754" s="121"/>
      <c r="AK754" s="121"/>
      <c r="AL754" s="121"/>
      <c r="AM754" s="122"/>
      <c r="AN754" s="121"/>
    </row>
    <row r="755" spans="29:40">
      <c r="AC755" s="119"/>
      <c r="AD755" s="119"/>
      <c r="AE755" s="120"/>
      <c r="AF755" s="119"/>
      <c r="AG755" s="119"/>
      <c r="AH755" s="120"/>
      <c r="AI755" s="121"/>
      <c r="AJ755" s="121"/>
      <c r="AK755" s="121"/>
      <c r="AL755" s="121"/>
      <c r="AM755" s="122"/>
      <c r="AN755" s="121"/>
    </row>
    <row r="756" spans="29:40">
      <c r="AC756" s="119"/>
      <c r="AD756" s="119"/>
      <c r="AE756" s="120"/>
      <c r="AF756" s="119"/>
      <c r="AG756" s="119"/>
      <c r="AH756" s="120"/>
      <c r="AI756" s="121"/>
      <c r="AJ756" s="121"/>
      <c r="AK756" s="121"/>
      <c r="AL756" s="121"/>
      <c r="AM756" s="122"/>
      <c r="AN756" s="121"/>
    </row>
    <row r="757" spans="29:40">
      <c r="AC757" s="119"/>
      <c r="AD757" s="119"/>
      <c r="AE757" s="120"/>
      <c r="AF757" s="119"/>
      <c r="AG757" s="119"/>
      <c r="AH757" s="120"/>
      <c r="AI757" s="121"/>
      <c r="AJ757" s="121"/>
      <c r="AK757" s="121"/>
      <c r="AL757" s="121"/>
      <c r="AM757" s="122"/>
      <c r="AN757" s="121"/>
    </row>
    <row r="758" spans="29:40">
      <c r="AC758" s="119"/>
      <c r="AD758" s="119"/>
      <c r="AE758" s="120"/>
      <c r="AF758" s="119"/>
      <c r="AG758" s="119"/>
      <c r="AH758" s="120"/>
      <c r="AI758" s="121"/>
      <c r="AJ758" s="121"/>
      <c r="AK758" s="121"/>
      <c r="AL758" s="121"/>
      <c r="AM758" s="122"/>
      <c r="AN758" s="121"/>
    </row>
    <row r="759" spans="29:40">
      <c r="AC759" s="119"/>
      <c r="AD759" s="119"/>
      <c r="AE759" s="120"/>
      <c r="AF759" s="119"/>
      <c r="AG759" s="119"/>
      <c r="AH759" s="120"/>
      <c r="AI759" s="121"/>
      <c r="AJ759" s="121"/>
      <c r="AK759" s="121"/>
      <c r="AL759" s="121"/>
      <c r="AM759" s="122"/>
      <c r="AN759" s="121"/>
    </row>
    <row r="760" spans="29:40">
      <c r="AC760" s="119"/>
      <c r="AD760" s="119"/>
      <c r="AE760" s="120"/>
      <c r="AF760" s="119"/>
      <c r="AG760" s="119"/>
      <c r="AH760" s="120"/>
      <c r="AI760" s="121"/>
      <c r="AJ760" s="121"/>
      <c r="AK760" s="121"/>
      <c r="AL760" s="121"/>
      <c r="AM760" s="122"/>
      <c r="AN760" s="121"/>
    </row>
    <row r="761" spans="29:40">
      <c r="AC761" s="119"/>
      <c r="AD761" s="119"/>
      <c r="AE761" s="120"/>
      <c r="AF761" s="119"/>
      <c r="AG761" s="119"/>
      <c r="AH761" s="120"/>
      <c r="AI761" s="121"/>
      <c r="AJ761" s="121"/>
      <c r="AK761" s="121"/>
      <c r="AL761" s="121"/>
      <c r="AM761" s="122"/>
      <c r="AN761" s="121"/>
    </row>
    <row r="762" spans="29:40">
      <c r="AC762" s="119"/>
      <c r="AD762" s="119"/>
      <c r="AE762" s="120"/>
      <c r="AF762" s="119"/>
      <c r="AG762" s="119"/>
      <c r="AH762" s="120"/>
      <c r="AI762" s="121"/>
      <c r="AJ762" s="121"/>
      <c r="AK762" s="121"/>
      <c r="AL762" s="121"/>
      <c r="AM762" s="122"/>
      <c r="AN762" s="121"/>
    </row>
    <row r="763" spans="29:40">
      <c r="AC763" s="119"/>
      <c r="AD763" s="119"/>
      <c r="AE763" s="120"/>
      <c r="AF763" s="119"/>
      <c r="AG763" s="119"/>
      <c r="AH763" s="120"/>
      <c r="AI763" s="121"/>
      <c r="AJ763" s="121"/>
      <c r="AK763" s="121"/>
      <c r="AL763" s="121"/>
      <c r="AM763" s="122"/>
      <c r="AN763" s="121"/>
    </row>
    <row r="764" spans="29:40">
      <c r="AC764" s="119"/>
      <c r="AD764" s="119"/>
      <c r="AE764" s="120"/>
      <c r="AF764" s="119"/>
      <c r="AG764" s="119"/>
      <c r="AH764" s="120"/>
      <c r="AI764" s="121"/>
      <c r="AJ764" s="121"/>
      <c r="AK764" s="121"/>
      <c r="AL764" s="121"/>
      <c r="AM764" s="122"/>
      <c r="AN764" s="121"/>
    </row>
    <row r="765" spans="29:40">
      <c r="AC765" s="119"/>
      <c r="AD765" s="119"/>
      <c r="AE765" s="120"/>
      <c r="AF765" s="119"/>
      <c r="AG765" s="119"/>
      <c r="AH765" s="120"/>
      <c r="AI765" s="121"/>
      <c r="AJ765" s="121"/>
      <c r="AK765" s="121"/>
      <c r="AL765" s="121"/>
      <c r="AM765" s="122"/>
      <c r="AN765" s="121"/>
    </row>
    <row r="766" spans="29:40">
      <c r="AC766" s="119"/>
      <c r="AD766" s="119"/>
      <c r="AE766" s="120"/>
      <c r="AF766" s="119"/>
      <c r="AG766" s="119"/>
      <c r="AH766" s="120"/>
      <c r="AI766" s="121"/>
      <c r="AJ766" s="121"/>
      <c r="AK766" s="121"/>
      <c r="AL766" s="121"/>
      <c r="AM766" s="122"/>
      <c r="AN766" s="121"/>
    </row>
    <row r="767" spans="29:40">
      <c r="AC767" s="119"/>
      <c r="AD767" s="119"/>
      <c r="AE767" s="120"/>
      <c r="AF767" s="119"/>
      <c r="AG767" s="119"/>
      <c r="AH767" s="120"/>
      <c r="AI767" s="121"/>
      <c r="AJ767" s="121"/>
      <c r="AK767" s="121"/>
      <c r="AL767" s="121"/>
      <c r="AM767" s="122"/>
      <c r="AN767" s="121"/>
    </row>
    <row r="768" spans="29:40">
      <c r="AC768" s="119"/>
      <c r="AD768" s="119"/>
      <c r="AE768" s="120"/>
      <c r="AF768" s="119"/>
      <c r="AG768" s="119"/>
      <c r="AH768" s="120"/>
      <c r="AI768" s="121"/>
      <c r="AJ768" s="121"/>
      <c r="AK768" s="121"/>
      <c r="AL768" s="121"/>
      <c r="AM768" s="122"/>
      <c r="AN768" s="121"/>
    </row>
    <row r="769" spans="29:40">
      <c r="AC769" s="119"/>
      <c r="AD769" s="119"/>
      <c r="AE769" s="120"/>
      <c r="AF769" s="119"/>
      <c r="AG769" s="119"/>
      <c r="AH769" s="120"/>
      <c r="AI769" s="121"/>
      <c r="AJ769" s="121"/>
      <c r="AK769" s="121"/>
      <c r="AL769" s="121"/>
      <c r="AM769" s="122"/>
      <c r="AN769" s="121"/>
    </row>
    <row r="770" spans="29:40">
      <c r="AC770" s="119"/>
      <c r="AD770" s="119"/>
      <c r="AE770" s="120"/>
      <c r="AF770" s="119"/>
      <c r="AG770" s="119"/>
      <c r="AH770" s="120"/>
      <c r="AI770" s="121"/>
      <c r="AJ770" s="121"/>
      <c r="AK770" s="121"/>
      <c r="AL770" s="121"/>
      <c r="AM770" s="122"/>
      <c r="AN770" s="121"/>
    </row>
    <row r="771" spans="29:40">
      <c r="AC771" s="119"/>
      <c r="AD771" s="119"/>
      <c r="AE771" s="120"/>
      <c r="AF771" s="119"/>
      <c r="AG771" s="119"/>
      <c r="AH771" s="120"/>
      <c r="AI771" s="121"/>
      <c r="AJ771" s="121"/>
      <c r="AK771" s="121"/>
      <c r="AL771" s="121"/>
      <c r="AM771" s="122"/>
      <c r="AN771" s="121"/>
    </row>
    <row r="772" spans="29:40">
      <c r="AC772" s="119"/>
      <c r="AD772" s="119"/>
      <c r="AE772" s="120"/>
      <c r="AF772" s="119"/>
      <c r="AG772" s="119"/>
      <c r="AH772" s="120"/>
      <c r="AI772" s="121"/>
      <c r="AJ772" s="121"/>
      <c r="AK772" s="121"/>
      <c r="AL772" s="121"/>
      <c r="AM772" s="122"/>
      <c r="AN772" s="121"/>
    </row>
    <row r="773" spans="29:40">
      <c r="AC773" s="119"/>
      <c r="AD773" s="119"/>
      <c r="AE773" s="120"/>
      <c r="AF773" s="119"/>
      <c r="AG773" s="119"/>
      <c r="AH773" s="120"/>
      <c r="AI773" s="121"/>
      <c r="AJ773" s="121"/>
      <c r="AK773" s="121"/>
      <c r="AL773" s="121"/>
      <c r="AM773" s="122"/>
      <c r="AN773" s="121"/>
    </row>
    <row r="774" spans="29:40">
      <c r="AC774" s="119"/>
      <c r="AD774" s="119"/>
      <c r="AE774" s="120"/>
      <c r="AF774" s="119"/>
      <c r="AG774" s="119"/>
      <c r="AH774" s="120"/>
      <c r="AI774" s="121"/>
      <c r="AJ774" s="121"/>
      <c r="AK774" s="121"/>
      <c r="AL774" s="121"/>
      <c r="AM774" s="122"/>
      <c r="AN774" s="121"/>
    </row>
    <row r="775" spans="29:40">
      <c r="AC775" s="119"/>
      <c r="AD775" s="119"/>
      <c r="AE775" s="120"/>
      <c r="AF775" s="119"/>
      <c r="AG775" s="119"/>
      <c r="AH775" s="120"/>
      <c r="AI775" s="121"/>
      <c r="AJ775" s="121"/>
      <c r="AK775" s="121"/>
      <c r="AL775" s="121"/>
      <c r="AM775" s="122"/>
      <c r="AN775" s="121"/>
    </row>
    <row r="776" spans="29:40">
      <c r="AC776" s="119"/>
      <c r="AD776" s="119"/>
      <c r="AE776" s="120"/>
      <c r="AF776" s="119"/>
      <c r="AG776" s="119"/>
      <c r="AH776" s="120"/>
      <c r="AI776" s="121"/>
      <c r="AJ776" s="121"/>
      <c r="AK776" s="121"/>
      <c r="AL776" s="121"/>
      <c r="AM776" s="122"/>
      <c r="AN776" s="121"/>
    </row>
    <row r="777" spans="29:40">
      <c r="AC777" s="119"/>
      <c r="AD777" s="119"/>
      <c r="AE777" s="120"/>
      <c r="AF777" s="119"/>
      <c r="AG777" s="119"/>
      <c r="AH777" s="120"/>
      <c r="AI777" s="121"/>
      <c r="AJ777" s="121"/>
      <c r="AK777" s="121"/>
      <c r="AL777" s="121"/>
      <c r="AM777" s="122"/>
      <c r="AN777" s="121"/>
    </row>
    <row r="778" spans="29:40">
      <c r="AC778" s="119"/>
      <c r="AD778" s="119"/>
      <c r="AE778" s="120"/>
      <c r="AF778" s="119"/>
      <c r="AG778" s="119"/>
      <c r="AH778" s="120"/>
      <c r="AI778" s="121"/>
      <c r="AJ778" s="121"/>
      <c r="AK778" s="121"/>
      <c r="AL778" s="121"/>
      <c r="AM778" s="122"/>
      <c r="AN778" s="121"/>
    </row>
    <row r="779" spans="29:40">
      <c r="AC779" s="119"/>
      <c r="AD779" s="119"/>
      <c r="AE779" s="120"/>
      <c r="AF779" s="119"/>
      <c r="AG779" s="119"/>
      <c r="AH779" s="120"/>
      <c r="AI779" s="121"/>
      <c r="AJ779" s="121"/>
      <c r="AK779" s="121"/>
      <c r="AL779" s="121"/>
      <c r="AM779" s="122"/>
      <c r="AN779" s="121"/>
    </row>
    <row r="780" spans="29:40">
      <c r="AC780" s="119"/>
      <c r="AD780" s="119"/>
      <c r="AE780" s="120"/>
      <c r="AF780" s="119"/>
      <c r="AG780" s="119"/>
      <c r="AH780" s="120"/>
      <c r="AI780" s="121"/>
      <c r="AJ780" s="121"/>
      <c r="AK780" s="121"/>
      <c r="AL780" s="121"/>
      <c r="AM780" s="122"/>
      <c r="AN780" s="121"/>
    </row>
    <row r="781" spans="29:40">
      <c r="AC781" s="119"/>
      <c r="AD781" s="119"/>
      <c r="AE781" s="120"/>
      <c r="AF781" s="119"/>
      <c r="AG781" s="119"/>
      <c r="AH781" s="120"/>
      <c r="AI781" s="121"/>
      <c r="AJ781" s="121"/>
      <c r="AK781" s="121"/>
      <c r="AL781" s="121"/>
      <c r="AM781" s="122"/>
      <c r="AN781" s="121"/>
    </row>
    <row r="782" spans="29:40">
      <c r="AC782" s="119"/>
      <c r="AD782" s="119"/>
      <c r="AE782" s="120"/>
      <c r="AF782" s="119"/>
      <c r="AG782" s="119"/>
      <c r="AH782" s="120"/>
      <c r="AI782" s="121"/>
      <c r="AJ782" s="121"/>
      <c r="AK782" s="121"/>
      <c r="AL782" s="121"/>
      <c r="AM782" s="122"/>
      <c r="AN782" s="121"/>
    </row>
    <row r="783" spans="29:40">
      <c r="AC783" s="119"/>
      <c r="AD783" s="119"/>
      <c r="AE783" s="120"/>
      <c r="AF783" s="119"/>
      <c r="AG783" s="119"/>
      <c r="AH783" s="120"/>
      <c r="AI783" s="121"/>
      <c r="AJ783" s="121"/>
      <c r="AK783" s="121"/>
      <c r="AL783" s="121"/>
      <c r="AM783" s="122"/>
      <c r="AN783" s="121"/>
    </row>
    <row r="784" spans="29:40">
      <c r="AC784" s="119"/>
      <c r="AD784" s="119"/>
      <c r="AE784" s="120"/>
      <c r="AF784" s="119"/>
      <c r="AG784" s="119"/>
      <c r="AH784" s="120"/>
      <c r="AI784" s="121"/>
      <c r="AJ784" s="121"/>
      <c r="AK784" s="121"/>
      <c r="AL784" s="121"/>
      <c r="AM784" s="122"/>
      <c r="AN784" s="121"/>
    </row>
    <row r="785" spans="29:40">
      <c r="AC785" s="119"/>
      <c r="AD785" s="119"/>
      <c r="AE785" s="120"/>
      <c r="AF785" s="119"/>
      <c r="AG785" s="119"/>
      <c r="AH785" s="120"/>
      <c r="AI785" s="121"/>
      <c r="AJ785" s="121"/>
      <c r="AK785" s="121"/>
      <c r="AL785" s="121"/>
      <c r="AM785" s="122"/>
      <c r="AN785" s="121"/>
    </row>
    <row r="786" spans="29:40">
      <c r="AC786" s="119"/>
      <c r="AD786" s="119"/>
      <c r="AE786" s="120"/>
      <c r="AF786" s="119"/>
      <c r="AG786" s="119"/>
      <c r="AH786" s="120"/>
      <c r="AI786" s="121"/>
      <c r="AJ786" s="121"/>
      <c r="AK786" s="121"/>
      <c r="AL786" s="121"/>
      <c r="AM786" s="122"/>
      <c r="AN786" s="121"/>
    </row>
    <row r="787" spans="29:40">
      <c r="AC787" s="119"/>
      <c r="AD787" s="119"/>
      <c r="AE787" s="120"/>
      <c r="AF787" s="119"/>
      <c r="AG787" s="119"/>
      <c r="AH787" s="120"/>
      <c r="AI787" s="121"/>
      <c r="AJ787" s="121"/>
      <c r="AK787" s="121"/>
      <c r="AL787" s="121"/>
      <c r="AM787" s="122"/>
      <c r="AN787" s="121"/>
    </row>
    <row r="788" spans="29:40">
      <c r="AC788" s="119"/>
      <c r="AD788" s="119"/>
      <c r="AE788" s="120"/>
      <c r="AF788" s="119"/>
      <c r="AG788" s="119"/>
      <c r="AH788" s="120"/>
      <c r="AI788" s="121"/>
      <c r="AJ788" s="121"/>
      <c r="AK788" s="121"/>
      <c r="AL788" s="121"/>
      <c r="AM788" s="122"/>
      <c r="AN788" s="121"/>
    </row>
    <row r="789" spans="29:40">
      <c r="AC789" s="119"/>
      <c r="AD789" s="119"/>
      <c r="AE789" s="120"/>
      <c r="AF789" s="119"/>
      <c r="AG789" s="119"/>
      <c r="AH789" s="120"/>
      <c r="AI789" s="121"/>
      <c r="AJ789" s="121"/>
      <c r="AK789" s="121"/>
      <c r="AL789" s="121"/>
      <c r="AM789" s="122"/>
      <c r="AN789" s="121"/>
    </row>
    <row r="790" spans="29:40">
      <c r="AC790" s="119"/>
      <c r="AD790" s="119"/>
      <c r="AE790" s="120"/>
      <c r="AF790" s="119"/>
      <c r="AG790" s="119"/>
      <c r="AH790" s="120"/>
      <c r="AI790" s="121"/>
      <c r="AJ790" s="121"/>
      <c r="AK790" s="121"/>
      <c r="AL790" s="121"/>
      <c r="AM790" s="122"/>
      <c r="AN790" s="121"/>
    </row>
    <row r="791" spans="29:40">
      <c r="AC791" s="119"/>
      <c r="AD791" s="119"/>
      <c r="AE791" s="120"/>
      <c r="AF791" s="119"/>
      <c r="AG791" s="119"/>
      <c r="AH791" s="120"/>
      <c r="AI791" s="121"/>
      <c r="AJ791" s="121"/>
      <c r="AK791" s="121"/>
      <c r="AL791" s="121"/>
      <c r="AM791" s="122"/>
      <c r="AN791" s="121"/>
    </row>
    <row r="792" spans="29:40">
      <c r="AC792" s="119"/>
      <c r="AD792" s="119"/>
      <c r="AE792" s="120"/>
      <c r="AF792" s="119"/>
      <c r="AG792" s="119"/>
      <c r="AH792" s="120"/>
      <c r="AI792" s="121"/>
      <c r="AJ792" s="121"/>
      <c r="AK792" s="121"/>
      <c r="AL792" s="121"/>
      <c r="AM792" s="122"/>
      <c r="AN792" s="121"/>
    </row>
    <row r="793" spans="29:40">
      <c r="AC793" s="119"/>
      <c r="AD793" s="119"/>
      <c r="AE793" s="120"/>
      <c r="AF793" s="119"/>
      <c r="AG793" s="119"/>
      <c r="AH793" s="120"/>
      <c r="AI793" s="121"/>
      <c r="AJ793" s="121"/>
      <c r="AK793" s="121"/>
      <c r="AL793" s="121"/>
      <c r="AM793" s="122"/>
      <c r="AN793" s="121"/>
    </row>
    <row r="794" spans="29:40">
      <c r="AC794" s="119"/>
      <c r="AD794" s="119"/>
      <c r="AE794" s="120"/>
      <c r="AF794" s="119"/>
      <c r="AG794" s="119"/>
      <c r="AH794" s="120"/>
      <c r="AI794" s="121"/>
      <c r="AJ794" s="121"/>
      <c r="AK794" s="121"/>
      <c r="AL794" s="121"/>
      <c r="AM794" s="122"/>
      <c r="AN794" s="121"/>
    </row>
    <row r="795" spans="29:40">
      <c r="AC795" s="119"/>
      <c r="AD795" s="119"/>
      <c r="AE795" s="120"/>
      <c r="AF795" s="119"/>
      <c r="AG795" s="119"/>
      <c r="AH795" s="120"/>
      <c r="AI795" s="121"/>
      <c r="AJ795" s="121"/>
      <c r="AK795" s="121"/>
      <c r="AL795" s="121"/>
      <c r="AM795" s="122"/>
      <c r="AN795" s="121"/>
    </row>
    <row r="796" spans="29:40">
      <c r="AC796" s="119"/>
      <c r="AD796" s="119"/>
      <c r="AE796" s="120"/>
      <c r="AF796" s="119"/>
      <c r="AG796" s="119"/>
      <c r="AH796" s="120"/>
      <c r="AI796" s="121"/>
      <c r="AJ796" s="121"/>
      <c r="AK796" s="121"/>
      <c r="AL796" s="121"/>
      <c r="AM796" s="122"/>
      <c r="AN796" s="121"/>
    </row>
    <row r="797" spans="29:40">
      <c r="AC797" s="119"/>
      <c r="AD797" s="119"/>
      <c r="AE797" s="120"/>
      <c r="AF797" s="119"/>
      <c r="AG797" s="119"/>
      <c r="AH797" s="120"/>
      <c r="AI797" s="121"/>
      <c r="AJ797" s="121"/>
      <c r="AK797" s="121"/>
      <c r="AL797" s="121"/>
      <c r="AM797" s="122"/>
      <c r="AN797" s="121"/>
    </row>
    <row r="798" spans="29:40">
      <c r="AC798" s="119"/>
      <c r="AD798" s="119"/>
      <c r="AE798" s="120"/>
      <c r="AF798" s="119"/>
      <c r="AG798" s="119"/>
      <c r="AH798" s="120"/>
      <c r="AI798" s="121"/>
      <c r="AJ798" s="121"/>
      <c r="AK798" s="121"/>
      <c r="AL798" s="121"/>
      <c r="AM798" s="122"/>
      <c r="AN798" s="121"/>
    </row>
    <row r="799" spans="29:40">
      <c r="AC799" s="119"/>
      <c r="AD799" s="119"/>
      <c r="AE799" s="120"/>
      <c r="AF799" s="119"/>
      <c r="AG799" s="119"/>
      <c r="AH799" s="120"/>
      <c r="AI799" s="121"/>
      <c r="AJ799" s="121"/>
      <c r="AK799" s="121"/>
      <c r="AL799" s="121"/>
      <c r="AM799" s="122"/>
      <c r="AN799" s="121"/>
    </row>
    <row r="800" spans="29:40">
      <c r="AC800" s="119"/>
      <c r="AD800" s="119"/>
      <c r="AE800" s="120"/>
      <c r="AF800" s="119"/>
      <c r="AG800" s="119"/>
      <c r="AH800" s="120"/>
      <c r="AI800" s="121"/>
      <c r="AJ800" s="121"/>
      <c r="AK800" s="121"/>
      <c r="AL800" s="121"/>
      <c r="AM800" s="122"/>
      <c r="AN800" s="121"/>
    </row>
    <row r="801" spans="29:40">
      <c r="AC801" s="119"/>
      <c r="AD801" s="119"/>
      <c r="AE801" s="120"/>
      <c r="AF801" s="119"/>
      <c r="AG801" s="119"/>
      <c r="AH801" s="120"/>
      <c r="AI801" s="121"/>
      <c r="AJ801" s="121"/>
      <c r="AK801" s="121"/>
      <c r="AL801" s="121"/>
      <c r="AM801" s="122"/>
      <c r="AN801" s="121"/>
    </row>
    <row r="802" spans="29:40">
      <c r="AC802" s="119"/>
      <c r="AD802" s="119"/>
      <c r="AE802" s="120"/>
      <c r="AF802" s="119"/>
      <c r="AG802" s="119"/>
      <c r="AH802" s="120"/>
      <c r="AI802" s="121"/>
      <c r="AJ802" s="121"/>
      <c r="AK802" s="121"/>
      <c r="AL802" s="121"/>
      <c r="AM802" s="122"/>
      <c r="AN802" s="121"/>
    </row>
    <row r="803" spans="29:40">
      <c r="AC803" s="119"/>
      <c r="AD803" s="119"/>
      <c r="AE803" s="120"/>
      <c r="AF803" s="119"/>
      <c r="AG803" s="119"/>
      <c r="AH803" s="120"/>
      <c r="AI803" s="121"/>
      <c r="AJ803" s="121"/>
      <c r="AK803" s="121"/>
      <c r="AL803" s="121"/>
      <c r="AM803" s="122"/>
      <c r="AN803" s="121"/>
    </row>
    <row r="804" spans="29:40">
      <c r="AC804" s="119"/>
      <c r="AD804" s="119"/>
      <c r="AE804" s="120"/>
      <c r="AF804" s="119"/>
      <c r="AG804" s="119"/>
      <c r="AH804" s="120"/>
      <c r="AI804" s="121"/>
      <c r="AJ804" s="121"/>
      <c r="AK804" s="121"/>
      <c r="AL804" s="121"/>
      <c r="AM804" s="122"/>
      <c r="AN804" s="121"/>
    </row>
    <row r="805" spans="29:40">
      <c r="AC805" s="119"/>
      <c r="AD805" s="119"/>
      <c r="AE805" s="120"/>
      <c r="AF805" s="119"/>
      <c r="AG805" s="119"/>
      <c r="AH805" s="120"/>
      <c r="AI805" s="121"/>
      <c r="AJ805" s="121"/>
      <c r="AK805" s="121"/>
      <c r="AL805" s="121"/>
      <c r="AM805" s="122"/>
      <c r="AN805" s="121"/>
    </row>
    <row r="806" spans="29:40">
      <c r="AC806" s="119"/>
      <c r="AD806" s="119"/>
      <c r="AE806" s="120"/>
      <c r="AF806" s="119"/>
      <c r="AG806" s="119"/>
      <c r="AH806" s="120"/>
      <c r="AI806" s="121"/>
      <c r="AJ806" s="121"/>
      <c r="AK806" s="121"/>
      <c r="AL806" s="121"/>
      <c r="AM806" s="122"/>
      <c r="AN806" s="121"/>
    </row>
    <row r="807" spans="29:40">
      <c r="AC807" s="119"/>
      <c r="AD807" s="119"/>
      <c r="AE807" s="120"/>
      <c r="AF807" s="119"/>
      <c r="AG807" s="119"/>
      <c r="AH807" s="120"/>
      <c r="AI807" s="121"/>
      <c r="AJ807" s="121"/>
      <c r="AK807" s="121"/>
      <c r="AL807" s="121"/>
      <c r="AM807" s="122"/>
      <c r="AN807" s="121"/>
    </row>
    <row r="808" spans="29:40">
      <c r="AC808" s="119"/>
      <c r="AD808" s="119"/>
      <c r="AE808" s="120"/>
      <c r="AF808" s="119"/>
      <c r="AG808" s="119"/>
      <c r="AH808" s="120"/>
      <c r="AI808" s="121"/>
      <c r="AJ808" s="121"/>
      <c r="AK808" s="121"/>
      <c r="AL808" s="121"/>
      <c r="AM808" s="122"/>
      <c r="AN808" s="121"/>
    </row>
    <row r="809" spans="29:40">
      <c r="AC809" s="119"/>
      <c r="AD809" s="119"/>
      <c r="AE809" s="120"/>
      <c r="AF809" s="119"/>
      <c r="AG809" s="119"/>
      <c r="AH809" s="120"/>
      <c r="AI809" s="121"/>
      <c r="AJ809" s="121"/>
      <c r="AK809" s="121"/>
      <c r="AL809" s="121"/>
      <c r="AM809" s="122"/>
      <c r="AN809" s="121"/>
    </row>
    <row r="810" spans="29:40">
      <c r="AC810" s="119"/>
      <c r="AD810" s="119"/>
      <c r="AE810" s="120"/>
      <c r="AF810" s="119"/>
      <c r="AG810" s="119"/>
      <c r="AH810" s="120"/>
      <c r="AI810" s="121"/>
      <c r="AJ810" s="121"/>
      <c r="AK810" s="121"/>
      <c r="AL810" s="121"/>
      <c r="AM810" s="122"/>
      <c r="AN810" s="121"/>
    </row>
    <row r="811" spans="29:40">
      <c r="AC811" s="119"/>
      <c r="AD811" s="119"/>
      <c r="AE811" s="120"/>
      <c r="AF811" s="119"/>
      <c r="AG811" s="119"/>
      <c r="AH811" s="120"/>
      <c r="AI811" s="121"/>
      <c r="AJ811" s="121"/>
      <c r="AK811" s="121"/>
      <c r="AL811" s="121"/>
      <c r="AM811" s="122"/>
      <c r="AN811" s="121"/>
    </row>
    <row r="812" spans="29:40">
      <c r="AC812" s="119"/>
      <c r="AD812" s="119"/>
      <c r="AE812" s="120"/>
      <c r="AF812" s="119"/>
      <c r="AG812" s="119"/>
      <c r="AH812" s="120"/>
      <c r="AI812" s="121"/>
      <c r="AJ812" s="121"/>
      <c r="AK812" s="121"/>
      <c r="AL812" s="121"/>
      <c r="AM812" s="122"/>
      <c r="AN812" s="121"/>
    </row>
    <row r="813" spans="29:40">
      <c r="AC813" s="119"/>
      <c r="AD813" s="119"/>
      <c r="AE813" s="120"/>
      <c r="AF813" s="119"/>
      <c r="AG813" s="119"/>
      <c r="AH813" s="120"/>
      <c r="AI813" s="121"/>
      <c r="AJ813" s="121"/>
      <c r="AK813" s="121"/>
      <c r="AL813" s="121"/>
      <c r="AM813" s="122"/>
      <c r="AN813" s="121"/>
    </row>
    <row r="814" spans="29:40">
      <c r="AC814" s="119"/>
      <c r="AD814" s="119"/>
      <c r="AE814" s="120"/>
      <c r="AF814" s="119"/>
      <c r="AG814" s="119"/>
      <c r="AH814" s="120"/>
      <c r="AI814" s="121"/>
      <c r="AJ814" s="121"/>
      <c r="AK814" s="121"/>
      <c r="AL814" s="121"/>
      <c r="AM814" s="122"/>
      <c r="AN814" s="121"/>
    </row>
    <row r="815" spans="29:40">
      <c r="AC815" s="119"/>
      <c r="AD815" s="119"/>
      <c r="AE815" s="120"/>
      <c r="AF815" s="119"/>
      <c r="AG815" s="119"/>
      <c r="AH815" s="120"/>
      <c r="AI815" s="121"/>
      <c r="AJ815" s="121"/>
      <c r="AK815" s="121"/>
      <c r="AL815" s="121"/>
      <c r="AM815" s="122"/>
      <c r="AN815" s="121"/>
    </row>
    <row r="816" spans="29:40">
      <c r="AC816" s="119"/>
      <c r="AD816" s="119"/>
      <c r="AE816" s="120"/>
      <c r="AF816" s="119"/>
      <c r="AG816" s="119"/>
      <c r="AH816" s="120"/>
      <c r="AI816" s="121"/>
      <c r="AJ816" s="121"/>
      <c r="AK816" s="121"/>
      <c r="AL816" s="121"/>
      <c r="AM816" s="122"/>
      <c r="AN816" s="121"/>
    </row>
    <row r="817" spans="29:40">
      <c r="AC817" s="119"/>
      <c r="AD817" s="119"/>
      <c r="AE817" s="120"/>
      <c r="AF817" s="119"/>
      <c r="AG817" s="119"/>
      <c r="AH817" s="120"/>
      <c r="AI817" s="121"/>
      <c r="AJ817" s="121"/>
      <c r="AK817" s="121"/>
      <c r="AL817" s="121"/>
      <c r="AM817" s="122"/>
      <c r="AN817" s="121"/>
    </row>
    <row r="818" spans="29:40">
      <c r="AC818" s="119"/>
      <c r="AD818" s="119"/>
      <c r="AE818" s="120"/>
      <c r="AF818" s="119"/>
      <c r="AG818" s="119"/>
      <c r="AH818" s="120"/>
      <c r="AI818" s="121"/>
      <c r="AJ818" s="121"/>
      <c r="AK818" s="121"/>
      <c r="AL818" s="121"/>
      <c r="AM818" s="122"/>
      <c r="AN818" s="121"/>
    </row>
    <row r="819" spans="29:40">
      <c r="AC819" s="119"/>
      <c r="AD819" s="119"/>
      <c r="AE819" s="120"/>
      <c r="AF819" s="119"/>
      <c r="AG819" s="119"/>
      <c r="AH819" s="120"/>
      <c r="AI819" s="121"/>
      <c r="AJ819" s="121"/>
      <c r="AK819" s="121"/>
      <c r="AL819" s="121"/>
      <c r="AM819" s="122"/>
      <c r="AN819" s="121"/>
    </row>
    <row r="820" spans="29:40">
      <c r="AC820" s="119"/>
      <c r="AD820" s="119"/>
      <c r="AE820" s="120"/>
      <c r="AF820" s="119"/>
      <c r="AG820" s="119"/>
      <c r="AH820" s="120"/>
      <c r="AI820" s="121"/>
      <c r="AJ820" s="121"/>
      <c r="AK820" s="121"/>
      <c r="AL820" s="121"/>
      <c r="AM820" s="122"/>
      <c r="AN820" s="121"/>
    </row>
    <row r="821" spans="29:40">
      <c r="AC821" s="119"/>
      <c r="AD821" s="119"/>
      <c r="AE821" s="120"/>
      <c r="AF821" s="119"/>
      <c r="AG821" s="119"/>
      <c r="AH821" s="120"/>
      <c r="AI821" s="121"/>
      <c r="AJ821" s="121"/>
      <c r="AK821" s="121"/>
      <c r="AL821" s="121"/>
      <c r="AM821" s="122"/>
      <c r="AN821" s="121"/>
    </row>
    <row r="822" spans="29:40">
      <c r="AC822" s="119"/>
      <c r="AD822" s="119"/>
      <c r="AE822" s="120"/>
      <c r="AF822" s="119"/>
      <c r="AG822" s="119"/>
      <c r="AH822" s="120"/>
      <c r="AI822" s="121"/>
      <c r="AJ822" s="121"/>
      <c r="AK822" s="121"/>
      <c r="AL822" s="121"/>
      <c r="AM822" s="122"/>
      <c r="AN822" s="121"/>
    </row>
    <row r="823" spans="29:40">
      <c r="AC823" s="119"/>
      <c r="AD823" s="119"/>
      <c r="AE823" s="120"/>
      <c r="AF823" s="119"/>
      <c r="AG823" s="119"/>
      <c r="AH823" s="120"/>
      <c r="AI823" s="121"/>
      <c r="AJ823" s="121"/>
      <c r="AK823" s="121"/>
      <c r="AL823" s="121"/>
      <c r="AM823" s="122"/>
      <c r="AN823" s="121"/>
    </row>
    <row r="824" spans="29:40">
      <c r="AC824" s="119"/>
      <c r="AD824" s="119"/>
      <c r="AE824" s="120"/>
      <c r="AF824" s="119"/>
      <c r="AG824" s="119"/>
      <c r="AH824" s="120"/>
      <c r="AI824" s="121"/>
      <c r="AJ824" s="121"/>
      <c r="AK824" s="121"/>
      <c r="AL824" s="121"/>
      <c r="AM824" s="122"/>
      <c r="AN824" s="121"/>
    </row>
    <row r="825" spans="29:40">
      <c r="AC825" s="119"/>
      <c r="AD825" s="119"/>
      <c r="AE825" s="120"/>
      <c r="AF825" s="119"/>
      <c r="AG825" s="119"/>
      <c r="AH825" s="120"/>
      <c r="AI825" s="121"/>
      <c r="AJ825" s="121"/>
      <c r="AK825" s="121"/>
      <c r="AL825" s="121"/>
      <c r="AM825" s="122"/>
      <c r="AN825" s="121"/>
    </row>
    <row r="826" spans="29:40">
      <c r="AC826" s="119"/>
      <c r="AD826" s="119"/>
      <c r="AE826" s="120"/>
      <c r="AF826" s="119"/>
      <c r="AG826" s="119"/>
      <c r="AH826" s="120"/>
      <c r="AI826" s="121"/>
      <c r="AJ826" s="121"/>
      <c r="AK826" s="121"/>
      <c r="AL826" s="121"/>
      <c r="AM826" s="122"/>
      <c r="AN826" s="121"/>
    </row>
    <row r="827" spans="29:40">
      <c r="AC827" s="119"/>
      <c r="AD827" s="119"/>
      <c r="AE827" s="120"/>
      <c r="AF827" s="119"/>
      <c r="AG827" s="119"/>
      <c r="AH827" s="120"/>
      <c r="AI827" s="121"/>
      <c r="AJ827" s="121"/>
      <c r="AK827" s="121"/>
      <c r="AL827" s="121"/>
      <c r="AM827" s="122"/>
      <c r="AN827" s="121"/>
    </row>
    <row r="828" spans="29:40">
      <c r="AC828" s="119"/>
      <c r="AD828" s="119"/>
      <c r="AE828" s="120"/>
      <c r="AF828" s="119"/>
      <c r="AG828" s="119"/>
      <c r="AH828" s="120"/>
      <c r="AI828" s="121"/>
      <c r="AJ828" s="121"/>
      <c r="AK828" s="121"/>
      <c r="AL828" s="121"/>
      <c r="AM828" s="122"/>
      <c r="AN828" s="121"/>
    </row>
    <row r="829" spans="29:40">
      <c r="AC829" s="119"/>
      <c r="AD829" s="119"/>
      <c r="AE829" s="120"/>
      <c r="AF829" s="119"/>
      <c r="AG829" s="119"/>
      <c r="AH829" s="120"/>
      <c r="AI829" s="121"/>
      <c r="AJ829" s="121"/>
      <c r="AK829" s="121"/>
      <c r="AL829" s="121"/>
      <c r="AM829" s="122"/>
      <c r="AN829" s="121"/>
    </row>
    <row r="830" spans="29:40">
      <c r="AC830" s="119"/>
      <c r="AD830" s="119"/>
      <c r="AE830" s="120"/>
      <c r="AF830" s="119"/>
      <c r="AG830" s="119"/>
      <c r="AH830" s="120"/>
      <c r="AI830" s="121"/>
      <c r="AJ830" s="121"/>
      <c r="AK830" s="121"/>
      <c r="AL830" s="121"/>
      <c r="AM830" s="122"/>
      <c r="AN830" s="121"/>
    </row>
    <row r="831" spans="29:40">
      <c r="AC831" s="119"/>
      <c r="AD831" s="119"/>
      <c r="AE831" s="120"/>
      <c r="AF831" s="119"/>
      <c r="AG831" s="119"/>
      <c r="AH831" s="120"/>
      <c r="AI831" s="121"/>
      <c r="AJ831" s="121"/>
      <c r="AK831" s="121"/>
      <c r="AL831" s="121"/>
      <c r="AM831" s="122"/>
      <c r="AN831" s="121"/>
    </row>
    <row r="832" spans="29:40">
      <c r="AC832" s="119"/>
      <c r="AD832" s="119"/>
      <c r="AE832" s="120"/>
      <c r="AF832" s="119"/>
      <c r="AG832" s="119"/>
      <c r="AH832" s="120"/>
      <c r="AI832" s="121"/>
      <c r="AJ832" s="121"/>
      <c r="AK832" s="121"/>
      <c r="AL832" s="121"/>
      <c r="AM832" s="122"/>
      <c r="AN832" s="121"/>
    </row>
    <row r="833" spans="29:40">
      <c r="AC833" s="119"/>
      <c r="AD833" s="119"/>
      <c r="AE833" s="120"/>
      <c r="AF833" s="119"/>
      <c r="AG833" s="119"/>
      <c r="AH833" s="120"/>
      <c r="AI833" s="121"/>
      <c r="AJ833" s="121"/>
      <c r="AK833" s="121"/>
      <c r="AL833" s="121"/>
      <c r="AM833" s="122"/>
      <c r="AN833" s="121"/>
    </row>
    <row r="834" spans="29:40">
      <c r="AC834" s="119"/>
      <c r="AD834" s="119"/>
      <c r="AE834" s="120"/>
      <c r="AF834" s="119"/>
      <c r="AG834" s="119"/>
      <c r="AH834" s="120"/>
      <c r="AI834" s="121"/>
      <c r="AJ834" s="121"/>
      <c r="AK834" s="121"/>
      <c r="AL834" s="121"/>
      <c r="AM834" s="122"/>
      <c r="AN834" s="121"/>
    </row>
    <row r="835" spans="29:40">
      <c r="AC835" s="119"/>
      <c r="AD835" s="119"/>
      <c r="AE835" s="120"/>
      <c r="AF835" s="119"/>
      <c r="AG835" s="119"/>
      <c r="AH835" s="120"/>
      <c r="AI835" s="121"/>
      <c r="AJ835" s="121"/>
      <c r="AK835" s="121"/>
      <c r="AL835" s="121"/>
      <c r="AM835" s="122"/>
      <c r="AN835" s="121"/>
    </row>
    <row r="836" spans="29:40">
      <c r="AC836" s="119"/>
      <c r="AD836" s="119"/>
      <c r="AE836" s="120"/>
      <c r="AF836" s="119"/>
      <c r="AG836" s="119"/>
      <c r="AH836" s="120"/>
      <c r="AI836" s="121"/>
      <c r="AJ836" s="121"/>
      <c r="AK836" s="121"/>
      <c r="AL836" s="121"/>
      <c r="AM836" s="122"/>
      <c r="AN836" s="121"/>
    </row>
    <row r="837" spans="29:40">
      <c r="AC837" s="119"/>
      <c r="AD837" s="119"/>
      <c r="AE837" s="120"/>
      <c r="AF837" s="119"/>
      <c r="AG837" s="119"/>
      <c r="AH837" s="120"/>
      <c r="AI837" s="121"/>
      <c r="AJ837" s="121"/>
      <c r="AK837" s="121"/>
      <c r="AL837" s="121"/>
      <c r="AM837" s="122"/>
      <c r="AN837" s="121"/>
    </row>
    <row r="838" spans="29:40">
      <c r="AC838" s="119"/>
      <c r="AD838" s="119"/>
      <c r="AE838" s="120"/>
      <c r="AF838" s="119"/>
      <c r="AG838" s="119"/>
      <c r="AH838" s="120"/>
      <c r="AI838" s="121"/>
      <c r="AJ838" s="121"/>
      <c r="AK838" s="121"/>
      <c r="AL838" s="121"/>
      <c r="AM838" s="122"/>
      <c r="AN838" s="121"/>
    </row>
    <row r="839" spans="29:40">
      <c r="AC839" s="119"/>
      <c r="AD839" s="119"/>
      <c r="AE839" s="120"/>
      <c r="AF839" s="119"/>
      <c r="AG839" s="119"/>
      <c r="AH839" s="120"/>
      <c r="AI839" s="121"/>
      <c r="AJ839" s="121"/>
      <c r="AK839" s="121"/>
      <c r="AL839" s="121"/>
      <c r="AM839" s="122"/>
      <c r="AN839" s="121"/>
    </row>
    <row r="840" spans="29:40">
      <c r="AC840" s="119"/>
      <c r="AD840" s="119"/>
      <c r="AE840" s="120"/>
      <c r="AF840" s="119"/>
      <c r="AG840" s="119"/>
      <c r="AH840" s="120"/>
      <c r="AI840" s="121"/>
      <c r="AJ840" s="121"/>
      <c r="AK840" s="121"/>
      <c r="AL840" s="121"/>
      <c r="AM840" s="122"/>
      <c r="AN840" s="121"/>
    </row>
    <row r="841" spans="29:40">
      <c r="AC841" s="119"/>
      <c r="AD841" s="119"/>
      <c r="AE841" s="120"/>
      <c r="AF841" s="119"/>
      <c r="AG841" s="119"/>
      <c r="AH841" s="120"/>
      <c r="AI841" s="121"/>
      <c r="AJ841" s="121"/>
      <c r="AK841" s="121"/>
      <c r="AL841" s="121"/>
      <c r="AM841" s="122"/>
      <c r="AN841" s="121"/>
    </row>
    <row r="842" spans="29:40">
      <c r="AC842" s="119"/>
      <c r="AD842" s="119"/>
      <c r="AE842" s="120"/>
      <c r="AF842" s="119"/>
      <c r="AG842" s="119"/>
      <c r="AH842" s="120"/>
      <c r="AI842" s="121"/>
      <c r="AJ842" s="121"/>
      <c r="AK842" s="121"/>
      <c r="AL842" s="121"/>
      <c r="AM842" s="122"/>
      <c r="AN842" s="121"/>
    </row>
    <row r="843" spans="29:40">
      <c r="AC843" s="119"/>
      <c r="AD843" s="119"/>
      <c r="AE843" s="120"/>
      <c r="AF843" s="119"/>
      <c r="AG843" s="119"/>
      <c r="AH843" s="120"/>
      <c r="AI843" s="121"/>
      <c r="AJ843" s="121"/>
      <c r="AK843" s="121"/>
      <c r="AL843" s="121"/>
      <c r="AM843" s="122"/>
      <c r="AN843" s="121"/>
    </row>
    <row r="844" spans="29:40">
      <c r="AC844" s="119"/>
      <c r="AD844" s="119"/>
      <c r="AE844" s="120"/>
      <c r="AF844" s="119"/>
      <c r="AG844" s="119"/>
      <c r="AH844" s="120"/>
      <c r="AI844" s="121"/>
      <c r="AJ844" s="121"/>
      <c r="AK844" s="121"/>
      <c r="AL844" s="121"/>
      <c r="AM844" s="122"/>
      <c r="AN844" s="121"/>
    </row>
    <row r="845" spans="29:40">
      <c r="AC845" s="119"/>
      <c r="AD845" s="119"/>
      <c r="AE845" s="120"/>
      <c r="AF845" s="119"/>
      <c r="AG845" s="119"/>
      <c r="AH845" s="120"/>
      <c r="AI845" s="121"/>
      <c r="AJ845" s="121"/>
      <c r="AK845" s="121"/>
      <c r="AL845" s="121"/>
      <c r="AM845" s="122"/>
      <c r="AN845" s="121"/>
    </row>
    <row r="846" spans="29:40">
      <c r="AC846" s="119"/>
      <c r="AD846" s="119"/>
      <c r="AE846" s="120"/>
      <c r="AF846" s="119"/>
      <c r="AG846" s="119"/>
      <c r="AH846" s="120"/>
      <c r="AI846" s="121"/>
      <c r="AJ846" s="121"/>
      <c r="AK846" s="121"/>
      <c r="AL846" s="121"/>
      <c r="AM846" s="122"/>
      <c r="AN846" s="121"/>
    </row>
    <row r="847" spans="29:40">
      <c r="AC847" s="119"/>
      <c r="AD847" s="119"/>
      <c r="AE847" s="120"/>
      <c r="AF847" s="119"/>
      <c r="AG847" s="119"/>
      <c r="AH847" s="120"/>
      <c r="AI847" s="121"/>
      <c r="AJ847" s="121"/>
      <c r="AK847" s="121"/>
      <c r="AL847" s="121"/>
      <c r="AM847" s="122"/>
      <c r="AN847" s="121"/>
    </row>
    <row r="848" spans="29:40">
      <c r="AC848" s="119"/>
      <c r="AD848" s="119"/>
      <c r="AE848" s="120"/>
      <c r="AF848" s="119"/>
      <c r="AG848" s="119"/>
      <c r="AH848" s="120"/>
      <c r="AI848" s="121"/>
      <c r="AJ848" s="121"/>
      <c r="AK848" s="121"/>
      <c r="AL848" s="121"/>
      <c r="AM848" s="122"/>
      <c r="AN848" s="121"/>
    </row>
    <row r="849" spans="29:40">
      <c r="AC849" s="119"/>
      <c r="AD849" s="119"/>
      <c r="AE849" s="120"/>
      <c r="AF849" s="119"/>
      <c r="AG849" s="119"/>
      <c r="AH849" s="120"/>
      <c r="AI849" s="121"/>
      <c r="AJ849" s="121"/>
      <c r="AK849" s="121"/>
      <c r="AL849" s="121"/>
      <c r="AM849" s="122"/>
      <c r="AN849" s="121"/>
    </row>
    <row r="850" spans="29:40">
      <c r="AC850" s="119"/>
      <c r="AD850" s="119"/>
      <c r="AE850" s="120"/>
      <c r="AF850" s="119"/>
      <c r="AG850" s="119"/>
      <c r="AH850" s="120"/>
      <c r="AI850" s="121"/>
      <c r="AJ850" s="121"/>
      <c r="AK850" s="121"/>
      <c r="AL850" s="121"/>
      <c r="AM850" s="122"/>
      <c r="AN850" s="121"/>
    </row>
    <row r="851" spans="29:40">
      <c r="AC851" s="119"/>
      <c r="AD851" s="119"/>
      <c r="AE851" s="120"/>
      <c r="AF851" s="119"/>
      <c r="AG851" s="119"/>
      <c r="AH851" s="120"/>
      <c r="AI851" s="121"/>
      <c r="AJ851" s="121"/>
      <c r="AK851" s="121"/>
      <c r="AL851" s="121"/>
      <c r="AM851" s="122"/>
      <c r="AN851" s="121"/>
    </row>
    <row r="852" spans="29:40">
      <c r="AC852" s="119"/>
      <c r="AD852" s="119"/>
      <c r="AE852" s="120"/>
      <c r="AF852" s="119"/>
      <c r="AG852" s="119"/>
      <c r="AH852" s="120"/>
      <c r="AI852" s="121"/>
      <c r="AJ852" s="121"/>
      <c r="AK852" s="121"/>
      <c r="AL852" s="121"/>
      <c r="AM852" s="122"/>
      <c r="AN852" s="121"/>
    </row>
    <row r="853" spans="29:40">
      <c r="AC853" s="119"/>
      <c r="AD853" s="119"/>
      <c r="AE853" s="120"/>
      <c r="AF853" s="119"/>
      <c r="AG853" s="119"/>
      <c r="AH853" s="120"/>
      <c r="AI853" s="121"/>
      <c r="AJ853" s="121"/>
      <c r="AK853" s="121"/>
      <c r="AL853" s="121"/>
      <c r="AM853" s="122"/>
      <c r="AN853" s="121"/>
    </row>
    <row r="854" spans="29:40">
      <c r="AC854" s="119"/>
      <c r="AD854" s="119"/>
      <c r="AE854" s="120"/>
      <c r="AF854" s="119"/>
      <c r="AG854" s="119"/>
      <c r="AH854" s="120"/>
      <c r="AI854" s="121"/>
      <c r="AJ854" s="121"/>
      <c r="AK854" s="121"/>
      <c r="AL854" s="121"/>
      <c r="AM854" s="122"/>
      <c r="AN854" s="121"/>
    </row>
    <row r="855" spans="29:40">
      <c r="AC855" s="119"/>
      <c r="AD855" s="119"/>
      <c r="AE855" s="120"/>
      <c r="AF855" s="119"/>
      <c r="AG855" s="119"/>
      <c r="AH855" s="120"/>
      <c r="AI855" s="121"/>
      <c r="AJ855" s="121"/>
      <c r="AK855" s="121"/>
      <c r="AL855" s="121"/>
      <c r="AM855" s="122"/>
      <c r="AN855" s="121"/>
    </row>
    <row r="856" spans="29:40">
      <c r="AC856" s="119"/>
      <c r="AD856" s="119"/>
      <c r="AE856" s="120"/>
      <c r="AF856" s="119"/>
      <c r="AG856" s="119"/>
      <c r="AH856" s="120"/>
      <c r="AI856" s="121"/>
      <c r="AJ856" s="121"/>
      <c r="AK856" s="121"/>
      <c r="AL856" s="121"/>
      <c r="AM856" s="122"/>
      <c r="AN856" s="121"/>
    </row>
    <row r="857" spans="29:40">
      <c r="AC857" s="119"/>
      <c r="AD857" s="119"/>
      <c r="AE857" s="120"/>
      <c r="AF857" s="119"/>
      <c r="AG857" s="119"/>
      <c r="AH857" s="120"/>
      <c r="AI857" s="121"/>
      <c r="AJ857" s="121"/>
      <c r="AK857" s="121"/>
      <c r="AL857" s="121"/>
      <c r="AM857" s="122"/>
      <c r="AN857" s="121"/>
    </row>
    <row r="858" spans="29:40">
      <c r="AC858" s="119"/>
      <c r="AD858" s="119"/>
      <c r="AE858" s="120"/>
      <c r="AF858" s="119"/>
      <c r="AG858" s="119"/>
      <c r="AH858" s="120"/>
      <c r="AI858" s="121"/>
      <c r="AJ858" s="121"/>
      <c r="AK858" s="121"/>
      <c r="AL858" s="121"/>
      <c r="AM858" s="122"/>
      <c r="AN858" s="121"/>
    </row>
    <row r="859" spans="29:40">
      <c r="AC859" s="119"/>
      <c r="AD859" s="119"/>
      <c r="AE859" s="120"/>
      <c r="AF859" s="119"/>
      <c r="AG859" s="119"/>
      <c r="AH859" s="120"/>
      <c r="AI859" s="121"/>
      <c r="AJ859" s="121"/>
      <c r="AK859" s="121"/>
      <c r="AL859" s="121"/>
      <c r="AM859" s="122"/>
      <c r="AN859" s="121"/>
    </row>
    <row r="860" spans="29:40">
      <c r="AC860" s="119"/>
      <c r="AD860" s="119"/>
      <c r="AE860" s="120"/>
      <c r="AF860" s="119"/>
      <c r="AG860" s="119"/>
      <c r="AH860" s="120"/>
      <c r="AI860" s="121"/>
      <c r="AJ860" s="121"/>
      <c r="AK860" s="121"/>
      <c r="AL860" s="121"/>
      <c r="AM860" s="122"/>
      <c r="AN860" s="121"/>
    </row>
    <row r="861" spans="29:40">
      <c r="AC861" s="119"/>
      <c r="AD861" s="119"/>
      <c r="AE861" s="120"/>
      <c r="AF861" s="119"/>
      <c r="AG861" s="119"/>
      <c r="AH861" s="120"/>
      <c r="AI861" s="121"/>
      <c r="AJ861" s="121"/>
      <c r="AK861" s="121"/>
      <c r="AL861" s="121"/>
      <c r="AM861" s="122"/>
      <c r="AN861" s="121"/>
    </row>
    <row r="862" spans="29:40">
      <c r="AC862" s="119"/>
      <c r="AD862" s="119"/>
      <c r="AE862" s="120"/>
      <c r="AF862" s="119"/>
      <c r="AG862" s="119"/>
      <c r="AH862" s="120"/>
      <c r="AI862" s="121"/>
      <c r="AJ862" s="121"/>
      <c r="AK862" s="121"/>
      <c r="AL862" s="121"/>
      <c r="AM862" s="122"/>
      <c r="AN862" s="121"/>
    </row>
    <row r="863" spans="29:40">
      <c r="AC863" s="119"/>
      <c r="AD863" s="119"/>
      <c r="AE863" s="120"/>
      <c r="AF863" s="119"/>
      <c r="AG863" s="119"/>
      <c r="AH863" s="120"/>
      <c r="AI863" s="121"/>
      <c r="AJ863" s="121"/>
      <c r="AK863" s="121"/>
      <c r="AL863" s="121"/>
      <c r="AM863" s="122"/>
      <c r="AN863" s="121"/>
    </row>
    <row r="864" spans="29:40">
      <c r="AC864" s="119"/>
      <c r="AD864" s="119"/>
      <c r="AE864" s="120"/>
      <c r="AF864" s="119"/>
      <c r="AG864" s="119"/>
      <c r="AH864" s="120"/>
      <c r="AI864" s="121"/>
      <c r="AJ864" s="121"/>
      <c r="AK864" s="121"/>
      <c r="AL864" s="121"/>
      <c r="AM864" s="122"/>
      <c r="AN864" s="121"/>
    </row>
    <row r="865" spans="29:40">
      <c r="AC865" s="119"/>
      <c r="AD865" s="119"/>
      <c r="AE865" s="120"/>
      <c r="AF865" s="119"/>
      <c r="AG865" s="119"/>
      <c r="AH865" s="120"/>
      <c r="AI865" s="121"/>
      <c r="AJ865" s="121"/>
      <c r="AK865" s="121"/>
      <c r="AL865" s="121"/>
      <c r="AM865" s="122"/>
      <c r="AN865" s="121"/>
    </row>
    <row r="866" spans="29:40">
      <c r="AC866" s="119"/>
      <c r="AD866" s="119"/>
      <c r="AE866" s="120"/>
      <c r="AF866" s="119"/>
      <c r="AG866" s="119"/>
      <c r="AH866" s="120"/>
      <c r="AI866" s="121"/>
      <c r="AJ866" s="121"/>
      <c r="AK866" s="121"/>
      <c r="AL866" s="121"/>
      <c r="AM866" s="122"/>
      <c r="AN866" s="121"/>
    </row>
    <row r="867" spans="29:40">
      <c r="AC867" s="119"/>
      <c r="AD867" s="119"/>
      <c r="AE867" s="120"/>
      <c r="AF867" s="119"/>
      <c r="AG867" s="119"/>
      <c r="AH867" s="120"/>
      <c r="AI867" s="121"/>
      <c r="AJ867" s="121"/>
      <c r="AK867" s="121"/>
      <c r="AL867" s="121"/>
      <c r="AM867" s="122"/>
      <c r="AN867" s="121"/>
    </row>
    <row r="868" spans="29:40">
      <c r="AC868" s="119"/>
      <c r="AD868" s="119"/>
      <c r="AE868" s="120"/>
      <c r="AF868" s="119"/>
      <c r="AG868" s="119"/>
      <c r="AH868" s="120"/>
      <c r="AI868" s="121"/>
      <c r="AJ868" s="121"/>
      <c r="AK868" s="121"/>
      <c r="AL868" s="121"/>
      <c r="AM868" s="122"/>
      <c r="AN868" s="121"/>
    </row>
    <row r="869" spans="29:40">
      <c r="AC869" s="119"/>
      <c r="AD869" s="119"/>
      <c r="AE869" s="120"/>
      <c r="AF869" s="119"/>
      <c r="AG869" s="119"/>
      <c r="AH869" s="120"/>
      <c r="AI869" s="121"/>
      <c r="AJ869" s="121"/>
      <c r="AK869" s="121"/>
      <c r="AL869" s="121"/>
      <c r="AM869" s="122"/>
      <c r="AN869" s="121"/>
    </row>
    <row r="870" spans="29:40">
      <c r="AC870" s="119"/>
      <c r="AD870" s="119"/>
      <c r="AE870" s="120"/>
      <c r="AF870" s="119"/>
      <c r="AG870" s="119"/>
      <c r="AH870" s="120"/>
      <c r="AI870" s="121"/>
      <c r="AJ870" s="121"/>
      <c r="AK870" s="121"/>
      <c r="AL870" s="121"/>
      <c r="AM870" s="122"/>
      <c r="AN870" s="121"/>
    </row>
    <row r="871" spans="29:40">
      <c r="AC871" s="119"/>
      <c r="AD871" s="119"/>
      <c r="AE871" s="120"/>
      <c r="AF871" s="119"/>
      <c r="AG871" s="119"/>
      <c r="AH871" s="120"/>
      <c r="AI871" s="121"/>
      <c r="AJ871" s="121"/>
      <c r="AK871" s="121"/>
      <c r="AL871" s="121"/>
      <c r="AM871" s="122"/>
      <c r="AN871" s="121"/>
    </row>
    <row r="872" spans="29:40">
      <c r="AC872" s="119"/>
      <c r="AD872" s="119"/>
      <c r="AE872" s="120"/>
      <c r="AF872" s="119"/>
      <c r="AG872" s="119"/>
      <c r="AH872" s="120"/>
      <c r="AI872" s="121"/>
      <c r="AJ872" s="121"/>
      <c r="AK872" s="121"/>
      <c r="AL872" s="121"/>
      <c r="AM872" s="122"/>
      <c r="AN872" s="121"/>
    </row>
    <row r="873" spans="29:40">
      <c r="AC873" s="119"/>
      <c r="AD873" s="119"/>
      <c r="AE873" s="120"/>
      <c r="AF873" s="119"/>
      <c r="AG873" s="119"/>
      <c r="AH873" s="120"/>
      <c r="AI873" s="121"/>
      <c r="AJ873" s="121"/>
      <c r="AK873" s="121"/>
      <c r="AL873" s="121"/>
      <c r="AM873" s="122"/>
      <c r="AN873" s="121"/>
    </row>
    <row r="874" spans="29:40">
      <c r="AC874" s="119"/>
      <c r="AD874" s="119"/>
      <c r="AE874" s="120"/>
      <c r="AF874" s="119"/>
      <c r="AG874" s="119"/>
      <c r="AH874" s="120"/>
      <c r="AI874" s="121"/>
      <c r="AJ874" s="121"/>
      <c r="AK874" s="121"/>
      <c r="AL874" s="121"/>
      <c r="AM874" s="122"/>
      <c r="AN874" s="121"/>
    </row>
    <row r="875" spans="29:40">
      <c r="AC875" s="119"/>
      <c r="AD875" s="119"/>
      <c r="AE875" s="120"/>
      <c r="AF875" s="119"/>
      <c r="AG875" s="119"/>
      <c r="AH875" s="120"/>
      <c r="AI875" s="121"/>
      <c r="AJ875" s="121"/>
      <c r="AK875" s="121"/>
      <c r="AL875" s="121"/>
      <c r="AM875" s="122"/>
      <c r="AN875" s="121"/>
    </row>
    <row r="876" spans="29:40">
      <c r="AC876" s="119"/>
      <c r="AD876" s="119"/>
      <c r="AE876" s="120"/>
      <c r="AF876" s="119"/>
      <c r="AG876" s="119"/>
      <c r="AH876" s="120"/>
      <c r="AI876" s="121"/>
      <c r="AJ876" s="121"/>
      <c r="AK876" s="121"/>
      <c r="AL876" s="121"/>
      <c r="AM876" s="122"/>
      <c r="AN876" s="121"/>
    </row>
    <row r="877" spans="29:40">
      <c r="AC877" s="119"/>
      <c r="AD877" s="119"/>
      <c r="AE877" s="120"/>
      <c r="AF877" s="119"/>
      <c r="AG877" s="119"/>
      <c r="AH877" s="120"/>
      <c r="AI877" s="121"/>
      <c r="AJ877" s="121"/>
      <c r="AK877" s="121"/>
      <c r="AL877" s="121"/>
      <c r="AM877" s="122"/>
      <c r="AN877" s="121"/>
    </row>
    <row r="878" spans="29:40">
      <c r="AC878" s="119"/>
      <c r="AD878" s="119"/>
      <c r="AE878" s="120"/>
      <c r="AF878" s="119"/>
      <c r="AG878" s="119"/>
      <c r="AH878" s="120"/>
      <c r="AI878" s="121"/>
      <c r="AJ878" s="121"/>
      <c r="AK878" s="121"/>
      <c r="AL878" s="121"/>
      <c r="AM878" s="122"/>
      <c r="AN878" s="121"/>
    </row>
    <row r="879" spans="29:40">
      <c r="AC879" s="119"/>
      <c r="AD879" s="119"/>
      <c r="AE879" s="120"/>
      <c r="AF879" s="119"/>
      <c r="AG879" s="119"/>
      <c r="AH879" s="120"/>
      <c r="AI879" s="121"/>
      <c r="AJ879" s="121"/>
      <c r="AK879" s="121"/>
      <c r="AL879" s="121"/>
      <c r="AM879" s="122"/>
      <c r="AN879" s="121"/>
    </row>
    <row r="880" spans="29:40">
      <c r="AC880" s="119"/>
      <c r="AD880" s="119"/>
      <c r="AE880" s="120"/>
      <c r="AF880" s="119"/>
      <c r="AG880" s="119"/>
      <c r="AH880" s="120"/>
      <c r="AI880" s="121"/>
      <c r="AJ880" s="121"/>
      <c r="AK880" s="121"/>
      <c r="AL880" s="121"/>
      <c r="AM880" s="122"/>
      <c r="AN880" s="121"/>
    </row>
    <row r="881" spans="29:40">
      <c r="AC881" s="119"/>
      <c r="AD881" s="119"/>
      <c r="AE881" s="120"/>
      <c r="AF881" s="119"/>
      <c r="AG881" s="119"/>
      <c r="AH881" s="120"/>
      <c r="AI881" s="121"/>
      <c r="AJ881" s="121"/>
      <c r="AK881" s="121"/>
      <c r="AL881" s="121"/>
      <c r="AM881" s="122"/>
      <c r="AN881" s="121"/>
    </row>
    <row r="882" spans="29:40">
      <c r="AC882" s="119"/>
      <c r="AD882" s="119"/>
      <c r="AE882" s="120"/>
      <c r="AF882" s="119"/>
      <c r="AG882" s="119"/>
      <c r="AH882" s="120"/>
      <c r="AI882" s="121"/>
      <c r="AJ882" s="121"/>
      <c r="AK882" s="121"/>
      <c r="AL882" s="121"/>
      <c r="AM882" s="122"/>
      <c r="AN882" s="121"/>
    </row>
    <row r="883" spans="29:40">
      <c r="AC883" s="119"/>
      <c r="AD883" s="119"/>
      <c r="AE883" s="120"/>
      <c r="AF883" s="119"/>
      <c r="AG883" s="119"/>
      <c r="AH883" s="120"/>
      <c r="AI883" s="121"/>
      <c r="AJ883" s="121"/>
      <c r="AK883" s="121"/>
      <c r="AL883" s="121"/>
      <c r="AM883" s="122"/>
      <c r="AN883" s="121"/>
    </row>
    <row r="884" spans="29:40">
      <c r="AC884" s="119"/>
      <c r="AD884" s="119"/>
      <c r="AE884" s="120"/>
      <c r="AF884" s="119"/>
      <c r="AG884" s="119"/>
      <c r="AH884" s="120"/>
      <c r="AI884" s="121"/>
      <c r="AJ884" s="121"/>
      <c r="AK884" s="121"/>
      <c r="AL884" s="121"/>
      <c r="AM884" s="122"/>
      <c r="AN884" s="121"/>
    </row>
    <row r="885" spans="29:40">
      <c r="AC885" s="119"/>
      <c r="AD885" s="119"/>
      <c r="AE885" s="120"/>
      <c r="AF885" s="119"/>
      <c r="AG885" s="119"/>
      <c r="AH885" s="120"/>
      <c r="AI885" s="121"/>
      <c r="AJ885" s="121"/>
      <c r="AK885" s="121"/>
      <c r="AL885" s="121"/>
      <c r="AM885" s="122"/>
      <c r="AN885" s="121"/>
    </row>
    <row r="886" spans="29:40">
      <c r="AC886" s="119"/>
      <c r="AD886" s="119"/>
      <c r="AE886" s="120"/>
      <c r="AF886" s="119"/>
      <c r="AG886" s="119"/>
      <c r="AH886" s="120"/>
      <c r="AI886" s="121"/>
      <c r="AJ886" s="121"/>
      <c r="AK886" s="121"/>
      <c r="AL886" s="121"/>
      <c r="AM886" s="122"/>
      <c r="AN886" s="121"/>
    </row>
    <row r="887" spans="29:40">
      <c r="AC887" s="119"/>
      <c r="AD887" s="119"/>
      <c r="AE887" s="120"/>
      <c r="AF887" s="119"/>
      <c r="AG887" s="119"/>
      <c r="AH887" s="120"/>
      <c r="AI887" s="121"/>
      <c r="AJ887" s="121"/>
      <c r="AK887" s="121"/>
      <c r="AL887" s="121"/>
      <c r="AM887" s="122"/>
      <c r="AN887" s="121"/>
    </row>
    <row r="888" spans="29:40">
      <c r="AC888" s="119"/>
      <c r="AD888" s="119"/>
      <c r="AE888" s="120"/>
      <c r="AF888" s="119"/>
      <c r="AG888" s="119"/>
      <c r="AH888" s="120"/>
      <c r="AI888" s="121"/>
      <c r="AJ888" s="121"/>
      <c r="AK888" s="121"/>
      <c r="AL888" s="121"/>
      <c r="AM888" s="122"/>
      <c r="AN888" s="121"/>
    </row>
    <row r="889" spans="29:40">
      <c r="AC889" s="119"/>
      <c r="AD889" s="119"/>
      <c r="AE889" s="120"/>
      <c r="AF889" s="119"/>
      <c r="AG889" s="119"/>
      <c r="AH889" s="120"/>
      <c r="AI889" s="121"/>
      <c r="AJ889" s="121"/>
      <c r="AK889" s="121"/>
      <c r="AL889" s="121"/>
      <c r="AM889" s="122"/>
      <c r="AN889" s="121"/>
    </row>
    <row r="890" spans="29:40">
      <c r="AC890" s="119"/>
      <c r="AD890" s="119"/>
      <c r="AE890" s="120"/>
      <c r="AF890" s="119"/>
      <c r="AG890" s="119"/>
      <c r="AH890" s="120"/>
      <c r="AI890" s="121"/>
      <c r="AJ890" s="121"/>
      <c r="AK890" s="121"/>
      <c r="AL890" s="121"/>
      <c r="AM890" s="122"/>
      <c r="AN890" s="121"/>
    </row>
    <row r="891" spans="29:40">
      <c r="AC891" s="119"/>
      <c r="AD891" s="119"/>
      <c r="AE891" s="120"/>
      <c r="AF891" s="119"/>
      <c r="AG891" s="119"/>
      <c r="AH891" s="120"/>
      <c r="AI891" s="121"/>
      <c r="AJ891" s="121"/>
      <c r="AK891" s="121"/>
      <c r="AL891" s="121"/>
      <c r="AM891" s="122"/>
      <c r="AN891" s="121"/>
    </row>
    <row r="892" spans="29:40">
      <c r="AC892" s="119"/>
      <c r="AD892" s="119"/>
      <c r="AE892" s="120"/>
      <c r="AF892" s="119"/>
      <c r="AG892" s="119"/>
      <c r="AH892" s="120"/>
      <c r="AI892" s="121"/>
      <c r="AJ892" s="121"/>
      <c r="AK892" s="121"/>
      <c r="AL892" s="121"/>
      <c r="AM892" s="122"/>
      <c r="AN892" s="121"/>
    </row>
    <row r="893" spans="29:40">
      <c r="AC893" s="119"/>
      <c r="AD893" s="119"/>
      <c r="AE893" s="120"/>
      <c r="AF893" s="119"/>
      <c r="AG893" s="119"/>
      <c r="AH893" s="120"/>
      <c r="AI893" s="121"/>
      <c r="AJ893" s="121"/>
      <c r="AK893" s="121"/>
      <c r="AL893" s="121"/>
      <c r="AM893" s="122"/>
      <c r="AN893" s="121"/>
    </row>
    <row r="894" spans="29:40">
      <c r="AC894" s="119"/>
      <c r="AD894" s="119"/>
      <c r="AE894" s="120"/>
      <c r="AF894" s="119"/>
      <c r="AG894" s="119"/>
      <c r="AH894" s="120"/>
      <c r="AI894" s="121"/>
      <c r="AJ894" s="121"/>
      <c r="AK894" s="121"/>
      <c r="AL894" s="121"/>
      <c r="AM894" s="122"/>
      <c r="AN894" s="121"/>
    </row>
    <row r="895" spans="29:40">
      <c r="AC895" s="119"/>
      <c r="AD895" s="119"/>
      <c r="AE895" s="120"/>
      <c r="AF895" s="119"/>
      <c r="AG895" s="119"/>
      <c r="AH895" s="120"/>
      <c r="AI895" s="121"/>
      <c r="AJ895" s="121"/>
      <c r="AK895" s="121"/>
      <c r="AL895" s="121"/>
      <c r="AM895" s="122"/>
      <c r="AN895" s="121"/>
    </row>
    <row r="896" spans="29:40">
      <c r="AC896" s="119"/>
      <c r="AD896" s="119"/>
      <c r="AE896" s="120"/>
      <c r="AF896" s="119"/>
      <c r="AG896" s="119"/>
      <c r="AH896" s="120"/>
      <c r="AI896" s="121"/>
      <c r="AJ896" s="121"/>
      <c r="AK896" s="121"/>
      <c r="AL896" s="121"/>
      <c r="AM896" s="122"/>
      <c r="AN896" s="121"/>
    </row>
    <row r="897" spans="29:40">
      <c r="AC897" s="119"/>
      <c r="AD897" s="119"/>
      <c r="AE897" s="120"/>
      <c r="AF897" s="119"/>
      <c r="AG897" s="119"/>
      <c r="AH897" s="120"/>
      <c r="AI897" s="121"/>
      <c r="AJ897" s="121"/>
      <c r="AK897" s="121"/>
      <c r="AL897" s="121"/>
      <c r="AM897" s="122"/>
      <c r="AN897" s="121"/>
    </row>
    <row r="898" spans="29:40">
      <c r="AC898" s="119"/>
      <c r="AD898" s="119"/>
      <c r="AE898" s="120"/>
      <c r="AF898" s="119"/>
      <c r="AG898" s="119"/>
      <c r="AH898" s="120"/>
      <c r="AI898" s="121"/>
      <c r="AJ898" s="121"/>
      <c r="AK898" s="121"/>
      <c r="AL898" s="121"/>
      <c r="AM898" s="122"/>
      <c r="AN898" s="121"/>
    </row>
    <row r="899" spans="29:40">
      <c r="AC899" s="119"/>
      <c r="AD899" s="119"/>
      <c r="AE899" s="120"/>
      <c r="AF899" s="119"/>
      <c r="AG899" s="119"/>
      <c r="AH899" s="120"/>
      <c r="AI899" s="121"/>
      <c r="AJ899" s="121"/>
      <c r="AK899" s="121"/>
      <c r="AL899" s="121"/>
      <c r="AM899" s="122"/>
      <c r="AN899" s="121"/>
    </row>
    <row r="900" spans="29:40">
      <c r="AC900" s="119"/>
      <c r="AD900" s="119"/>
      <c r="AE900" s="120"/>
      <c r="AF900" s="119"/>
      <c r="AG900" s="119"/>
      <c r="AH900" s="120"/>
      <c r="AI900" s="121"/>
      <c r="AJ900" s="121"/>
      <c r="AK900" s="121"/>
      <c r="AL900" s="121"/>
      <c r="AM900" s="122"/>
      <c r="AN900" s="121"/>
    </row>
    <row r="901" spans="29:40">
      <c r="AC901" s="119"/>
      <c r="AD901" s="119"/>
      <c r="AE901" s="120"/>
      <c r="AF901" s="119"/>
      <c r="AG901" s="119"/>
      <c r="AH901" s="120"/>
      <c r="AI901" s="121"/>
      <c r="AJ901" s="121"/>
      <c r="AK901" s="121"/>
      <c r="AL901" s="121"/>
      <c r="AM901" s="122"/>
      <c r="AN901" s="121"/>
    </row>
    <row r="902" spans="29:40">
      <c r="AC902" s="119"/>
      <c r="AD902" s="119"/>
      <c r="AE902" s="120"/>
      <c r="AF902" s="119"/>
      <c r="AG902" s="119"/>
      <c r="AH902" s="120"/>
      <c r="AI902" s="121"/>
      <c r="AJ902" s="121"/>
      <c r="AK902" s="121"/>
      <c r="AL902" s="121"/>
      <c r="AM902" s="122"/>
      <c r="AN902" s="121"/>
    </row>
    <row r="903" spans="29:40">
      <c r="AC903" s="119"/>
      <c r="AD903" s="119"/>
      <c r="AE903" s="120"/>
      <c r="AF903" s="119"/>
      <c r="AG903" s="119"/>
      <c r="AH903" s="120"/>
      <c r="AI903" s="121"/>
      <c r="AJ903" s="121"/>
      <c r="AK903" s="121"/>
      <c r="AL903" s="121"/>
      <c r="AM903" s="122"/>
      <c r="AN903" s="121"/>
    </row>
    <row r="904" spans="29:40">
      <c r="AC904" s="119"/>
      <c r="AD904" s="119"/>
      <c r="AE904" s="120"/>
      <c r="AF904" s="119"/>
      <c r="AG904" s="119"/>
      <c r="AH904" s="120"/>
      <c r="AI904" s="121"/>
      <c r="AJ904" s="121"/>
      <c r="AK904" s="121"/>
      <c r="AL904" s="121"/>
      <c r="AM904" s="122"/>
      <c r="AN904" s="121"/>
    </row>
    <row r="905" spans="29:40">
      <c r="AC905" s="119"/>
      <c r="AD905" s="119"/>
      <c r="AE905" s="120"/>
      <c r="AF905" s="119"/>
      <c r="AG905" s="119"/>
      <c r="AH905" s="120"/>
      <c r="AI905" s="121"/>
      <c r="AJ905" s="121"/>
      <c r="AK905" s="121"/>
      <c r="AL905" s="121"/>
      <c r="AM905" s="122"/>
      <c r="AN905" s="121"/>
    </row>
    <row r="906" spans="29:40">
      <c r="AC906" s="119"/>
      <c r="AD906" s="119"/>
      <c r="AE906" s="120"/>
      <c r="AF906" s="119"/>
      <c r="AG906" s="119"/>
      <c r="AH906" s="120"/>
      <c r="AI906" s="121"/>
      <c r="AJ906" s="121"/>
      <c r="AK906" s="121"/>
      <c r="AL906" s="121"/>
      <c r="AM906" s="122"/>
      <c r="AN906" s="121"/>
    </row>
    <row r="907" spans="29:40">
      <c r="AC907" s="119"/>
      <c r="AD907" s="119"/>
      <c r="AE907" s="120"/>
      <c r="AF907" s="119"/>
      <c r="AG907" s="119"/>
      <c r="AH907" s="120"/>
      <c r="AI907" s="121"/>
      <c r="AJ907" s="121"/>
      <c r="AK907" s="121"/>
      <c r="AL907" s="121"/>
      <c r="AM907" s="122"/>
      <c r="AN907" s="121"/>
    </row>
    <row r="908" spans="29:40">
      <c r="AC908" s="119"/>
      <c r="AD908" s="119"/>
      <c r="AE908" s="120"/>
      <c r="AF908" s="119"/>
      <c r="AG908" s="119"/>
      <c r="AH908" s="120"/>
      <c r="AI908" s="121"/>
      <c r="AJ908" s="121"/>
      <c r="AK908" s="121"/>
      <c r="AL908" s="121"/>
      <c r="AM908" s="122"/>
      <c r="AN908" s="121"/>
    </row>
    <row r="909" spans="29:40">
      <c r="AC909" s="119"/>
      <c r="AD909" s="119"/>
      <c r="AE909" s="120"/>
      <c r="AF909" s="119"/>
      <c r="AG909" s="119"/>
      <c r="AH909" s="120"/>
      <c r="AI909" s="121"/>
      <c r="AJ909" s="121"/>
      <c r="AK909" s="121"/>
      <c r="AL909" s="121"/>
      <c r="AM909" s="122"/>
      <c r="AN909" s="121"/>
    </row>
    <row r="910" spans="29:40">
      <c r="AC910" s="119"/>
      <c r="AD910" s="119"/>
      <c r="AE910" s="120"/>
      <c r="AF910" s="119"/>
      <c r="AG910" s="119"/>
      <c r="AH910" s="120"/>
      <c r="AI910" s="121"/>
      <c r="AJ910" s="121"/>
      <c r="AK910" s="121"/>
      <c r="AL910" s="121"/>
      <c r="AM910" s="122"/>
      <c r="AN910" s="121"/>
    </row>
    <row r="911" spans="29:40">
      <c r="AC911" s="119"/>
      <c r="AD911" s="119"/>
      <c r="AE911" s="120"/>
      <c r="AF911" s="119"/>
      <c r="AG911" s="119"/>
      <c r="AH911" s="120"/>
      <c r="AI911" s="121"/>
      <c r="AJ911" s="121"/>
      <c r="AK911" s="121"/>
      <c r="AL911" s="121"/>
      <c r="AM911" s="122"/>
      <c r="AN911" s="121"/>
    </row>
    <row r="912" spans="29:40">
      <c r="AC912" s="119"/>
      <c r="AD912" s="119"/>
      <c r="AE912" s="120"/>
      <c r="AF912" s="119"/>
      <c r="AG912" s="119"/>
      <c r="AH912" s="120"/>
      <c r="AI912" s="121"/>
      <c r="AJ912" s="121"/>
      <c r="AK912" s="121"/>
      <c r="AL912" s="121"/>
      <c r="AM912" s="122"/>
      <c r="AN912" s="121"/>
    </row>
    <row r="913" spans="29:40">
      <c r="AC913" s="119"/>
      <c r="AD913" s="119"/>
      <c r="AE913" s="120"/>
      <c r="AF913" s="119"/>
      <c r="AG913" s="119"/>
      <c r="AH913" s="120"/>
      <c r="AI913" s="121"/>
      <c r="AJ913" s="121"/>
      <c r="AK913" s="121"/>
      <c r="AL913" s="121"/>
      <c r="AM913" s="122"/>
      <c r="AN913" s="121"/>
    </row>
    <row r="914" spans="29:40">
      <c r="AC914" s="119"/>
      <c r="AD914" s="119"/>
      <c r="AE914" s="120"/>
      <c r="AF914" s="119"/>
      <c r="AG914" s="119"/>
      <c r="AH914" s="120"/>
      <c r="AI914" s="121"/>
      <c r="AJ914" s="121"/>
      <c r="AK914" s="121"/>
      <c r="AL914" s="121"/>
      <c r="AM914" s="122"/>
      <c r="AN914" s="121"/>
    </row>
    <row r="915" spans="29:40">
      <c r="AC915" s="119"/>
      <c r="AD915" s="119"/>
      <c r="AE915" s="120"/>
      <c r="AF915" s="119"/>
      <c r="AG915" s="119"/>
      <c r="AH915" s="120"/>
      <c r="AI915" s="121"/>
      <c r="AJ915" s="121"/>
      <c r="AK915" s="121"/>
      <c r="AL915" s="121"/>
      <c r="AM915" s="122"/>
      <c r="AN915" s="121"/>
    </row>
    <row r="916" spans="29:40">
      <c r="AC916" s="119"/>
      <c r="AD916" s="119"/>
      <c r="AE916" s="120"/>
      <c r="AF916" s="119"/>
      <c r="AG916" s="119"/>
      <c r="AH916" s="120"/>
      <c r="AI916" s="121"/>
      <c r="AJ916" s="121"/>
      <c r="AK916" s="121"/>
      <c r="AL916" s="121"/>
      <c r="AM916" s="122"/>
      <c r="AN916" s="121"/>
    </row>
    <row r="917" spans="29:40">
      <c r="AC917" s="119"/>
      <c r="AD917" s="119"/>
      <c r="AE917" s="120"/>
      <c r="AF917" s="119"/>
      <c r="AG917" s="119"/>
      <c r="AH917" s="120"/>
      <c r="AI917" s="121"/>
      <c r="AJ917" s="121"/>
      <c r="AK917" s="121"/>
      <c r="AL917" s="121"/>
      <c r="AM917" s="122"/>
      <c r="AN917" s="121"/>
    </row>
    <row r="918" spans="29:40">
      <c r="AC918" s="119"/>
      <c r="AD918" s="119"/>
      <c r="AE918" s="120"/>
      <c r="AF918" s="119"/>
      <c r="AG918" s="119"/>
      <c r="AH918" s="120"/>
      <c r="AI918" s="121"/>
      <c r="AJ918" s="121"/>
      <c r="AK918" s="121"/>
      <c r="AL918" s="121"/>
      <c r="AM918" s="122"/>
      <c r="AN918" s="121"/>
    </row>
    <row r="919" spans="29:40">
      <c r="AC919" s="119"/>
      <c r="AD919" s="119"/>
      <c r="AE919" s="120"/>
      <c r="AF919" s="119"/>
      <c r="AG919" s="119"/>
      <c r="AH919" s="120"/>
      <c r="AI919" s="121"/>
      <c r="AJ919" s="121"/>
      <c r="AK919" s="121"/>
      <c r="AL919" s="121"/>
      <c r="AM919" s="122"/>
      <c r="AN919" s="121"/>
    </row>
    <row r="920" spans="29:40">
      <c r="AC920" s="119"/>
      <c r="AD920" s="119"/>
      <c r="AE920" s="120"/>
      <c r="AF920" s="119"/>
      <c r="AG920" s="119"/>
      <c r="AH920" s="120"/>
      <c r="AI920" s="121"/>
      <c r="AJ920" s="121"/>
      <c r="AK920" s="121"/>
      <c r="AL920" s="121"/>
      <c r="AM920" s="122"/>
      <c r="AN920" s="121"/>
    </row>
    <row r="921" spans="29:40">
      <c r="AC921" s="119"/>
      <c r="AD921" s="119"/>
      <c r="AE921" s="120"/>
      <c r="AF921" s="119"/>
      <c r="AG921" s="119"/>
      <c r="AH921" s="120"/>
      <c r="AI921" s="121"/>
      <c r="AJ921" s="121"/>
      <c r="AK921" s="121"/>
      <c r="AL921" s="121"/>
      <c r="AM921" s="122"/>
      <c r="AN921" s="121"/>
    </row>
    <row r="922" spans="29:40">
      <c r="AC922" s="119"/>
      <c r="AD922" s="119"/>
      <c r="AE922" s="120"/>
      <c r="AF922" s="119"/>
      <c r="AG922" s="119"/>
      <c r="AH922" s="120"/>
      <c r="AI922" s="121"/>
      <c r="AJ922" s="121"/>
      <c r="AK922" s="121"/>
      <c r="AL922" s="121"/>
      <c r="AM922" s="122"/>
      <c r="AN922" s="121"/>
    </row>
    <row r="923" spans="29:40">
      <c r="AC923" s="119"/>
      <c r="AD923" s="119"/>
      <c r="AE923" s="120"/>
      <c r="AF923" s="119"/>
      <c r="AG923" s="119"/>
      <c r="AH923" s="120"/>
      <c r="AI923" s="121"/>
      <c r="AJ923" s="121"/>
      <c r="AK923" s="121"/>
      <c r="AL923" s="121"/>
      <c r="AM923" s="122"/>
      <c r="AN923" s="121"/>
    </row>
    <row r="924" spans="29:40">
      <c r="AC924" s="119"/>
      <c r="AD924" s="119"/>
      <c r="AE924" s="120"/>
      <c r="AF924" s="119"/>
      <c r="AG924" s="119"/>
      <c r="AH924" s="120"/>
      <c r="AI924" s="121"/>
      <c r="AJ924" s="121"/>
      <c r="AK924" s="121"/>
      <c r="AL924" s="121"/>
      <c r="AM924" s="122"/>
      <c r="AN924" s="121"/>
    </row>
    <row r="925" spans="29:40">
      <c r="AC925" s="119"/>
      <c r="AD925" s="119"/>
      <c r="AE925" s="120"/>
      <c r="AF925" s="119"/>
      <c r="AG925" s="119"/>
      <c r="AH925" s="120"/>
      <c r="AI925" s="121"/>
      <c r="AJ925" s="121"/>
      <c r="AK925" s="121"/>
      <c r="AL925" s="121"/>
      <c r="AM925" s="122"/>
      <c r="AN925" s="121"/>
    </row>
    <row r="926" spans="29:40">
      <c r="AC926" s="119"/>
      <c r="AD926" s="119"/>
      <c r="AE926" s="120"/>
      <c r="AF926" s="119"/>
      <c r="AG926" s="119"/>
      <c r="AH926" s="120"/>
      <c r="AI926" s="121"/>
      <c r="AJ926" s="121"/>
      <c r="AK926" s="121"/>
      <c r="AL926" s="121"/>
      <c r="AM926" s="122"/>
      <c r="AN926" s="121"/>
    </row>
    <row r="927" spans="29:40">
      <c r="AC927" s="119"/>
      <c r="AD927" s="119"/>
      <c r="AE927" s="120"/>
      <c r="AF927" s="119"/>
      <c r="AG927" s="119"/>
      <c r="AH927" s="120"/>
      <c r="AI927" s="121"/>
      <c r="AJ927" s="121"/>
      <c r="AK927" s="121"/>
      <c r="AL927" s="121"/>
      <c r="AM927" s="122"/>
      <c r="AN927" s="121"/>
    </row>
    <row r="928" spans="29:40">
      <c r="AC928" s="119"/>
      <c r="AD928" s="119"/>
      <c r="AE928" s="120"/>
      <c r="AF928" s="119"/>
      <c r="AG928" s="119"/>
      <c r="AH928" s="120"/>
      <c r="AI928" s="121"/>
      <c r="AJ928" s="121"/>
      <c r="AK928" s="121"/>
      <c r="AL928" s="121"/>
      <c r="AM928" s="122"/>
      <c r="AN928" s="121"/>
    </row>
    <row r="929" spans="29:40">
      <c r="AC929" s="119"/>
      <c r="AD929" s="119"/>
      <c r="AE929" s="120"/>
      <c r="AF929" s="119"/>
      <c r="AG929" s="119"/>
      <c r="AH929" s="120"/>
      <c r="AI929" s="121"/>
      <c r="AJ929" s="121"/>
      <c r="AK929" s="121"/>
      <c r="AL929" s="121"/>
      <c r="AM929" s="122"/>
      <c r="AN929" s="121"/>
    </row>
    <row r="930" spans="29:40">
      <c r="AC930" s="119"/>
      <c r="AD930" s="119"/>
      <c r="AE930" s="120"/>
      <c r="AF930" s="119"/>
      <c r="AG930" s="119"/>
      <c r="AH930" s="120"/>
      <c r="AI930" s="121"/>
      <c r="AJ930" s="121"/>
      <c r="AK930" s="121"/>
      <c r="AL930" s="121"/>
      <c r="AM930" s="122"/>
      <c r="AN930" s="121"/>
    </row>
    <row r="931" spans="29:40">
      <c r="AC931" s="119"/>
      <c r="AD931" s="119"/>
      <c r="AE931" s="120"/>
      <c r="AF931" s="119"/>
      <c r="AG931" s="119"/>
      <c r="AH931" s="120"/>
      <c r="AI931" s="121"/>
      <c r="AJ931" s="121"/>
      <c r="AK931" s="121"/>
      <c r="AL931" s="121"/>
      <c r="AM931" s="122"/>
      <c r="AN931" s="121"/>
    </row>
    <row r="932" spans="29:40">
      <c r="AC932" s="119"/>
      <c r="AD932" s="119"/>
      <c r="AE932" s="120"/>
      <c r="AF932" s="119"/>
      <c r="AG932" s="119"/>
      <c r="AH932" s="120"/>
      <c r="AI932" s="121"/>
      <c r="AJ932" s="121"/>
      <c r="AK932" s="121"/>
      <c r="AL932" s="121"/>
      <c r="AM932" s="122"/>
      <c r="AN932" s="121"/>
    </row>
    <row r="933" spans="29:40">
      <c r="AC933" s="119"/>
      <c r="AD933" s="119"/>
      <c r="AE933" s="120"/>
      <c r="AF933" s="119"/>
      <c r="AG933" s="119"/>
      <c r="AH933" s="120"/>
      <c r="AI933" s="121"/>
      <c r="AJ933" s="121"/>
      <c r="AK933" s="121"/>
      <c r="AL933" s="121"/>
      <c r="AM933" s="122"/>
      <c r="AN933" s="121"/>
    </row>
    <row r="934" spans="29:40">
      <c r="AC934" s="119"/>
      <c r="AD934" s="119"/>
      <c r="AE934" s="120"/>
      <c r="AF934" s="119"/>
      <c r="AG934" s="119"/>
      <c r="AH934" s="120"/>
      <c r="AI934" s="121"/>
      <c r="AJ934" s="121"/>
      <c r="AK934" s="121"/>
      <c r="AL934" s="121"/>
      <c r="AM934" s="122"/>
      <c r="AN934" s="121"/>
    </row>
    <row r="935" spans="29:40">
      <c r="AC935" s="119"/>
      <c r="AD935" s="119"/>
      <c r="AE935" s="120"/>
      <c r="AF935" s="119"/>
      <c r="AG935" s="119"/>
      <c r="AH935" s="120"/>
      <c r="AI935" s="121"/>
      <c r="AJ935" s="121"/>
      <c r="AK935" s="121"/>
      <c r="AL935" s="121"/>
      <c r="AM935" s="122"/>
      <c r="AN935" s="121"/>
    </row>
    <row r="936" spans="29:40">
      <c r="AC936" s="119"/>
      <c r="AD936" s="119"/>
      <c r="AE936" s="120"/>
      <c r="AF936" s="119"/>
      <c r="AG936" s="119"/>
      <c r="AH936" s="120"/>
      <c r="AI936" s="121"/>
      <c r="AJ936" s="121"/>
      <c r="AK936" s="121"/>
      <c r="AL936" s="121"/>
      <c r="AM936" s="122"/>
      <c r="AN936" s="121"/>
    </row>
    <row r="937" spans="29:40">
      <c r="AC937" s="119"/>
      <c r="AD937" s="119"/>
      <c r="AE937" s="120"/>
      <c r="AF937" s="119"/>
      <c r="AG937" s="119"/>
      <c r="AH937" s="120"/>
      <c r="AI937" s="121"/>
      <c r="AJ937" s="121"/>
      <c r="AK937" s="121"/>
      <c r="AL937" s="121"/>
      <c r="AM937" s="122"/>
      <c r="AN937" s="121"/>
    </row>
    <row r="938" spans="29:40">
      <c r="AC938" s="119"/>
      <c r="AD938" s="119"/>
      <c r="AE938" s="120"/>
      <c r="AF938" s="119"/>
      <c r="AG938" s="119"/>
      <c r="AH938" s="120"/>
      <c r="AI938" s="121"/>
      <c r="AJ938" s="121"/>
      <c r="AK938" s="121"/>
      <c r="AL938" s="121"/>
      <c r="AM938" s="122"/>
      <c r="AN938" s="121"/>
    </row>
    <row r="939" spans="29:40">
      <c r="AC939" s="119"/>
      <c r="AD939" s="119"/>
      <c r="AE939" s="120"/>
      <c r="AF939" s="119"/>
      <c r="AG939" s="119"/>
      <c r="AH939" s="120"/>
      <c r="AI939" s="121"/>
      <c r="AJ939" s="121"/>
      <c r="AK939" s="121"/>
      <c r="AL939" s="121"/>
      <c r="AM939" s="122"/>
      <c r="AN939" s="121"/>
    </row>
    <row r="940" spans="29:40">
      <c r="AC940" s="119"/>
      <c r="AD940" s="119"/>
      <c r="AE940" s="120"/>
      <c r="AF940" s="119"/>
      <c r="AG940" s="119"/>
      <c r="AH940" s="120"/>
      <c r="AI940" s="121"/>
      <c r="AJ940" s="121"/>
      <c r="AK940" s="121"/>
      <c r="AL940" s="121"/>
      <c r="AM940" s="122"/>
      <c r="AN940" s="121"/>
    </row>
    <row r="941" spans="29:40">
      <c r="AC941" s="119"/>
      <c r="AD941" s="119"/>
      <c r="AE941" s="120"/>
      <c r="AF941" s="119"/>
      <c r="AG941" s="119"/>
      <c r="AH941" s="120"/>
      <c r="AI941" s="121"/>
      <c r="AJ941" s="121"/>
      <c r="AK941" s="121"/>
      <c r="AL941" s="121"/>
      <c r="AM941" s="122"/>
      <c r="AN941" s="121"/>
    </row>
    <row r="942" spans="29:40">
      <c r="AC942" s="119"/>
      <c r="AD942" s="119"/>
      <c r="AE942" s="120"/>
      <c r="AF942" s="119"/>
      <c r="AG942" s="119"/>
      <c r="AH942" s="120"/>
      <c r="AI942" s="121"/>
      <c r="AJ942" s="121"/>
      <c r="AK942" s="121"/>
      <c r="AL942" s="121"/>
      <c r="AM942" s="122"/>
      <c r="AN942" s="121"/>
    </row>
    <row r="943" spans="29:40">
      <c r="AC943" s="119"/>
      <c r="AD943" s="119"/>
      <c r="AE943" s="120"/>
      <c r="AF943" s="119"/>
      <c r="AG943" s="119"/>
      <c r="AH943" s="120"/>
      <c r="AI943" s="121"/>
      <c r="AJ943" s="121"/>
      <c r="AK943" s="121"/>
      <c r="AL943" s="121"/>
      <c r="AM943" s="122"/>
      <c r="AN943" s="121"/>
    </row>
    <row r="944" spans="29:40">
      <c r="AC944" s="119"/>
      <c r="AD944" s="119"/>
      <c r="AE944" s="120"/>
      <c r="AF944" s="119"/>
      <c r="AG944" s="119"/>
      <c r="AH944" s="120"/>
      <c r="AI944" s="121"/>
      <c r="AJ944" s="121"/>
      <c r="AK944" s="121"/>
      <c r="AL944" s="121"/>
      <c r="AM944" s="122"/>
      <c r="AN944" s="121"/>
    </row>
    <row r="945" spans="29:40">
      <c r="AC945" s="119"/>
      <c r="AD945" s="119"/>
      <c r="AE945" s="120"/>
      <c r="AF945" s="119"/>
      <c r="AG945" s="119"/>
      <c r="AH945" s="120"/>
      <c r="AI945" s="121"/>
      <c r="AJ945" s="121"/>
      <c r="AK945" s="121"/>
      <c r="AL945" s="121"/>
      <c r="AM945" s="122"/>
      <c r="AN945" s="121"/>
    </row>
    <row r="946" spans="29:40">
      <c r="AC946" s="119"/>
      <c r="AD946" s="119"/>
      <c r="AE946" s="120"/>
      <c r="AF946" s="119"/>
      <c r="AG946" s="119"/>
      <c r="AH946" s="120"/>
      <c r="AI946" s="121"/>
      <c r="AJ946" s="121"/>
      <c r="AK946" s="121"/>
      <c r="AL946" s="121"/>
      <c r="AM946" s="122"/>
      <c r="AN946" s="121"/>
    </row>
    <row r="947" spans="29:40">
      <c r="AC947" s="119"/>
      <c r="AD947" s="119"/>
      <c r="AE947" s="120"/>
      <c r="AF947" s="119"/>
      <c r="AG947" s="119"/>
      <c r="AH947" s="120"/>
      <c r="AI947" s="121"/>
      <c r="AJ947" s="121"/>
      <c r="AK947" s="121"/>
      <c r="AL947" s="121"/>
      <c r="AM947" s="122"/>
      <c r="AN947" s="121"/>
    </row>
    <row r="948" spans="29:40">
      <c r="AC948" s="119"/>
      <c r="AD948" s="119"/>
      <c r="AE948" s="120"/>
      <c r="AF948" s="119"/>
      <c r="AG948" s="119"/>
      <c r="AH948" s="120"/>
      <c r="AI948" s="121"/>
      <c r="AJ948" s="121"/>
      <c r="AK948" s="121"/>
      <c r="AL948" s="121"/>
      <c r="AM948" s="122"/>
      <c r="AN948" s="121"/>
    </row>
    <row r="949" spans="29:40">
      <c r="AC949" s="119"/>
      <c r="AD949" s="119"/>
      <c r="AE949" s="120"/>
      <c r="AF949" s="119"/>
      <c r="AG949" s="119"/>
      <c r="AH949" s="120"/>
      <c r="AI949" s="121"/>
      <c r="AJ949" s="121"/>
      <c r="AK949" s="121"/>
      <c r="AL949" s="121"/>
      <c r="AM949" s="122"/>
      <c r="AN949" s="121"/>
    </row>
    <row r="950" spans="29:40">
      <c r="AC950" s="119"/>
      <c r="AD950" s="119"/>
      <c r="AE950" s="120"/>
      <c r="AF950" s="119"/>
      <c r="AG950" s="119"/>
      <c r="AH950" s="120"/>
      <c r="AI950" s="121"/>
      <c r="AJ950" s="121"/>
      <c r="AK950" s="121"/>
      <c r="AL950" s="121"/>
      <c r="AM950" s="122"/>
      <c r="AN950" s="121"/>
    </row>
    <row r="951" spans="29:40">
      <c r="AC951" s="119"/>
      <c r="AD951" s="119"/>
      <c r="AE951" s="120"/>
      <c r="AF951" s="119"/>
      <c r="AG951" s="119"/>
      <c r="AH951" s="120"/>
      <c r="AI951" s="121"/>
      <c r="AJ951" s="121"/>
      <c r="AK951" s="121"/>
      <c r="AL951" s="121"/>
      <c r="AM951" s="122"/>
      <c r="AN951" s="121"/>
    </row>
    <row r="952" spans="29:40">
      <c r="AC952" s="119"/>
      <c r="AD952" s="119"/>
      <c r="AE952" s="120"/>
      <c r="AF952" s="119"/>
      <c r="AG952" s="119"/>
      <c r="AH952" s="120"/>
      <c r="AI952" s="121"/>
      <c r="AJ952" s="121"/>
      <c r="AK952" s="121"/>
      <c r="AL952" s="121"/>
      <c r="AM952" s="122"/>
      <c r="AN952" s="121"/>
    </row>
    <row r="953" spans="29:40">
      <c r="AC953" s="119"/>
      <c r="AD953" s="119"/>
      <c r="AE953" s="120"/>
      <c r="AF953" s="119"/>
      <c r="AG953" s="119"/>
      <c r="AH953" s="120"/>
      <c r="AI953" s="121"/>
      <c r="AJ953" s="121"/>
      <c r="AK953" s="121"/>
      <c r="AL953" s="121"/>
      <c r="AM953" s="122"/>
      <c r="AN953" s="121"/>
    </row>
    <row r="954" spans="29:40">
      <c r="AC954" s="119"/>
      <c r="AD954" s="119"/>
      <c r="AE954" s="120"/>
      <c r="AF954" s="119"/>
      <c r="AG954" s="119"/>
      <c r="AH954" s="120"/>
      <c r="AI954" s="121"/>
      <c r="AJ954" s="121"/>
      <c r="AK954" s="121"/>
      <c r="AL954" s="121"/>
      <c r="AM954" s="122"/>
      <c r="AN954" s="121"/>
    </row>
    <row r="955" spans="29:40">
      <c r="AC955" s="119"/>
      <c r="AD955" s="119"/>
      <c r="AE955" s="120"/>
      <c r="AF955" s="119"/>
      <c r="AG955" s="119"/>
      <c r="AH955" s="120"/>
      <c r="AI955" s="121"/>
      <c r="AJ955" s="121"/>
      <c r="AK955" s="121"/>
      <c r="AL955" s="121"/>
      <c r="AM955" s="122"/>
      <c r="AN955" s="121"/>
    </row>
    <row r="956" spans="29:40">
      <c r="AC956" s="119"/>
      <c r="AD956" s="119"/>
      <c r="AE956" s="120"/>
      <c r="AF956" s="119"/>
      <c r="AG956" s="119"/>
      <c r="AH956" s="120"/>
      <c r="AI956" s="121"/>
      <c r="AJ956" s="121"/>
      <c r="AK956" s="121"/>
      <c r="AL956" s="121"/>
      <c r="AM956" s="122"/>
      <c r="AN956" s="121"/>
    </row>
    <row r="957" spans="29:40">
      <c r="AC957" s="119"/>
      <c r="AD957" s="119"/>
      <c r="AE957" s="120"/>
      <c r="AF957" s="119"/>
      <c r="AG957" s="119"/>
      <c r="AH957" s="120"/>
      <c r="AI957" s="121"/>
      <c r="AJ957" s="121"/>
      <c r="AK957" s="121"/>
      <c r="AL957" s="121"/>
      <c r="AM957" s="122"/>
      <c r="AN957" s="121"/>
    </row>
    <row r="958" spans="29:40">
      <c r="AC958" s="119"/>
      <c r="AD958" s="119"/>
      <c r="AE958" s="120"/>
      <c r="AF958" s="119"/>
      <c r="AG958" s="119"/>
      <c r="AH958" s="120"/>
      <c r="AI958" s="121"/>
      <c r="AJ958" s="121"/>
      <c r="AK958" s="121"/>
      <c r="AL958" s="121"/>
      <c r="AM958" s="122"/>
      <c r="AN958" s="121"/>
    </row>
    <row r="959" spans="29:40">
      <c r="AC959" s="119"/>
      <c r="AD959" s="119"/>
      <c r="AE959" s="120"/>
      <c r="AF959" s="119"/>
      <c r="AG959" s="119"/>
      <c r="AH959" s="120"/>
      <c r="AI959" s="121"/>
      <c r="AJ959" s="121"/>
      <c r="AK959" s="121"/>
      <c r="AL959" s="121"/>
      <c r="AM959" s="122"/>
      <c r="AN959" s="121"/>
    </row>
    <row r="960" spans="29:40">
      <c r="AC960" s="119"/>
      <c r="AD960" s="119"/>
      <c r="AE960" s="120"/>
      <c r="AF960" s="119"/>
      <c r="AG960" s="119"/>
      <c r="AH960" s="120"/>
      <c r="AI960" s="121"/>
      <c r="AJ960" s="121"/>
      <c r="AK960" s="121"/>
      <c r="AL960" s="121"/>
      <c r="AM960" s="122"/>
      <c r="AN960" s="121"/>
    </row>
    <row r="961" spans="29:40">
      <c r="AC961" s="119"/>
      <c r="AD961" s="119"/>
      <c r="AE961" s="120"/>
      <c r="AF961" s="119"/>
      <c r="AG961" s="119"/>
      <c r="AH961" s="120"/>
      <c r="AI961" s="121"/>
      <c r="AJ961" s="121"/>
      <c r="AK961" s="121"/>
      <c r="AL961" s="121"/>
      <c r="AM961" s="122"/>
      <c r="AN961" s="121"/>
    </row>
    <row r="962" spans="29:40">
      <c r="AC962" s="119"/>
      <c r="AD962" s="119"/>
      <c r="AE962" s="120"/>
      <c r="AF962" s="119"/>
      <c r="AG962" s="119"/>
      <c r="AH962" s="120"/>
      <c r="AI962" s="121"/>
      <c r="AJ962" s="121"/>
      <c r="AK962" s="121"/>
      <c r="AL962" s="121"/>
      <c r="AM962" s="122"/>
      <c r="AN962" s="121"/>
    </row>
    <row r="963" spans="29:40">
      <c r="AC963" s="119"/>
      <c r="AD963" s="119"/>
      <c r="AE963" s="120"/>
      <c r="AF963" s="119"/>
      <c r="AG963" s="119"/>
      <c r="AH963" s="120"/>
      <c r="AI963" s="121"/>
      <c r="AJ963" s="121"/>
      <c r="AK963" s="121"/>
      <c r="AL963" s="121"/>
      <c r="AM963" s="122"/>
      <c r="AN963" s="121"/>
    </row>
    <row r="964" spans="29:40">
      <c r="AC964" s="119"/>
      <c r="AD964" s="119"/>
      <c r="AE964" s="120"/>
      <c r="AF964" s="119"/>
      <c r="AG964" s="119"/>
      <c r="AH964" s="120"/>
      <c r="AI964" s="121"/>
      <c r="AJ964" s="121"/>
      <c r="AK964" s="121"/>
      <c r="AL964" s="121"/>
      <c r="AM964" s="122"/>
      <c r="AN964" s="121"/>
    </row>
    <row r="965" spans="29:40">
      <c r="AC965" s="119"/>
      <c r="AD965" s="119"/>
      <c r="AE965" s="120"/>
      <c r="AF965" s="119"/>
      <c r="AG965" s="119"/>
      <c r="AH965" s="120"/>
      <c r="AI965" s="121"/>
      <c r="AJ965" s="121"/>
      <c r="AK965" s="121"/>
      <c r="AL965" s="121"/>
      <c r="AM965" s="122"/>
      <c r="AN965" s="121"/>
    </row>
    <row r="966" spans="29:40">
      <c r="AC966" s="119"/>
      <c r="AD966" s="119"/>
      <c r="AE966" s="120"/>
      <c r="AF966" s="119"/>
      <c r="AG966" s="119"/>
      <c r="AH966" s="120"/>
      <c r="AI966" s="121"/>
      <c r="AJ966" s="121"/>
      <c r="AK966" s="121"/>
      <c r="AL966" s="121"/>
      <c r="AM966" s="122"/>
      <c r="AN966" s="121"/>
    </row>
    <row r="967" spans="29:40">
      <c r="AC967" s="119"/>
      <c r="AD967" s="119"/>
      <c r="AE967" s="120"/>
      <c r="AF967" s="119"/>
      <c r="AG967" s="119"/>
      <c r="AH967" s="120"/>
      <c r="AI967" s="121"/>
      <c r="AJ967" s="121"/>
      <c r="AK967" s="121"/>
      <c r="AL967" s="121"/>
      <c r="AM967" s="122"/>
      <c r="AN967" s="121"/>
    </row>
    <row r="968" spans="29:40">
      <c r="AC968" s="119"/>
      <c r="AD968" s="119"/>
      <c r="AE968" s="120"/>
      <c r="AF968" s="119"/>
      <c r="AG968" s="119"/>
      <c r="AH968" s="120"/>
      <c r="AI968" s="121"/>
      <c r="AJ968" s="121"/>
      <c r="AK968" s="121"/>
      <c r="AL968" s="121"/>
      <c r="AM968" s="122"/>
      <c r="AN968" s="121"/>
    </row>
    <row r="969" spans="29:40">
      <c r="AC969" s="119"/>
      <c r="AD969" s="119"/>
      <c r="AE969" s="120"/>
      <c r="AF969" s="119"/>
      <c r="AG969" s="119"/>
      <c r="AH969" s="120"/>
      <c r="AI969" s="121"/>
      <c r="AJ969" s="121"/>
      <c r="AK969" s="121"/>
      <c r="AL969" s="121"/>
      <c r="AM969" s="122"/>
      <c r="AN969" s="121"/>
    </row>
    <row r="970" spans="29:40">
      <c r="AC970" s="119"/>
      <c r="AD970" s="119"/>
      <c r="AE970" s="120"/>
      <c r="AF970" s="119"/>
      <c r="AG970" s="119"/>
      <c r="AH970" s="120"/>
      <c r="AI970" s="121"/>
      <c r="AJ970" s="121"/>
      <c r="AK970" s="121"/>
      <c r="AL970" s="121"/>
      <c r="AM970" s="122"/>
      <c r="AN970" s="121"/>
    </row>
    <row r="971" spans="29:40">
      <c r="AC971" s="119"/>
      <c r="AD971" s="119"/>
      <c r="AE971" s="120"/>
      <c r="AF971" s="119"/>
      <c r="AG971" s="119"/>
      <c r="AH971" s="120"/>
      <c r="AI971" s="121"/>
      <c r="AJ971" s="121"/>
      <c r="AK971" s="121"/>
      <c r="AL971" s="121"/>
      <c r="AM971" s="122"/>
      <c r="AN971" s="121"/>
    </row>
    <row r="972" spans="29:40">
      <c r="AC972" s="119"/>
      <c r="AD972" s="119"/>
      <c r="AE972" s="120"/>
      <c r="AF972" s="119"/>
      <c r="AG972" s="119"/>
      <c r="AH972" s="120"/>
      <c r="AI972" s="121"/>
      <c r="AJ972" s="121"/>
      <c r="AK972" s="121"/>
      <c r="AL972" s="121"/>
      <c r="AM972" s="122"/>
      <c r="AN972" s="121"/>
    </row>
    <row r="973" spans="29:40">
      <c r="AC973" s="119"/>
      <c r="AD973" s="119"/>
      <c r="AE973" s="120"/>
      <c r="AF973" s="119"/>
      <c r="AG973" s="119"/>
      <c r="AH973" s="120"/>
      <c r="AI973" s="121"/>
      <c r="AJ973" s="121"/>
      <c r="AK973" s="121"/>
      <c r="AL973" s="121"/>
      <c r="AM973" s="122"/>
      <c r="AN973" s="121"/>
    </row>
    <row r="974" spans="29:40">
      <c r="AC974" s="119"/>
      <c r="AD974" s="119"/>
      <c r="AE974" s="120"/>
      <c r="AF974" s="119"/>
      <c r="AG974" s="119"/>
      <c r="AH974" s="120"/>
      <c r="AI974" s="121"/>
      <c r="AJ974" s="121"/>
      <c r="AK974" s="121"/>
      <c r="AL974" s="121"/>
      <c r="AM974" s="122"/>
      <c r="AN974" s="121"/>
    </row>
    <row r="975" spans="29:40">
      <c r="AC975" s="119"/>
      <c r="AD975" s="119"/>
      <c r="AE975" s="120"/>
      <c r="AF975" s="119"/>
      <c r="AG975" s="119"/>
      <c r="AH975" s="120"/>
      <c r="AI975" s="121"/>
      <c r="AJ975" s="121"/>
      <c r="AK975" s="121"/>
      <c r="AL975" s="121"/>
      <c r="AM975" s="122"/>
      <c r="AN975" s="121"/>
    </row>
    <row r="976" spans="29:40">
      <c r="AC976" s="119"/>
      <c r="AD976" s="119"/>
      <c r="AE976" s="120"/>
      <c r="AF976" s="119"/>
      <c r="AG976" s="119"/>
      <c r="AH976" s="120"/>
      <c r="AI976" s="121"/>
      <c r="AJ976" s="121"/>
      <c r="AK976" s="121"/>
      <c r="AL976" s="121"/>
      <c r="AM976" s="122"/>
      <c r="AN976" s="121"/>
    </row>
    <row r="977" spans="1:40">
      <c r="AC977" s="119"/>
      <c r="AD977" s="119"/>
      <c r="AE977" s="120"/>
      <c r="AF977" s="119"/>
      <c r="AG977" s="119"/>
      <c r="AH977" s="120"/>
      <c r="AI977" s="121"/>
      <c r="AJ977" s="121"/>
      <c r="AK977" s="121"/>
      <c r="AL977" s="121"/>
      <c r="AM977" s="122"/>
      <c r="AN977" s="121"/>
    </row>
    <row r="978" spans="1:40">
      <c r="AC978" s="119"/>
      <c r="AD978" s="119"/>
      <c r="AE978" s="120"/>
      <c r="AF978" s="119"/>
      <c r="AG978" s="119"/>
      <c r="AH978" s="120"/>
      <c r="AI978" s="121"/>
      <c r="AJ978" s="121"/>
      <c r="AK978" s="121"/>
      <c r="AL978" s="121"/>
      <c r="AM978" s="122"/>
      <c r="AN978" s="121"/>
    </row>
    <row r="979" spans="1:40">
      <c r="AC979" s="119"/>
      <c r="AD979" s="119"/>
      <c r="AE979" s="120"/>
      <c r="AF979" s="119"/>
      <c r="AG979" s="119"/>
      <c r="AH979" s="120"/>
      <c r="AI979" s="121"/>
      <c r="AJ979" s="121"/>
      <c r="AK979" s="121"/>
      <c r="AL979" s="121"/>
      <c r="AM979" s="122"/>
      <c r="AN979" s="121"/>
    </row>
    <row r="980" spans="1:40">
      <c r="AC980" s="119"/>
      <c r="AD980" s="119"/>
      <c r="AE980" s="120"/>
      <c r="AF980" s="119"/>
      <c r="AG980" s="119"/>
      <c r="AH980" s="120"/>
      <c r="AI980" s="121"/>
      <c r="AJ980" s="121"/>
      <c r="AK980" s="121"/>
      <c r="AL980" s="121"/>
      <c r="AM980" s="122"/>
      <c r="AN980" s="121"/>
    </row>
    <row r="981" spans="1:40">
      <c r="AC981" s="119"/>
      <c r="AD981" s="119"/>
      <c r="AE981" s="120"/>
      <c r="AF981" s="119"/>
      <c r="AG981" s="119"/>
      <c r="AH981" s="120"/>
      <c r="AI981" s="121"/>
      <c r="AJ981" s="121"/>
      <c r="AK981" s="121"/>
      <c r="AL981" s="121"/>
      <c r="AM981" s="122"/>
      <c r="AN981" s="121"/>
    </row>
    <row r="982" spans="1:40">
      <c r="AC982" s="119"/>
      <c r="AD982" s="119"/>
      <c r="AE982" s="120"/>
      <c r="AF982" s="119"/>
      <c r="AG982" s="119"/>
      <c r="AH982" s="120"/>
      <c r="AI982" s="121"/>
      <c r="AJ982" s="121"/>
      <c r="AK982" s="121"/>
      <c r="AL982" s="121"/>
      <c r="AM982" s="122"/>
      <c r="AN982" s="121"/>
    </row>
    <row r="983" spans="1:40">
      <c r="AC983" s="119"/>
      <c r="AD983" s="119"/>
      <c r="AE983" s="120"/>
      <c r="AF983" s="119"/>
      <c r="AG983" s="119"/>
      <c r="AH983" s="120"/>
      <c r="AI983" s="121"/>
      <c r="AJ983" s="121"/>
      <c r="AK983" s="121"/>
      <c r="AL983" s="121"/>
      <c r="AM983" s="122"/>
      <c r="AN983" s="121"/>
    </row>
    <row r="984" spans="1:40">
      <c r="AC984" s="119"/>
      <c r="AD984" s="119"/>
      <c r="AE984" s="120"/>
      <c r="AF984" s="119"/>
      <c r="AG984" s="119"/>
      <c r="AH984" s="120"/>
      <c r="AI984" s="121"/>
      <c r="AJ984" s="121"/>
      <c r="AK984" s="121"/>
      <c r="AL984" s="121"/>
      <c r="AM984" s="122"/>
      <c r="AN984" s="121"/>
    </row>
    <row r="985" spans="1:40">
      <c r="AC985" s="119"/>
      <c r="AD985" s="119"/>
      <c r="AE985" s="120"/>
      <c r="AF985" s="119"/>
      <c r="AG985" s="119"/>
      <c r="AH985" s="120"/>
      <c r="AI985" s="121"/>
      <c r="AJ985" s="121"/>
      <c r="AK985" s="121"/>
      <c r="AL985" s="121"/>
      <c r="AM985" s="122"/>
      <c r="AN985" s="121"/>
    </row>
    <row r="986" spans="1:40">
      <c r="AC986" s="119"/>
      <c r="AD986" s="119"/>
      <c r="AE986" s="120"/>
      <c r="AF986" s="119"/>
      <c r="AG986" s="119"/>
      <c r="AH986" s="120"/>
      <c r="AI986" s="121"/>
      <c r="AJ986" s="121"/>
      <c r="AK986" s="121"/>
      <c r="AL986" s="121"/>
      <c r="AM986" s="122"/>
      <c r="AN986" s="121"/>
    </row>
    <row r="987" spans="1:40">
      <c r="AC987" s="119"/>
      <c r="AD987" s="119"/>
      <c r="AE987" s="120"/>
      <c r="AF987" s="119"/>
      <c r="AG987" s="119"/>
      <c r="AH987" s="120"/>
      <c r="AI987" s="121"/>
      <c r="AJ987" s="121"/>
      <c r="AK987" s="121"/>
      <c r="AL987" s="121"/>
      <c r="AM987" s="122"/>
      <c r="AN987" s="121"/>
    </row>
    <row r="988" spans="1:40">
      <c r="AC988" s="119"/>
      <c r="AD988" s="119"/>
      <c r="AE988" s="120"/>
      <c r="AF988" s="119"/>
      <c r="AG988" s="119"/>
      <c r="AH988" s="120"/>
      <c r="AI988" s="121"/>
      <c r="AJ988" s="121"/>
      <c r="AK988" s="121"/>
      <c r="AL988" s="121"/>
      <c r="AM988" s="122"/>
      <c r="AN988" s="121"/>
    </row>
    <row r="989" spans="1:40">
      <c r="AC989" s="119"/>
      <c r="AD989" s="119"/>
      <c r="AE989" s="120"/>
      <c r="AF989" s="119"/>
      <c r="AG989" s="119"/>
      <c r="AH989" s="120"/>
      <c r="AI989" s="121"/>
      <c r="AJ989" s="121"/>
      <c r="AK989" s="121"/>
      <c r="AL989" s="121"/>
      <c r="AM989" s="122"/>
      <c r="AN989" s="121"/>
    </row>
    <row r="990" spans="1:40">
      <c r="A990" s="71" t="s">
        <v>473</v>
      </c>
      <c r="B990" s="72"/>
      <c r="C990" s="71"/>
      <c r="D990" s="72"/>
      <c r="E990" s="71"/>
      <c r="F990" s="72"/>
      <c r="G990" s="77"/>
      <c r="H990" s="72" t="str">
        <f t="shared" ref="H990" si="20">CONCATENATE(A990," ",B990," ",C990," ",D990," ",F990)</f>
        <v xml:space="preserve">Don't alter this row: It contains the format template    </v>
      </c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119"/>
      <c r="AD990" s="119"/>
      <c r="AE990" s="120"/>
      <c r="AF990" s="119"/>
      <c r="AG990" s="119"/>
      <c r="AH990" s="120"/>
      <c r="AI990" s="121"/>
      <c r="AJ990" s="121"/>
      <c r="AK990" s="121"/>
      <c r="AL990" s="121"/>
      <c r="AM990" s="122"/>
      <c r="AN990" s="121"/>
    </row>
    <row r="991" spans="1:40">
      <c r="AC991" s="119"/>
      <c r="AD991" s="119"/>
      <c r="AE991" s="120"/>
      <c r="AF991" s="119"/>
      <c r="AG991" s="119"/>
      <c r="AH991" s="120"/>
      <c r="AI991" s="121"/>
      <c r="AJ991" s="121"/>
      <c r="AK991" s="121"/>
      <c r="AL991" s="121"/>
      <c r="AM991" s="122"/>
      <c r="AN991" s="121"/>
    </row>
    <row r="992" spans="1:40">
      <c r="AC992" s="119"/>
      <c r="AD992" s="119"/>
      <c r="AE992" s="120"/>
      <c r="AF992" s="119"/>
      <c r="AG992" s="119"/>
      <c r="AH992" s="120"/>
      <c r="AI992" s="121"/>
      <c r="AJ992" s="121"/>
      <c r="AK992" s="121"/>
      <c r="AL992" s="121"/>
      <c r="AM992" s="122"/>
      <c r="AN992" s="121"/>
    </row>
    <row r="993" spans="1:42">
      <c r="AC993" s="119"/>
      <c r="AD993" s="119"/>
      <c r="AE993" s="120"/>
      <c r="AF993" s="119"/>
      <c r="AG993" s="119"/>
      <c r="AH993" s="120"/>
      <c r="AI993" s="121"/>
      <c r="AJ993" s="121"/>
      <c r="AK993" s="121"/>
      <c r="AL993" s="121"/>
      <c r="AM993" s="122"/>
      <c r="AN993" s="121"/>
    </row>
    <row r="994" spans="1:42">
      <c r="AC994" s="119"/>
      <c r="AD994" s="119"/>
      <c r="AE994" s="120"/>
      <c r="AF994" s="119"/>
      <c r="AG994" s="119"/>
      <c r="AH994" s="120"/>
      <c r="AI994" s="121"/>
      <c r="AJ994" s="121"/>
      <c r="AK994" s="121"/>
      <c r="AL994" s="121"/>
      <c r="AM994" s="122"/>
      <c r="AN994" s="121"/>
    </row>
    <row r="995" spans="1:42">
      <c r="AC995" s="119"/>
      <c r="AD995" s="119"/>
      <c r="AE995" s="120"/>
      <c r="AF995" s="119"/>
      <c r="AG995" s="119"/>
      <c r="AH995" s="120"/>
      <c r="AI995" s="121"/>
      <c r="AJ995" s="121"/>
      <c r="AK995" s="121"/>
      <c r="AL995" s="121"/>
      <c r="AM995" s="122"/>
      <c r="AN995" s="121"/>
    </row>
    <row r="996" spans="1:42">
      <c r="AC996" s="119"/>
      <c r="AD996" s="119"/>
      <c r="AE996" s="120"/>
      <c r="AF996" s="119"/>
      <c r="AG996" s="119"/>
      <c r="AH996" s="120"/>
      <c r="AI996" s="121"/>
      <c r="AJ996" s="121"/>
      <c r="AK996" s="121"/>
      <c r="AL996" s="121"/>
      <c r="AM996" s="122"/>
      <c r="AN996" s="121"/>
    </row>
    <row r="997" spans="1:42">
      <c r="AC997" s="119"/>
      <c r="AD997" s="119"/>
      <c r="AE997" s="120"/>
      <c r="AF997" s="119"/>
      <c r="AG997" s="119"/>
      <c r="AH997" s="120"/>
      <c r="AI997" s="121"/>
      <c r="AJ997" s="121"/>
      <c r="AK997" s="121"/>
      <c r="AL997" s="121"/>
      <c r="AM997" s="122"/>
      <c r="AN997" s="121"/>
    </row>
    <row r="998" spans="1:42">
      <c r="AC998" s="119"/>
      <c r="AD998" s="119"/>
      <c r="AE998" s="120"/>
      <c r="AF998" s="119"/>
      <c r="AG998" s="119"/>
      <c r="AH998" s="120"/>
      <c r="AI998" s="121"/>
      <c r="AJ998" s="121"/>
      <c r="AK998" s="121"/>
      <c r="AL998" s="121"/>
      <c r="AM998" s="122"/>
      <c r="AN998" s="121"/>
      <c r="AP998" s="88"/>
    </row>
    <row r="999" spans="1:42">
      <c r="A999" s="84"/>
      <c r="B999" s="84"/>
      <c r="C999" s="84"/>
      <c r="D999" s="84"/>
      <c r="E999" s="84"/>
      <c r="F999" s="84"/>
      <c r="G999" s="84"/>
      <c r="H999" s="84"/>
      <c r="I999" s="84"/>
      <c r="J999" s="84"/>
      <c r="K999" s="84"/>
      <c r="L999" s="84"/>
      <c r="M999" s="84"/>
      <c r="N999" s="84"/>
      <c r="O999" s="84"/>
      <c r="P999" s="84"/>
      <c r="Q999" s="84"/>
      <c r="R999" s="84"/>
      <c r="S999" s="84"/>
      <c r="T999" s="84"/>
      <c r="U999" s="84"/>
      <c r="V999" s="84"/>
      <c r="W999" s="84"/>
      <c r="X999" s="84"/>
      <c r="Y999" s="84"/>
      <c r="Z999" s="84"/>
      <c r="AA999" s="84"/>
      <c r="AB999" s="84"/>
      <c r="AC999" s="119"/>
      <c r="AD999" s="119"/>
      <c r="AE999" s="120"/>
      <c r="AF999" s="119"/>
      <c r="AG999" s="119"/>
      <c r="AH999" s="120"/>
      <c r="AI999" s="121"/>
      <c r="AJ999" s="121"/>
      <c r="AK999" s="121"/>
      <c r="AL999" s="121"/>
      <c r="AM999" s="122"/>
      <c r="AN999" s="121"/>
      <c r="AP999" s="88"/>
    </row>
    <row r="1000" spans="1:42">
      <c r="A1000" s="71" t="s">
        <v>99</v>
      </c>
      <c r="B1000" s="72" t="s">
        <v>44</v>
      </c>
      <c r="C1000" s="71" t="s">
        <v>45</v>
      </c>
      <c r="D1000" s="72" t="s">
        <v>46</v>
      </c>
      <c r="E1000" s="71" t="s">
        <v>102</v>
      </c>
      <c r="F1000" s="72" t="s">
        <v>474</v>
      </c>
      <c r="G1000" s="77"/>
      <c r="H1000" s="72" t="str">
        <f t="shared" ref="H1000:H1039" si="21">CONCATENATE(A1000," ",B1000," ",C1000," ",D1000," ",F1000)</f>
        <v xml:space="preserve">ACC Isobutane 50 Hz 230V HKK12AA </v>
      </c>
      <c r="I1000" s="91">
        <v>698.33481026919469</v>
      </c>
      <c r="J1000" s="92">
        <v>17.942343775634892</v>
      </c>
      <c r="K1000" s="92">
        <v>-4.6040250864793908</v>
      </c>
      <c r="L1000" s="92">
        <v>0.1073192062823619</v>
      </c>
      <c r="M1000" s="92">
        <v>-2.6366660632304757E-2</v>
      </c>
      <c r="N1000" s="92">
        <v>1.0288755707428571E-3</v>
      </c>
      <c r="O1000" s="92">
        <v>-2.346322521904762E-5</v>
      </c>
      <c r="P1000" s="92">
        <v>8.1773066110476188E-4</v>
      </c>
      <c r="Q1000" s="92">
        <v>-1.6513433881904763E-4</v>
      </c>
      <c r="R1000" s="92">
        <v>2.1143100114285715E-5</v>
      </c>
      <c r="S1000" s="92">
        <v>133.10766411538387</v>
      </c>
      <c r="T1000" s="92">
        <v>0.16404333131486651</v>
      </c>
      <c r="U1000" s="92">
        <v>0.62621551249646623</v>
      </c>
      <c r="V1000" s="92">
        <v>-6.4754630010681075E-2</v>
      </c>
      <c r="W1000" s="92">
        <v>5.0598860579434593E-2</v>
      </c>
      <c r="X1000" s="92">
        <v>6.771031714859232E-3</v>
      </c>
      <c r="Y1000" s="92">
        <v>-5.0366616978296704E-4</v>
      </c>
      <c r="Z1000" s="92">
        <v>1.0048732692925885E-3</v>
      </c>
      <c r="AA1000" s="92">
        <v>1.6094033263881427E-4</v>
      </c>
      <c r="AB1000" s="92">
        <v>1.3786394552308573E-5</v>
      </c>
      <c r="AC1000" s="119"/>
      <c r="AD1000" s="119"/>
      <c r="AE1000" s="120"/>
      <c r="AF1000" s="119"/>
      <c r="AG1000" s="119"/>
      <c r="AH1000" s="120"/>
      <c r="AI1000" s="121"/>
      <c r="AJ1000" s="121"/>
      <c r="AK1000" s="121"/>
      <c r="AL1000" s="121"/>
      <c r="AM1000" s="122"/>
      <c r="AN1000" s="121"/>
      <c r="AP1000" s="87"/>
    </row>
    <row r="1001" spans="1:42">
      <c r="A1001" s="71" t="s">
        <v>99</v>
      </c>
      <c r="B1001" s="72" t="s">
        <v>44</v>
      </c>
      <c r="C1001" s="71" t="s">
        <v>45</v>
      </c>
      <c r="D1001" s="72" t="s">
        <v>46</v>
      </c>
      <c r="E1001" s="71" t="s">
        <v>102</v>
      </c>
      <c r="F1001" s="72" t="s">
        <v>475</v>
      </c>
      <c r="G1001" s="77"/>
      <c r="H1001" s="72" t="str">
        <f t="shared" si="21"/>
        <v xml:space="preserve">ACC Isobutane 50 Hz 230V HKK55AA </v>
      </c>
      <c r="I1001" s="91">
        <v>408.3140887781351</v>
      </c>
      <c r="J1001" s="92">
        <v>14.601418589710612</v>
      </c>
      <c r="K1001" s="92">
        <v>-4.5127926732797423</v>
      </c>
      <c r="L1001" s="92">
        <v>0.17698977623794213</v>
      </c>
      <c r="M1001" s="92">
        <v>-0.13387733861736334</v>
      </c>
      <c r="N1001" s="92">
        <v>2.5808298424437298E-2</v>
      </c>
      <c r="O1001" s="92">
        <v>6.9333643086816723E-4</v>
      </c>
      <c r="P1001" s="92">
        <v>-1.1665888102893891E-3</v>
      </c>
      <c r="Q1001" s="92">
        <v>2.9841636655948553E-4</v>
      </c>
      <c r="R1001" s="92">
        <v>-1.476885852090032E-4</v>
      </c>
      <c r="S1001" s="92">
        <v>83.788312044483362</v>
      </c>
      <c r="T1001" s="92">
        <v>3.0976192582486863</v>
      </c>
      <c r="U1001" s="92">
        <v>-0.52966043369527149</v>
      </c>
      <c r="V1001" s="92">
        <v>5.454707012259194E-2</v>
      </c>
      <c r="W1001" s="92">
        <v>-4.2430673064798599E-2</v>
      </c>
      <c r="X1001" s="92">
        <v>1.5609536952714534E-2</v>
      </c>
      <c r="Y1001" s="92">
        <v>4.1870332749562169E-4</v>
      </c>
      <c r="Z1001" s="92">
        <v>-3.7907905429071802E-4</v>
      </c>
      <c r="AA1001" s="92">
        <v>4.7825274956217164E-4</v>
      </c>
      <c r="AB1001" s="92">
        <v>-5.6511141856392296E-5</v>
      </c>
      <c r="AC1001" s="119"/>
      <c r="AD1001" s="119"/>
      <c r="AE1001" s="120"/>
      <c r="AF1001" s="119"/>
      <c r="AG1001" s="119"/>
      <c r="AH1001" s="120"/>
      <c r="AI1001" s="121"/>
      <c r="AJ1001" s="121"/>
      <c r="AK1001" s="121"/>
      <c r="AL1001" s="121"/>
      <c r="AM1001" s="122"/>
      <c r="AN1001" s="121"/>
      <c r="AP1001" s="87"/>
    </row>
    <row r="1002" spans="1:42">
      <c r="A1002" s="71" t="s">
        <v>99</v>
      </c>
      <c r="B1002" s="72" t="s">
        <v>44</v>
      </c>
      <c r="C1002" s="71" t="s">
        <v>45</v>
      </c>
      <c r="D1002" s="72" t="s">
        <v>46</v>
      </c>
      <c r="E1002" s="71" t="s">
        <v>102</v>
      </c>
      <c r="F1002" s="72" t="s">
        <v>476</v>
      </c>
      <c r="G1002" s="77"/>
      <c r="H1002" s="72" t="str">
        <f t="shared" si="21"/>
        <v>ACC Isobutane 50 Hz 230V HKK55AA.03 no cond.</v>
      </c>
      <c r="I1002" s="91">
        <v>337.41378478910906</v>
      </c>
      <c r="J1002" s="92">
        <v>8.7627687292586298</v>
      </c>
      <c r="K1002" s="92">
        <v>-2.2141864099965893</v>
      </c>
      <c r="L1002" s="92">
        <v>6.3172489656695946E-2</v>
      </c>
      <c r="M1002" s="92">
        <v>1.389428529547605E-3</v>
      </c>
      <c r="N1002" s="92">
        <v>5.4610344338160898E-3</v>
      </c>
      <c r="O1002" s="92">
        <v>1.4092212956076242E-5</v>
      </c>
      <c r="P1002" s="92">
        <v>1.2614496101982266E-4</v>
      </c>
      <c r="Q1002" s="92">
        <v>-3.1304342503607826E-4</v>
      </c>
      <c r="R1002" s="92">
        <v>-5.6998197082421995E-5</v>
      </c>
      <c r="S1002" s="92">
        <v>60.024205337228949</v>
      </c>
      <c r="T1002" s="92">
        <v>0.7083813864013726</v>
      </c>
      <c r="U1002" s="92">
        <v>0.17402742333503476</v>
      </c>
      <c r="V1002" s="92">
        <v>1.214742314842133E-4</v>
      </c>
      <c r="W1002" s="92">
        <v>3.6280639418014235E-5</v>
      </c>
      <c r="X1002" s="92">
        <v>6.0207991997428371E-3</v>
      </c>
      <c r="Y1002" s="92">
        <v>5.421904981169304E-6</v>
      </c>
      <c r="Z1002" s="92">
        <v>-1.7464413011350873E-6</v>
      </c>
      <c r="AA1002" s="92">
        <v>3.121913979165875E-4</v>
      </c>
      <c r="AB1002" s="92">
        <v>3.1777810729716621E-5</v>
      </c>
      <c r="AC1002" s="119"/>
      <c r="AD1002" s="119"/>
      <c r="AE1002" s="120"/>
      <c r="AF1002" s="119"/>
      <c r="AG1002" s="119"/>
      <c r="AH1002" s="120"/>
      <c r="AI1002" s="121"/>
      <c r="AJ1002" s="121"/>
      <c r="AK1002" s="121"/>
      <c r="AL1002" s="121"/>
      <c r="AM1002" s="122"/>
      <c r="AN1002" s="121"/>
      <c r="AP1002" s="87"/>
    </row>
    <row r="1003" spans="1:42">
      <c r="A1003" s="71" t="s">
        <v>99</v>
      </c>
      <c r="B1003" s="72" t="s">
        <v>44</v>
      </c>
      <c r="C1003" s="71" t="s">
        <v>45</v>
      </c>
      <c r="D1003" s="72" t="s">
        <v>46</v>
      </c>
      <c r="E1003" s="71" t="s">
        <v>102</v>
      </c>
      <c r="F1003" s="72" t="s">
        <v>477</v>
      </c>
      <c r="G1003" s="77"/>
      <c r="H1003" s="72" t="str">
        <f t="shared" si="21"/>
        <v xml:space="preserve">ACC Isobutane 50 Hz 230V HKK70AA </v>
      </c>
      <c r="I1003" s="91">
        <v>513.6854665273313</v>
      </c>
      <c r="J1003" s="92">
        <v>18.369526612861737</v>
      </c>
      <c r="K1003" s="92">
        <v>-5.6773843309003214</v>
      </c>
      <c r="L1003" s="92">
        <v>0.22266455720257239</v>
      </c>
      <c r="M1003" s="92">
        <v>-0.16842632922829581</v>
      </c>
      <c r="N1003" s="92">
        <v>3.2468504469453381E-2</v>
      </c>
      <c r="O1003" s="92">
        <v>8.7226196141479114E-4</v>
      </c>
      <c r="P1003" s="92">
        <v>-1.4676439871382637E-3</v>
      </c>
      <c r="Q1003" s="92">
        <v>3.7542704180064314E-4</v>
      </c>
      <c r="R1003" s="92">
        <v>-1.8580176848874598E-4</v>
      </c>
      <c r="S1003" s="92">
        <v>102.40793694325745</v>
      </c>
      <c r="T1003" s="92">
        <v>3.7859790934150617</v>
      </c>
      <c r="U1003" s="92">
        <v>-0.64736275229422069</v>
      </c>
      <c r="V1003" s="92">
        <v>6.666864126094571E-2</v>
      </c>
      <c r="W1003" s="92">
        <v>-5.1859711523642736E-2</v>
      </c>
      <c r="X1003" s="92">
        <v>1.9078322942206655E-2</v>
      </c>
      <c r="Y1003" s="92">
        <v>5.1174851138353764E-4</v>
      </c>
      <c r="Z1003" s="92">
        <v>-4.6331884413309979E-4</v>
      </c>
      <c r="AA1003" s="92">
        <v>5.845311383537653E-4</v>
      </c>
      <c r="AB1003" s="92">
        <v>-6.9069173380035032E-5</v>
      </c>
      <c r="AC1003" s="119"/>
      <c r="AD1003" s="119"/>
      <c r="AE1003" s="120"/>
      <c r="AF1003" s="119"/>
      <c r="AG1003" s="119"/>
      <c r="AH1003" s="120"/>
      <c r="AI1003" s="121"/>
      <c r="AJ1003" s="121"/>
      <c r="AK1003" s="121"/>
      <c r="AL1003" s="121"/>
      <c r="AM1003" s="122"/>
      <c r="AN1003" s="121"/>
      <c r="AP1003" s="87"/>
    </row>
    <row r="1004" spans="1:42">
      <c r="A1004" s="71" t="s">
        <v>99</v>
      </c>
      <c r="B1004" s="72" t="s">
        <v>44</v>
      </c>
      <c r="C1004" s="71" t="s">
        <v>45</v>
      </c>
      <c r="D1004" s="72" t="s">
        <v>46</v>
      </c>
      <c r="E1004" s="71" t="s">
        <v>102</v>
      </c>
      <c r="F1004" s="72" t="s">
        <v>478</v>
      </c>
      <c r="G1004" s="77"/>
      <c r="H1004" s="72" t="str">
        <f t="shared" si="21"/>
        <v xml:space="preserve">ACC Isobutane 50 Hz 230V HKK80AA </v>
      </c>
      <c r="I1004" s="91">
        <v>482.40233604122</v>
      </c>
      <c r="J1004" s="92">
        <v>12.394382213431999</v>
      </c>
      <c r="K1004" s="92">
        <v>-3.1804120663180004</v>
      </c>
      <c r="L1004" s="92">
        <v>7.4134978024000001E-2</v>
      </c>
      <c r="M1004" s="92">
        <v>-1.8213811620999998E-2</v>
      </c>
      <c r="N1004" s="92">
        <v>7.1073641399999998E-4</v>
      </c>
      <c r="O1004" s="92">
        <v>-1.6208149000000002E-5</v>
      </c>
      <c r="P1004" s="92">
        <v>5.6487973300000001E-4</v>
      </c>
      <c r="Q1004" s="92">
        <v>-1.1407306300000001E-4</v>
      </c>
      <c r="R1004" s="92">
        <v>1.4605431000000001E-5</v>
      </c>
      <c r="S1004" s="92">
        <v>91.952397987534496</v>
      </c>
      <c r="T1004" s="92">
        <v>0.11332313423508</v>
      </c>
      <c r="U1004" s="92">
        <v>0.43259731446513999</v>
      </c>
      <c r="V1004" s="92">
        <v>-4.4733288273440003E-2</v>
      </c>
      <c r="W1004" s="92">
        <v>3.4954310081520001E-2</v>
      </c>
      <c r="X1004" s="92">
        <v>4.6775113001099999E-3</v>
      </c>
      <c r="Y1004" s="92">
        <v>-3.4793873368999998E-4</v>
      </c>
      <c r="Z1004" s="92">
        <v>6.9417871164000001E-4</v>
      </c>
      <c r="AA1004" s="92">
        <v>1.111795449E-4</v>
      </c>
      <c r="AB1004" s="92">
        <v>9.5238095200000008E-6</v>
      </c>
      <c r="AC1004" s="119"/>
      <c r="AD1004" s="119"/>
      <c r="AE1004" s="120"/>
      <c r="AF1004" s="119"/>
      <c r="AG1004" s="119"/>
      <c r="AH1004" s="120"/>
      <c r="AI1004" s="121"/>
      <c r="AJ1004" s="121"/>
      <c r="AK1004" s="121"/>
      <c r="AL1004" s="121"/>
      <c r="AM1004" s="122"/>
      <c r="AN1004" s="121"/>
      <c r="AP1004" s="87"/>
    </row>
    <row r="1005" spans="1:42">
      <c r="A1005" s="71" t="s">
        <v>99</v>
      </c>
      <c r="B1005" s="72" t="s">
        <v>44</v>
      </c>
      <c r="C1005" s="71" t="s">
        <v>45</v>
      </c>
      <c r="D1005" s="72" t="s">
        <v>46</v>
      </c>
      <c r="E1005" s="71" t="s">
        <v>102</v>
      </c>
      <c r="F1005" s="72" t="s">
        <v>479</v>
      </c>
      <c r="G1005" s="77"/>
      <c r="H1005" s="72" t="str">
        <f t="shared" si="21"/>
        <v xml:space="preserve">ACC Isobutane 50 Hz 230V HKK95AA </v>
      </c>
      <c r="I1005" s="91">
        <v>697.31765555526306</v>
      </c>
      <c r="J1005" s="92">
        <v>24.633822804802627</v>
      </c>
      <c r="K1005" s="92">
        <v>-7.613461280598683</v>
      </c>
      <c r="L1005" s="92">
        <v>0.29859665811184211</v>
      </c>
      <c r="M1005" s="92">
        <v>-0.22586234497368421</v>
      </c>
      <c r="N1005" s="92">
        <v>4.3540772861842103E-2</v>
      </c>
      <c r="O1005" s="92">
        <v>1.1697163421052631E-3</v>
      </c>
      <c r="P1005" s="92">
        <v>-1.9681345526315788E-3</v>
      </c>
      <c r="Q1005" s="92">
        <v>5.0345336184210528E-4</v>
      </c>
      <c r="R1005" s="92">
        <v>-2.4916180263157895E-4</v>
      </c>
      <c r="S1005" s="92">
        <v>143.15553370240698</v>
      </c>
      <c r="T1005" s="92">
        <v>5.2098688736652079</v>
      </c>
      <c r="U1005" s="92">
        <v>-0.89083298386214438</v>
      </c>
      <c r="V1005" s="92">
        <v>9.1742419201312916E-2</v>
      </c>
      <c r="W1005" s="92">
        <v>-7.1363916301969352E-2</v>
      </c>
      <c r="X1005" s="92">
        <v>2.6253594748358859E-2</v>
      </c>
      <c r="Y1005" s="92">
        <v>7.0421451859956226E-4</v>
      </c>
      <c r="Z1005" s="92">
        <v>-6.3757096280087522E-4</v>
      </c>
      <c r="AA1005" s="92">
        <v>8.0437165207877456E-4</v>
      </c>
      <c r="AB1005" s="92">
        <v>-9.5045796498905902E-5</v>
      </c>
      <c r="AC1005" s="119"/>
      <c r="AD1005" s="119"/>
      <c r="AE1005" s="120"/>
      <c r="AF1005" s="119"/>
      <c r="AG1005" s="119"/>
      <c r="AH1005" s="120"/>
      <c r="AI1005" s="121"/>
      <c r="AJ1005" s="121"/>
      <c r="AK1005" s="121"/>
      <c r="AL1005" s="121"/>
      <c r="AM1005" s="122"/>
      <c r="AN1005" s="121"/>
      <c r="AP1005" s="87"/>
    </row>
    <row r="1006" spans="1:42">
      <c r="A1006" s="71" t="s">
        <v>99</v>
      </c>
      <c r="B1006" s="72" t="s">
        <v>44</v>
      </c>
      <c r="C1006" s="71" t="s">
        <v>45</v>
      </c>
      <c r="D1006" s="72" t="s">
        <v>109</v>
      </c>
      <c r="E1006" s="71" t="s">
        <v>102</v>
      </c>
      <c r="F1006" s="71" t="s">
        <v>480</v>
      </c>
      <c r="G1006" s="77"/>
      <c r="H1006" s="72" t="str">
        <f t="shared" si="21"/>
        <v>ACC Isobutane 50 Hz 220V HMK95AA</v>
      </c>
      <c r="I1006" s="91">
        <v>588.81448042760303</v>
      </c>
      <c r="J1006" s="92">
        <v>16.278678874283013</v>
      </c>
      <c r="K1006" s="92">
        <v>-4.2540939381141909</v>
      </c>
      <c r="L1006" s="92">
        <v>6.9598476832511205E-2</v>
      </c>
      <c r="M1006" s="92">
        <v>-6.5193729793795244E-2</v>
      </c>
      <c r="N1006" s="92">
        <v>7.7564247062774216E-3</v>
      </c>
      <c r="O1006" s="92">
        <v>-3.1149242840100597E-5</v>
      </c>
      <c r="P1006" s="92">
        <v>8.1499509496758924E-4</v>
      </c>
      <c r="Q1006" s="92">
        <v>8.6248465020944885E-6</v>
      </c>
      <c r="R1006" s="92">
        <v>-5.1509430986818355E-5</v>
      </c>
      <c r="S1006" s="92">
        <v>73.396771227577673</v>
      </c>
      <c r="T1006" s="92">
        <v>-1.9257148816785332</v>
      </c>
      <c r="U1006" s="92">
        <v>1.2351949136199107</v>
      </c>
      <c r="V1006" s="92">
        <v>-9.1899121914128162E-2</v>
      </c>
      <c r="W1006" s="92">
        <v>4.899024425983918E-2</v>
      </c>
      <c r="X1006" s="92">
        <v>3.4907032062191849E-3</v>
      </c>
      <c r="Y1006" s="92">
        <v>-2.9273114774456833E-4</v>
      </c>
      <c r="Z1006" s="92">
        <v>1.6334620756296798E-3</v>
      </c>
      <c r="AA1006" s="92">
        <v>8.1665483514306656E-4</v>
      </c>
      <c r="AB1006" s="92">
        <v>1.7879569604819159E-4</v>
      </c>
      <c r="AC1006" s="119">
        <v>3.3870896600115483E-3</v>
      </c>
      <c r="AD1006" s="119">
        <v>0.14809192631058687</v>
      </c>
      <c r="AE1006" s="120">
        <v>1.4587074274124443E-3</v>
      </c>
      <c r="AF1006" s="119">
        <v>2.4390585985629269E-2</v>
      </c>
      <c r="AG1006" s="119">
        <v>1.0726490122221768</v>
      </c>
      <c r="AH1006" s="120">
        <v>3.3908856955026578E-3</v>
      </c>
      <c r="AI1006" s="121">
        <v>-35</v>
      </c>
      <c r="AJ1006" s="121">
        <v>-10</v>
      </c>
      <c r="AK1006" s="121">
        <v>40</v>
      </c>
      <c r="AL1006" s="121">
        <v>60</v>
      </c>
      <c r="AM1006" s="122">
        <v>42439</v>
      </c>
      <c r="AN1006" s="121" t="s">
        <v>481</v>
      </c>
      <c r="AP1006" s="87"/>
    </row>
    <row r="1007" spans="1:42">
      <c r="A1007" s="71" t="s">
        <v>99</v>
      </c>
      <c r="B1007" s="72" t="s">
        <v>44</v>
      </c>
      <c r="C1007" s="71" t="s">
        <v>45</v>
      </c>
      <c r="D1007" s="72" t="s">
        <v>46</v>
      </c>
      <c r="E1007" s="71" t="s">
        <v>102</v>
      </c>
      <c r="F1007" s="72" t="s">
        <v>482</v>
      </c>
      <c r="G1007" s="77"/>
      <c r="H1007" s="72" t="str">
        <f t="shared" si="21"/>
        <v xml:space="preserve">ACC Isobutane 50 Hz 230V HST50AA </v>
      </c>
      <c r="I1007" s="91">
        <v>275.49480953678932</v>
      </c>
      <c r="J1007" s="92">
        <v>8.6680133394983283</v>
      </c>
      <c r="K1007" s="92">
        <v>-4.0095070251672249</v>
      </c>
      <c r="L1007" s="92">
        <v>9.857672839464883E-2</v>
      </c>
      <c r="M1007" s="92">
        <v>-7.9834582224080269E-2</v>
      </c>
      <c r="N1007" s="92">
        <v>3.8565405050167229E-2</v>
      </c>
      <c r="O1007" s="92">
        <v>5.3139536789297665E-4</v>
      </c>
      <c r="P1007" s="92">
        <v>-4.5770904682274251E-4</v>
      </c>
      <c r="Q1007" s="92">
        <v>3.1930198996655521E-4</v>
      </c>
      <c r="R1007" s="92">
        <v>-2.1468983277591973E-4</v>
      </c>
      <c r="S1007" s="92">
        <v>48.792637192666668</v>
      </c>
      <c r="T1007" s="92">
        <v>1.5696821257851852</v>
      </c>
      <c r="U1007" s="92">
        <v>2.4025673644444443E-2</v>
      </c>
      <c r="V1007" s="92">
        <v>3.1264457088888892E-2</v>
      </c>
      <c r="W1007" s="92">
        <v>-1.6566173637037038E-2</v>
      </c>
      <c r="X1007" s="92">
        <v>6.427930318518519E-3</v>
      </c>
      <c r="Y1007" s="92">
        <v>2.9328085925925927E-4</v>
      </c>
      <c r="Z1007" s="92">
        <v>-1.8034042222222222E-4</v>
      </c>
      <c r="AA1007" s="92">
        <v>2.6857911111111111E-4</v>
      </c>
      <c r="AB1007" s="92">
        <v>-2.3413581481481483E-5</v>
      </c>
      <c r="AC1007" s="119"/>
      <c r="AD1007" s="119"/>
      <c r="AE1007" s="120"/>
      <c r="AF1007" s="119"/>
      <c r="AG1007" s="119"/>
      <c r="AH1007" s="120"/>
      <c r="AI1007" s="121"/>
      <c r="AJ1007" s="121"/>
      <c r="AK1007" s="121"/>
      <c r="AL1007" s="121"/>
      <c r="AM1007" s="122"/>
      <c r="AN1007" s="121"/>
      <c r="AP1007" s="87"/>
    </row>
    <row r="1008" spans="1:42">
      <c r="A1008" s="71" t="s">
        <v>99</v>
      </c>
      <c r="B1008" s="72" t="s">
        <v>44</v>
      </c>
      <c r="C1008" s="71" t="s">
        <v>45</v>
      </c>
      <c r="D1008" s="72" t="s">
        <v>46</v>
      </c>
      <c r="E1008" s="71" t="s">
        <v>102</v>
      </c>
      <c r="F1008" s="72" t="s">
        <v>483</v>
      </c>
      <c r="G1008" s="77"/>
      <c r="H1008" s="72" t="str">
        <f t="shared" si="21"/>
        <v xml:space="preserve">ACC Isobutane 50 Hz 230V HST65AA </v>
      </c>
      <c r="I1008" s="91">
        <v>357.65992817056855</v>
      </c>
      <c r="J1008" s="92">
        <v>11.253210300401339</v>
      </c>
      <c r="K1008" s="92">
        <v>-5.2053249098662215</v>
      </c>
      <c r="L1008" s="92">
        <v>0.12797680528428096</v>
      </c>
      <c r="M1008" s="92">
        <v>-0.10364489622073579</v>
      </c>
      <c r="N1008" s="92">
        <v>5.0067367959866223E-2</v>
      </c>
      <c r="O1008" s="92">
        <v>6.8988170568561882E-4</v>
      </c>
      <c r="P1008" s="92">
        <v>-5.9421876254180605E-4</v>
      </c>
      <c r="Q1008" s="92">
        <v>4.1453240802675589E-4</v>
      </c>
      <c r="R1008" s="92">
        <v>-2.7872013377926424E-4</v>
      </c>
      <c r="S1008" s="92">
        <v>62.077146555555558</v>
      </c>
      <c r="T1008" s="92">
        <v>1.9970510506172841</v>
      </c>
      <c r="U1008" s="92">
        <v>3.0567014814814813E-2</v>
      </c>
      <c r="V1008" s="92">
        <v>3.9776662962962964E-2</v>
      </c>
      <c r="W1008" s="92">
        <v>-2.1076556790123456E-2</v>
      </c>
      <c r="X1008" s="92">
        <v>8.1780283950617285E-3</v>
      </c>
      <c r="Y1008" s="92">
        <v>3.7313086419753087E-4</v>
      </c>
      <c r="Z1008" s="92">
        <v>-2.2944074074074072E-4</v>
      </c>
      <c r="AA1008" s="92">
        <v>3.4170370370370371E-4</v>
      </c>
      <c r="AB1008" s="92">
        <v>-2.9788271604938271E-5</v>
      </c>
      <c r="AC1008" s="119"/>
      <c r="AD1008" s="119"/>
      <c r="AE1008" s="120"/>
      <c r="AF1008" s="119"/>
      <c r="AG1008" s="119"/>
      <c r="AH1008" s="120"/>
      <c r="AI1008" s="121"/>
      <c r="AJ1008" s="121"/>
      <c r="AK1008" s="121"/>
      <c r="AL1008" s="121"/>
      <c r="AM1008" s="122"/>
      <c r="AN1008" s="121"/>
      <c r="AP1008" s="87"/>
    </row>
    <row r="1009" spans="1:42">
      <c r="A1009" s="71" t="s">
        <v>99</v>
      </c>
      <c r="B1009" s="72" t="s">
        <v>44</v>
      </c>
      <c r="C1009" s="71" t="s">
        <v>45</v>
      </c>
      <c r="D1009" s="72" t="s">
        <v>46</v>
      </c>
      <c r="E1009" s="71" t="s">
        <v>102</v>
      </c>
      <c r="F1009" s="72" t="s">
        <v>484</v>
      </c>
      <c r="G1009" s="77"/>
      <c r="H1009" s="72" t="str">
        <f t="shared" si="21"/>
        <v>ACC Isobutane 50 Hz 230V HTK55AA.03 no RC</v>
      </c>
      <c r="I1009" s="91">
        <v>356.01304081235668</v>
      </c>
      <c r="J1009" s="92">
        <v>8.4065934189727063</v>
      </c>
      <c r="K1009" s="92">
        <v>-2.640978007458382</v>
      </c>
      <c r="L1009" s="92">
        <v>2.3576721025046713E-2</v>
      </c>
      <c r="M1009" s="92">
        <v>-6.9288994425804927E-3</v>
      </c>
      <c r="N1009" s="92">
        <v>-3.2260245525086745E-4</v>
      </c>
      <c r="O1009" s="92">
        <v>2.9142088514867861E-4</v>
      </c>
      <c r="P1009" s="92">
        <v>1.2653093223131309E-3</v>
      </c>
      <c r="Q1009" s="92">
        <v>1.4142881345931507E-4</v>
      </c>
      <c r="R1009" s="92">
        <v>9.6419221824992023E-5</v>
      </c>
      <c r="S1009" s="92">
        <v>61.066388803456235</v>
      </c>
      <c r="T1009" s="92">
        <v>0.40801564625201675</v>
      </c>
      <c r="U1009" s="92">
        <v>0.12270193732260565</v>
      </c>
      <c r="V1009" s="92">
        <v>1.2475302852547155E-4</v>
      </c>
      <c r="W1009" s="92">
        <v>3.6173991775354293E-5</v>
      </c>
      <c r="X1009" s="92">
        <v>8.0572432466441551E-3</v>
      </c>
      <c r="Y1009" s="92">
        <v>-7.318727983357466E-6</v>
      </c>
      <c r="Z1009" s="92">
        <v>-8.1263368135721886E-6</v>
      </c>
      <c r="AA1009" s="92">
        <v>4.5077934391905247E-4</v>
      </c>
      <c r="AB1009" s="92">
        <v>5.7432705364003739E-5</v>
      </c>
      <c r="AC1009" s="119"/>
      <c r="AD1009" s="119"/>
      <c r="AE1009" s="120"/>
      <c r="AF1009" s="119"/>
      <c r="AG1009" s="119"/>
      <c r="AH1009" s="120"/>
      <c r="AI1009" s="121"/>
      <c r="AJ1009" s="121"/>
      <c r="AK1009" s="121"/>
      <c r="AL1009" s="121"/>
      <c r="AM1009" s="122"/>
      <c r="AN1009" s="121"/>
      <c r="AP1009" s="87"/>
    </row>
    <row r="1010" spans="1:42">
      <c r="A1010" s="71" t="s">
        <v>99</v>
      </c>
      <c r="B1010" s="72" t="s">
        <v>44</v>
      </c>
      <c r="C1010" s="71" t="s">
        <v>45</v>
      </c>
      <c r="D1010" s="72" t="s">
        <v>109</v>
      </c>
      <c r="E1010" s="71" t="s">
        <v>102</v>
      </c>
      <c r="F1010" s="72" t="s">
        <v>485</v>
      </c>
      <c r="G1010" s="77"/>
      <c r="H1010" s="72" t="str">
        <f t="shared" si="21"/>
        <v>ACC Isobutane 50 Hz 220V HTK55AA.03 with RC</v>
      </c>
      <c r="I1010" s="91">
        <v>308.05669310113359</v>
      </c>
      <c r="J1010" s="92">
        <v>9.0938170895379464</v>
      </c>
      <c r="K1010" s="92">
        <v>0.11169954089613181</v>
      </c>
      <c r="L1010" s="92">
        <v>4.2567252824187121E-2</v>
      </c>
      <c r="M1010" s="92">
        <v>-1.9070040872440873E-2</v>
      </c>
      <c r="N1010" s="92">
        <v>-4.9682892834005073E-2</v>
      </c>
      <c r="O1010" s="92">
        <v>1.7385999851060688E-4</v>
      </c>
      <c r="P1010" s="92">
        <v>7.0518422974077846E-4</v>
      </c>
      <c r="Q1010" s="92">
        <v>2.5378285658295158E-5</v>
      </c>
      <c r="R1010" s="92">
        <v>3.5973371267422133E-4</v>
      </c>
      <c r="S1010" s="92">
        <v>27.200955382813714</v>
      </c>
      <c r="T1010" s="92">
        <v>0.13660371146548389</v>
      </c>
      <c r="U1010" s="92">
        <v>2.2622927350824922</v>
      </c>
      <c r="V1010" s="92">
        <v>-1.7379015070295285E-2</v>
      </c>
      <c r="W1010" s="92">
        <v>5.2493209863732808E-3</v>
      </c>
      <c r="X1010" s="92">
        <v>-3.6618079059348656E-2</v>
      </c>
      <c r="Y1010" s="92">
        <v>2.5560534719336754E-4</v>
      </c>
      <c r="Z1010" s="92">
        <v>6.2631745792598992E-4</v>
      </c>
      <c r="AA1010" s="92">
        <v>5.4614797907932659E-4</v>
      </c>
      <c r="AB1010" s="92">
        <v>3.5788097402763831E-4</v>
      </c>
      <c r="AC1010" s="119">
        <v>1.0706771236133252E-2</v>
      </c>
      <c r="AD1010" s="119">
        <v>0.46364220677197743</v>
      </c>
      <c r="AE1010" s="120">
        <v>4.2989951972771468E-3</v>
      </c>
      <c r="AF1010" s="119">
        <v>1.1377309970999575E-2</v>
      </c>
      <c r="AG1010" s="119">
        <v>0.54018126275026079</v>
      </c>
      <c r="AH1010" s="120">
        <v>4.8875872666425974E-3</v>
      </c>
      <c r="AI1010" s="121">
        <v>-35</v>
      </c>
      <c r="AJ1010" s="121">
        <v>-10</v>
      </c>
      <c r="AK1010" s="121">
        <v>40</v>
      </c>
      <c r="AL1010" s="121">
        <v>60</v>
      </c>
      <c r="AM1010" s="122">
        <v>20150423</v>
      </c>
      <c r="AN1010" s="121" t="s">
        <v>486</v>
      </c>
      <c r="AP1010" s="87"/>
    </row>
    <row r="1011" spans="1:42">
      <c r="A1011" s="71" t="s">
        <v>99</v>
      </c>
      <c r="B1011" s="72" t="s">
        <v>44</v>
      </c>
      <c r="C1011" s="71" t="s">
        <v>45</v>
      </c>
      <c r="D1011" s="72" t="s">
        <v>46</v>
      </c>
      <c r="E1011" s="71" t="s">
        <v>102</v>
      </c>
      <c r="F1011" s="72" t="s">
        <v>487</v>
      </c>
      <c r="G1011" s="77"/>
      <c r="H1011" s="72" t="str">
        <f t="shared" si="21"/>
        <v>ACC Isobutane 50 Hz 230V HTK70AA K3 no RC</v>
      </c>
      <c r="I1011" s="91">
        <v>408.32011022057992</v>
      </c>
      <c r="J1011" s="92">
        <v>12.919315532698754</v>
      </c>
      <c r="K1011" s="92">
        <v>-2.3163170990495368</v>
      </c>
      <c r="L1011" s="92">
        <v>0.12536405495573869</v>
      </c>
      <c r="M1011" s="92">
        <v>-4.1477558534796156E-2</v>
      </c>
      <c r="N1011" s="92">
        <v>-3.2848538673964112E-4</v>
      </c>
      <c r="O1011" s="92">
        <v>-3.0490706473488045E-5</v>
      </c>
      <c r="P1011" s="92">
        <v>-6.5161176465653684E-4</v>
      </c>
      <c r="Q1011" s="92">
        <v>-2.9124017962033424E-4</v>
      </c>
      <c r="R1011" s="92">
        <v>-3.1193525492915991E-5</v>
      </c>
      <c r="S1011" s="92">
        <v>41.131814434057645</v>
      </c>
      <c r="T1011" s="92">
        <v>0.60846945918709994</v>
      </c>
      <c r="U1011" s="92">
        <v>1.69765649648644</v>
      </c>
      <c r="V1011" s="92">
        <v>-2.2203980509307364E-3</v>
      </c>
      <c r="W1011" s="92">
        <v>-2.4583286624668769E-4</v>
      </c>
      <c r="X1011" s="92">
        <v>-1.7151467445024111E-2</v>
      </c>
      <c r="Y1011" s="92">
        <v>-5.3906453893922497E-4</v>
      </c>
      <c r="Z1011" s="92">
        <v>-4.1959020301548475E-4</v>
      </c>
      <c r="AA1011" s="92">
        <v>3.8399810897607955E-4</v>
      </c>
      <c r="AB1011" s="92">
        <v>2.2674177080434215E-4</v>
      </c>
      <c r="AC1011" s="119"/>
      <c r="AD1011" s="119"/>
      <c r="AE1011" s="120"/>
      <c r="AF1011" s="119"/>
      <c r="AG1011" s="119"/>
      <c r="AH1011" s="120"/>
      <c r="AI1011" s="121"/>
      <c r="AJ1011" s="121"/>
      <c r="AK1011" s="121"/>
      <c r="AL1011" s="121"/>
      <c r="AM1011" s="122"/>
      <c r="AN1011" s="121"/>
      <c r="AP1011" s="87"/>
    </row>
    <row r="1012" spans="1:42">
      <c r="A1012" s="71" t="s">
        <v>99</v>
      </c>
      <c r="B1012" s="72" t="s">
        <v>44</v>
      </c>
      <c r="C1012" s="71" t="s">
        <v>45</v>
      </c>
      <c r="D1012" s="72" t="s">
        <v>46</v>
      </c>
      <c r="E1012" s="71" t="s">
        <v>102</v>
      </c>
      <c r="F1012" s="72" t="s">
        <v>488</v>
      </c>
      <c r="G1012" s="77"/>
      <c r="H1012" s="72" t="str">
        <f t="shared" si="21"/>
        <v>ACC Isobutane 50 Hz 230V HTK70AA K3 with RC</v>
      </c>
      <c r="I1012" s="91">
        <v>408.32011022057992</v>
      </c>
      <c r="J1012" s="92">
        <v>12.919315532698754</v>
      </c>
      <c r="K1012" s="92">
        <v>-2.3163170990495368</v>
      </c>
      <c r="L1012" s="92">
        <v>0.12536405495573869</v>
      </c>
      <c r="M1012" s="92">
        <v>-4.1477558534796156E-2</v>
      </c>
      <c r="N1012" s="92">
        <v>-3.2848538673964112E-4</v>
      </c>
      <c r="O1012" s="92">
        <v>-3.0490706473488045E-5</v>
      </c>
      <c r="P1012" s="92">
        <v>-6.5161176465653684E-4</v>
      </c>
      <c r="Q1012" s="92">
        <v>-2.9124017962033424E-4</v>
      </c>
      <c r="R1012" s="92">
        <v>-3.1193525492915991E-5</v>
      </c>
      <c r="S1012" s="92">
        <v>50.375230561323164</v>
      </c>
      <c r="T1012" s="92">
        <v>0.56934156639448008</v>
      </c>
      <c r="U1012" s="92">
        <v>1.0045022582898055</v>
      </c>
      <c r="V1012" s="92">
        <v>5.4681373166318961E-4</v>
      </c>
      <c r="W1012" s="92">
        <v>-1.0729866932182939E-4</v>
      </c>
      <c r="X1012" s="92">
        <v>-2.8521310295181773E-3</v>
      </c>
      <c r="Y1012" s="92">
        <v>-3.6480445307452471E-4</v>
      </c>
      <c r="Z1012" s="92">
        <v>-2.5545210395208298E-4</v>
      </c>
      <c r="AA1012" s="92">
        <v>4.7848178881295165E-4</v>
      </c>
      <c r="AB1012" s="92">
        <v>1.3597743885003033E-4</v>
      </c>
      <c r="AC1012" s="119"/>
      <c r="AD1012" s="119"/>
      <c r="AE1012" s="120"/>
      <c r="AF1012" s="119"/>
      <c r="AG1012" s="119"/>
      <c r="AH1012" s="120"/>
      <c r="AI1012" s="121"/>
      <c r="AJ1012" s="121"/>
      <c r="AK1012" s="121"/>
      <c r="AL1012" s="121"/>
      <c r="AM1012" s="122"/>
      <c r="AN1012" s="121"/>
      <c r="AP1012" s="87"/>
    </row>
    <row r="1013" spans="1:42">
      <c r="A1013" s="71" t="s">
        <v>99</v>
      </c>
      <c r="B1013" s="72" t="s">
        <v>44</v>
      </c>
      <c r="C1013" s="71" t="s">
        <v>45</v>
      </c>
      <c r="D1013" s="72" t="s">
        <v>46</v>
      </c>
      <c r="E1013" s="71" t="s">
        <v>102</v>
      </c>
      <c r="F1013" s="72" t="s">
        <v>489</v>
      </c>
      <c r="G1013" s="77"/>
      <c r="H1013" s="72" t="str">
        <f t="shared" si="21"/>
        <v>ACC Isobutane 50 Hz 230V HTK80AA K3 no RC</v>
      </c>
      <c r="I1013" s="91">
        <v>475.55472994387048</v>
      </c>
      <c r="J1013" s="92">
        <v>13.22798089697312</v>
      </c>
      <c r="K1013" s="92">
        <v>-2.9237057198461778</v>
      </c>
      <c r="L1013" s="92">
        <v>7.9984329550370603E-2</v>
      </c>
      <c r="M1013" s="92">
        <v>-2.8331142776695389E-2</v>
      </c>
      <c r="N1013" s="92">
        <v>-3.0513666663838714E-4</v>
      </c>
      <c r="O1013" s="92">
        <v>-2.3416666870091043E-5</v>
      </c>
      <c r="P1013" s="92">
        <v>4.8861066087215496E-4</v>
      </c>
      <c r="Q1013" s="92">
        <v>-1.7092346725527366E-4</v>
      </c>
      <c r="R1013" s="92">
        <v>-2.5895213324170606E-6</v>
      </c>
      <c r="S1013" s="92">
        <v>66.763683765714816</v>
      </c>
      <c r="T1013" s="92">
        <v>-0.5325134696540097</v>
      </c>
      <c r="U1013" s="92">
        <v>0.69928696683524605</v>
      </c>
      <c r="V1013" s="92">
        <v>-6.7484566878550201E-2</v>
      </c>
      <c r="W1013" s="92">
        <v>-1.0335174031730794E-4</v>
      </c>
      <c r="X1013" s="92">
        <v>3.1796057410979887E-4</v>
      </c>
      <c r="Y1013" s="92">
        <v>-5.5211066561490192E-4</v>
      </c>
      <c r="Z1013" s="92">
        <v>9.3041380516775392E-4</v>
      </c>
      <c r="AA1013" s="92">
        <v>9.4055277178951618E-4</v>
      </c>
      <c r="AB1013" s="92">
        <v>2.0363321245677089E-4</v>
      </c>
      <c r="AC1013" s="119"/>
      <c r="AD1013" s="119"/>
      <c r="AE1013" s="120"/>
      <c r="AF1013" s="119"/>
      <c r="AG1013" s="119"/>
      <c r="AH1013" s="120"/>
      <c r="AI1013" s="121"/>
      <c r="AJ1013" s="121"/>
      <c r="AK1013" s="121"/>
      <c r="AL1013" s="121"/>
      <c r="AM1013" s="122"/>
      <c r="AN1013" s="121"/>
      <c r="AP1013" s="87"/>
    </row>
    <row r="1014" spans="1:42">
      <c r="A1014" s="71" t="s">
        <v>99</v>
      </c>
      <c r="B1014" s="72" t="s">
        <v>44</v>
      </c>
      <c r="C1014" s="71" t="s">
        <v>45</v>
      </c>
      <c r="D1014" s="72" t="s">
        <v>46</v>
      </c>
      <c r="E1014" s="71" t="s">
        <v>102</v>
      </c>
      <c r="F1014" s="72" t="s">
        <v>490</v>
      </c>
      <c r="G1014" s="77"/>
      <c r="H1014" s="72" t="str">
        <f t="shared" si="21"/>
        <v>ACC Isobutane 50 Hz 230V HTK80AA K3 with RC</v>
      </c>
      <c r="I1014" s="91">
        <v>475.55472994387048</v>
      </c>
      <c r="J1014" s="92">
        <v>13.22798089697312</v>
      </c>
      <c r="K1014" s="92">
        <v>-2.9237057198461778</v>
      </c>
      <c r="L1014" s="92">
        <v>7.9984329550370603E-2</v>
      </c>
      <c r="M1014" s="92">
        <v>-2.8331142776695389E-2</v>
      </c>
      <c r="N1014" s="92">
        <v>-3.0513666663838714E-4</v>
      </c>
      <c r="O1014" s="92">
        <v>-2.3416666870091043E-5</v>
      </c>
      <c r="P1014" s="92">
        <v>4.8861066087215496E-4</v>
      </c>
      <c r="Q1014" s="92">
        <v>-1.7092346725527366E-4</v>
      </c>
      <c r="R1014" s="92">
        <v>-2.5895213324170606E-6</v>
      </c>
      <c r="S1014" s="92">
        <v>74.66073624426086</v>
      </c>
      <c r="T1014" s="92">
        <v>-0.2038283533584124</v>
      </c>
      <c r="U1014" s="92">
        <v>0.11293180735139746</v>
      </c>
      <c r="V1014" s="92">
        <v>-4.8638847929524401E-2</v>
      </c>
      <c r="W1014" s="92">
        <v>-2.5219119657332535E-4</v>
      </c>
      <c r="X1014" s="92">
        <v>1.2803745151146729E-2</v>
      </c>
      <c r="Y1014" s="92">
        <v>-3.8997233405086091E-4</v>
      </c>
      <c r="Z1014" s="92">
        <v>7.6365048248432489E-4</v>
      </c>
      <c r="AA1014" s="92">
        <v>8.7914215949992777E-4</v>
      </c>
      <c r="AB1014" s="92">
        <v>1.0528363321339177E-4</v>
      </c>
      <c r="AC1014" s="119"/>
      <c r="AD1014" s="119"/>
      <c r="AE1014" s="120"/>
      <c r="AF1014" s="119"/>
      <c r="AG1014" s="119"/>
      <c r="AH1014" s="120"/>
      <c r="AI1014" s="121"/>
      <c r="AJ1014" s="121"/>
      <c r="AK1014" s="121"/>
      <c r="AL1014" s="121"/>
      <c r="AM1014" s="122"/>
      <c r="AN1014" s="121"/>
      <c r="AP1014" s="87"/>
    </row>
    <row r="1015" spans="1:42">
      <c r="A1015" s="71" t="s">
        <v>99</v>
      </c>
      <c r="B1015" s="72" t="s">
        <v>44</v>
      </c>
      <c r="C1015" s="71" t="s">
        <v>45</v>
      </c>
      <c r="D1015" s="72" t="s">
        <v>46</v>
      </c>
      <c r="E1015" s="71" t="s">
        <v>102</v>
      </c>
      <c r="F1015" s="72" t="s">
        <v>491</v>
      </c>
      <c r="G1015" s="77"/>
      <c r="H1015" s="72" t="str">
        <f t="shared" si="21"/>
        <v>ACC Isobutane 50 Hz 230V HVH44, K100 with RC</v>
      </c>
      <c r="I1015" s="91">
        <v>273.50969166866145</v>
      </c>
      <c r="J1015" s="92">
        <v>6.1725691184934783</v>
      </c>
      <c r="K1015" s="92">
        <v>-1.9902314374417887</v>
      </c>
      <c r="L1015" s="92">
        <v>-1.2370183809659631E-2</v>
      </c>
      <c r="M1015" s="92">
        <v>-7.9350843495381283E-4</v>
      </c>
      <c r="N1015" s="92">
        <v>5.4719996237076267E-4</v>
      </c>
      <c r="O1015" s="92">
        <v>1.3945531608716858E-5</v>
      </c>
      <c r="P1015" s="92">
        <v>1.4721361789653206E-3</v>
      </c>
      <c r="Q1015" s="92">
        <v>1.194412797986222E-4</v>
      </c>
      <c r="R1015" s="92">
        <v>3.8315647769558189E-5</v>
      </c>
      <c r="S1015" s="92">
        <v>63.594770219291028</v>
      </c>
      <c r="T1015" s="92">
        <v>-3.1804031500737127</v>
      </c>
      <c r="U1015" s="92">
        <v>-1.1753549163268819</v>
      </c>
      <c r="V1015" s="92">
        <v>-0.11144508429650866</v>
      </c>
      <c r="W1015" s="92">
        <v>7.5005423137105426E-2</v>
      </c>
      <c r="X1015" s="92">
        <v>4.1707101664582011E-2</v>
      </c>
      <c r="Y1015" s="92">
        <v>-2.956915358893064E-4</v>
      </c>
      <c r="Z1015" s="92">
        <v>2.0617700077491981E-3</v>
      </c>
      <c r="AA1015" s="92">
        <v>2.9819928070282781E-4</v>
      </c>
      <c r="AB1015" s="92">
        <v>-2.1912236857442579E-4</v>
      </c>
      <c r="AC1015" s="119"/>
      <c r="AD1015" s="119"/>
      <c r="AE1015" s="120"/>
      <c r="AF1015" s="119"/>
      <c r="AG1015" s="119"/>
      <c r="AH1015" s="120"/>
      <c r="AI1015" s="121"/>
      <c r="AJ1015" s="121"/>
      <c r="AK1015" s="121"/>
      <c r="AL1015" s="121"/>
      <c r="AM1015" s="122"/>
      <c r="AN1015" s="121"/>
      <c r="AP1015" s="87"/>
    </row>
    <row r="1016" spans="1:42">
      <c r="A1016" s="71" t="s">
        <v>99</v>
      </c>
      <c r="B1016" s="72" t="s">
        <v>44</v>
      </c>
      <c r="C1016" s="71" t="s">
        <v>45</v>
      </c>
      <c r="D1016" s="72" t="s">
        <v>46</v>
      </c>
      <c r="E1016" s="71" t="s">
        <v>102</v>
      </c>
      <c r="F1016" s="72" t="s">
        <v>492</v>
      </c>
      <c r="G1016" s="77"/>
      <c r="H1016" s="72" t="str">
        <f t="shared" si="21"/>
        <v>ACC Isobutane 50 Hz 230V HVH44, K120 with RC</v>
      </c>
      <c r="I1016" s="91">
        <v>273.50969166866145</v>
      </c>
      <c r="J1016" s="92">
        <v>6.1725691184934783</v>
      </c>
      <c r="K1016" s="92">
        <v>-1.9902314374417887</v>
      </c>
      <c r="L1016" s="92">
        <v>-1.2370183809659631E-2</v>
      </c>
      <c r="M1016" s="92">
        <v>-7.9350843495381283E-4</v>
      </c>
      <c r="N1016" s="92">
        <v>5.4719996237076267E-4</v>
      </c>
      <c r="O1016" s="92">
        <v>1.3945531608716858E-5</v>
      </c>
      <c r="P1016" s="92">
        <v>1.4721361789653206E-3</v>
      </c>
      <c r="Q1016" s="92">
        <v>1.194412797986222E-4</v>
      </c>
      <c r="R1016" s="92">
        <v>3.8315647769558189E-5</v>
      </c>
      <c r="S1016" s="92">
        <v>94.404289498647628</v>
      </c>
      <c r="T1016" s="92">
        <v>-1.5891339234988611</v>
      </c>
      <c r="U1016" s="92">
        <v>-2.3435739916455938</v>
      </c>
      <c r="V1016" s="92">
        <v>-9.3824005329922106E-2</v>
      </c>
      <c r="W1016" s="92">
        <v>2.8959262750562629E-2</v>
      </c>
      <c r="X1016" s="92">
        <v>5.3231822277064703E-2</v>
      </c>
      <c r="Y1016" s="92">
        <v>-2.2530215144685357E-4</v>
      </c>
      <c r="Z1016" s="92">
        <v>1.795218241702529E-3</v>
      </c>
      <c r="AA1016" s="92">
        <v>6.0880655649256322E-4</v>
      </c>
      <c r="AB1016" s="92">
        <v>-2.4131099863880539E-4</v>
      </c>
      <c r="AC1016" s="119"/>
      <c r="AD1016" s="119"/>
      <c r="AE1016" s="120"/>
      <c r="AF1016" s="119"/>
      <c r="AG1016" s="119"/>
      <c r="AH1016" s="120"/>
      <c r="AI1016" s="121"/>
      <c r="AJ1016" s="121"/>
      <c r="AK1016" s="121"/>
      <c r="AL1016" s="121"/>
      <c r="AM1016" s="122"/>
      <c r="AN1016" s="121"/>
      <c r="AP1016" s="87"/>
    </row>
    <row r="1017" spans="1:42">
      <c r="A1017" s="71" t="s">
        <v>99</v>
      </c>
      <c r="B1017" s="72" t="s">
        <v>44</v>
      </c>
      <c r="C1017" s="71" t="s">
        <v>45</v>
      </c>
      <c r="D1017" s="72" t="s">
        <v>46</v>
      </c>
      <c r="E1017" s="71" t="s">
        <v>102</v>
      </c>
      <c r="F1017" s="72" t="s">
        <v>493</v>
      </c>
      <c r="G1017" s="77"/>
      <c r="H1017" s="72" t="str">
        <f t="shared" si="21"/>
        <v>ACC Isobutane 50 Hz 230V HXD30AA w RC</v>
      </c>
      <c r="I1017" s="91">
        <v>186.97746520335286</v>
      </c>
      <c r="J1017" s="92">
        <v>2.9238002453788603</v>
      </c>
      <c r="K1017" s="92">
        <v>-1.1308864056471306</v>
      </c>
      <c r="L1017" s="92">
        <v>-4.7448327538161798E-2</v>
      </c>
      <c r="M1017" s="92">
        <v>2.56263787327453E-2</v>
      </c>
      <c r="N1017" s="92">
        <v>-5.6689589639827486E-3</v>
      </c>
      <c r="O1017" s="92">
        <v>-7.8353994789032088E-5</v>
      </c>
      <c r="P1017" s="92">
        <v>1.5671601046033806E-3</v>
      </c>
      <c r="Q1017" s="92">
        <v>3.8225036367894855E-5</v>
      </c>
      <c r="R1017" s="92">
        <v>7.1466118117806087E-5</v>
      </c>
      <c r="S1017" s="92">
        <v>44.358414454356264</v>
      </c>
      <c r="T1017" s="92">
        <v>-0.35526043287504933</v>
      </c>
      <c r="U1017" s="92">
        <v>-0.7622631035641052</v>
      </c>
      <c r="V1017" s="92">
        <v>-3.5775466159931331E-2</v>
      </c>
      <c r="W1017" s="92">
        <v>5.9289902334202923E-5</v>
      </c>
      <c r="X1017" s="92">
        <v>1.8097106781165207E-2</v>
      </c>
      <c r="Y1017" s="92">
        <v>1.0245710121082009E-4</v>
      </c>
      <c r="Z1017" s="92">
        <v>7.8353413793543056E-4</v>
      </c>
      <c r="AA1017" s="92">
        <v>4.6549787412621709E-4</v>
      </c>
      <c r="AB1017" s="92">
        <v>-4.7003548820161453E-5</v>
      </c>
      <c r="AC1017" s="119"/>
      <c r="AD1017" s="119"/>
      <c r="AE1017" s="120"/>
      <c r="AF1017" s="119"/>
      <c r="AG1017" s="119"/>
      <c r="AH1017" s="120"/>
      <c r="AI1017" s="121"/>
      <c r="AJ1017" s="121"/>
      <c r="AK1017" s="121"/>
      <c r="AL1017" s="121"/>
      <c r="AM1017" s="122"/>
      <c r="AN1017" s="121"/>
      <c r="AP1017" s="87"/>
    </row>
    <row r="1018" spans="1:42">
      <c r="A1018" s="71" t="s">
        <v>99</v>
      </c>
      <c r="B1018" s="72" t="s">
        <v>44</v>
      </c>
      <c r="C1018" s="71" t="s">
        <v>45</v>
      </c>
      <c r="D1018" s="72" t="s">
        <v>46</v>
      </c>
      <c r="E1018" s="71" t="s">
        <v>102</v>
      </c>
      <c r="F1018" s="72" t="s">
        <v>494</v>
      </c>
      <c r="G1018" s="77"/>
      <c r="H1018" s="72" t="str">
        <f t="shared" si="21"/>
        <v>ACC Isobutane 50 Hz 230V HXD35AA w RC</v>
      </c>
      <c r="I1018" s="91">
        <v>257.75971926115761</v>
      </c>
      <c r="J1018" s="92">
        <v>7.6578892260921725</v>
      </c>
      <c r="K1018" s="92">
        <v>-2.0453031254882301</v>
      </c>
      <c r="L1018" s="92">
        <v>5.0946948310577937E-2</v>
      </c>
      <c r="M1018" s="92">
        <v>-4.6098530043291848E-2</v>
      </c>
      <c r="N1018" s="92">
        <v>-5.5456405620373352E-3</v>
      </c>
      <c r="O1018" s="92">
        <v>-3.2523637076920081E-5</v>
      </c>
      <c r="P1018" s="92">
        <v>-3.0814130898666777E-5</v>
      </c>
      <c r="Q1018" s="92">
        <v>2.5827014461935872E-5</v>
      </c>
      <c r="R1018" s="92">
        <v>6.9904573845205607E-5</v>
      </c>
      <c r="S1018" s="92">
        <v>29.597411649566677</v>
      </c>
      <c r="T1018" s="92">
        <v>-0.95285211884416443</v>
      </c>
      <c r="U1018" s="92">
        <v>9.5533535959656052E-2</v>
      </c>
      <c r="V1018" s="92">
        <v>-2.983862663775716E-2</v>
      </c>
      <c r="W1018" s="92">
        <v>3.3321098360409133E-2</v>
      </c>
      <c r="X1018" s="92">
        <v>1.0133113573044259E-2</v>
      </c>
      <c r="Y1018" s="92">
        <v>1.5514934621533035E-6</v>
      </c>
      <c r="Z1018" s="92">
        <v>6.1604149345666735E-4</v>
      </c>
      <c r="AA1018" s="92">
        <v>7.6886396968280942E-5</v>
      </c>
      <c r="AB1018" s="92">
        <v>-5.5127027148864804E-5</v>
      </c>
      <c r="AC1018" s="119"/>
      <c r="AD1018" s="119"/>
      <c r="AE1018" s="120"/>
      <c r="AF1018" s="119"/>
      <c r="AG1018" s="119"/>
      <c r="AH1018" s="120"/>
      <c r="AI1018" s="121"/>
      <c r="AJ1018" s="121"/>
      <c r="AK1018" s="121"/>
      <c r="AL1018" s="121"/>
      <c r="AM1018" s="122"/>
      <c r="AN1018" s="121"/>
      <c r="AP1018" s="87"/>
    </row>
    <row r="1019" spans="1:42">
      <c r="A1019" s="71" t="s">
        <v>99</v>
      </c>
      <c r="B1019" s="72" t="s">
        <v>44</v>
      </c>
      <c r="C1019" s="71" t="s">
        <v>45</v>
      </c>
      <c r="D1019" s="72" t="s">
        <v>46</v>
      </c>
      <c r="E1019" s="71" t="s">
        <v>102</v>
      </c>
      <c r="F1019" s="72" t="s">
        <v>495</v>
      </c>
      <c r="G1019" s="77"/>
      <c r="H1019" s="72" t="str">
        <f t="shared" si="21"/>
        <v>ACC Isobutane 50 Hz 230V HXD45AA w RC</v>
      </c>
      <c r="I1019" s="91">
        <v>320.47664514400043</v>
      </c>
      <c r="J1019" s="92">
        <v>7.0104693124744442</v>
      </c>
      <c r="K1019" s="92">
        <v>-2.6020566126975919</v>
      </c>
      <c r="L1019" s="92">
        <v>1.9414511608363476E-3</v>
      </c>
      <c r="M1019" s="92">
        <v>2.0506542150900311E-3</v>
      </c>
      <c r="N1019" s="92">
        <v>7.0103707977578608E-3</v>
      </c>
      <c r="O1019" s="92">
        <v>-4.8346813360388455E-6</v>
      </c>
      <c r="P1019" s="92">
        <v>1.0654264820536558E-3</v>
      </c>
      <c r="Q1019" s="92">
        <v>-1.2072635481934285E-4</v>
      </c>
      <c r="R1019" s="92">
        <v>-3.8926900958869372E-5</v>
      </c>
      <c r="S1019" s="92">
        <v>49.804241061560191</v>
      </c>
      <c r="T1019" s="92">
        <v>-0.27949177387872665</v>
      </c>
      <c r="U1019" s="92">
        <v>5.3547493944799296E-2</v>
      </c>
      <c r="V1019" s="92">
        <v>-3.907352027610838E-2</v>
      </c>
      <c r="W1019" s="92">
        <v>4.3939842097924647E-3</v>
      </c>
      <c r="X1019" s="92">
        <v>6.7625030767958462E-3</v>
      </c>
      <c r="Y1019" s="92">
        <v>1.2356909803192386E-4</v>
      </c>
      <c r="Z1019" s="92">
        <v>9.4464692440864246E-4</v>
      </c>
      <c r="AA1019" s="92">
        <v>5.7519285753216114E-4</v>
      </c>
      <c r="AB1019" s="92">
        <v>4.1917229182972586E-5</v>
      </c>
      <c r="AC1019" s="119"/>
      <c r="AD1019" s="119"/>
      <c r="AE1019" s="120"/>
      <c r="AF1019" s="119"/>
      <c r="AG1019" s="119"/>
      <c r="AH1019" s="120"/>
      <c r="AI1019" s="121"/>
      <c r="AJ1019" s="121"/>
      <c r="AK1019" s="121"/>
      <c r="AL1019" s="121"/>
      <c r="AM1019" s="122"/>
      <c r="AN1019" s="121"/>
      <c r="AP1019" s="87"/>
    </row>
    <row r="1020" spans="1:42">
      <c r="A1020" s="71" t="s">
        <v>99</v>
      </c>
      <c r="B1020" s="72" t="s">
        <v>44</v>
      </c>
      <c r="C1020" s="71" t="s">
        <v>45</v>
      </c>
      <c r="D1020" s="72" t="s">
        <v>46</v>
      </c>
      <c r="E1020" s="71" t="s">
        <v>102</v>
      </c>
      <c r="F1020" s="72" t="s">
        <v>496</v>
      </c>
      <c r="G1020" s="77"/>
      <c r="H1020" s="72" t="str">
        <f t="shared" si="21"/>
        <v>ACC Isobutane 50 Hz 230V HXD55AA w RC</v>
      </c>
      <c r="I1020" s="91">
        <v>342.03750352445388</v>
      </c>
      <c r="J1020" s="92">
        <v>7.5167954826042775</v>
      </c>
      <c r="K1020" s="92">
        <v>-2.4380096078449367</v>
      </c>
      <c r="L1020" s="92">
        <v>1.5051816075549687E-2</v>
      </c>
      <c r="M1020" s="92">
        <v>2.549972102891913E-3</v>
      </c>
      <c r="N1020" s="92">
        <v>6.8280848656661914E-3</v>
      </c>
      <c r="O1020" s="92">
        <v>-2.1680494573443818E-4</v>
      </c>
      <c r="P1020" s="92">
        <v>6.4292231379321709E-4</v>
      </c>
      <c r="Q1020" s="92">
        <v>-1.536026692674091E-4</v>
      </c>
      <c r="R1020" s="92">
        <v>-4.2695255813026107E-5</v>
      </c>
      <c r="S1020" s="92">
        <v>56.428916329209862</v>
      </c>
      <c r="T1020" s="92">
        <v>0.61155002348097154</v>
      </c>
      <c r="U1020" s="92">
        <v>0.63124869065500111</v>
      </c>
      <c r="V1020" s="92">
        <v>-5.7209528771101211E-3</v>
      </c>
      <c r="W1020" s="92">
        <v>4.447404129668296E-5</v>
      </c>
      <c r="X1020" s="92">
        <v>-5.422104608347301E-3</v>
      </c>
      <c r="Y1020" s="92">
        <v>-1.3761717132492355E-5</v>
      </c>
      <c r="Z1020" s="92">
        <v>1.1458677750530045E-4</v>
      </c>
      <c r="AA1020" s="92">
        <v>3.1807324876942557E-4</v>
      </c>
      <c r="AB1020" s="92">
        <v>1.0539362440880935E-4</v>
      </c>
      <c r="AC1020" s="119"/>
      <c r="AD1020" s="119"/>
      <c r="AE1020" s="120"/>
      <c r="AF1020" s="119"/>
      <c r="AG1020" s="119"/>
      <c r="AH1020" s="120"/>
      <c r="AI1020" s="121"/>
      <c r="AJ1020" s="121"/>
      <c r="AK1020" s="121"/>
      <c r="AL1020" s="121"/>
      <c r="AM1020" s="122"/>
      <c r="AN1020" s="121"/>
      <c r="AP1020" s="87"/>
    </row>
    <row r="1021" spans="1:42">
      <c r="A1021" s="71" t="s">
        <v>99</v>
      </c>
      <c r="B1021" s="72" t="s">
        <v>44</v>
      </c>
      <c r="C1021" s="71" t="s">
        <v>45</v>
      </c>
      <c r="D1021" s="72" t="s">
        <v>46</v>
      </c>
      <c r="E1021" s="71" t="s">
        <v>102</v>
      </c>
      <c r="F1021" s="72" t="s">
        <v>497</v>
      </c>
      <c r="G1021" s="77"/>
      <c r="H1021" s="72" t="str">
        <f t="shared" si="21"/>
        <v xml:space="preserve">ACC Isobutane 50 Hz 230V HXK12AA   </v>
      </c>
      <c r="I1021" s="91">
        <v>729.0045213330078</v>
      </c>
      <c r="J1021" s="92">
        <v>26.102809017715455</v>
      </c>
      <c r="K1021" s="92">
        <v>-3.9104727899551395</v>
      </c>
      <c r="L1021" s="92">
        <v>0.32878217447161678</v>
      </c>
      <c r="M1021" s="92">
        <v>-0.14794741971254349</v>
      </c>
      <c r="N1021" s="92">
        <v>-2.3763115446045993E-2</v>
      </c>
      <c r="O1021" s="92">
        <v>1.328189553208649E-3</v>
      </c>
      <c r="P1021" s="92">
        <v>-1.6177994575444609E-3</v>
      </c>
      <c r="Q1021" s="92">
        <v>-2.3165033346333075E-4</v>
      </c>
      <c r="R1021" s="92">
        <v>7.1667985028470862E-5</v>
      </c>
      <c r="S1021" s="92">
        <v>89.038466074166152</v>
      </c>
      <c r="T1021" s="92">
        <v>2.1974359175664584</v>
      </c>
      <c r="U1021" s="92">
        <v>1.500155464276004</v>
      </c>
      <c r="V1021" s="92">
        <v>3.1804789213284473E-2</v>
      </c>
      <c r="W1021" s="92">
        <v>1.7399635134846044E-2</v>
      </c>
      <c r="X1021" s="92">
        <v>1.2303791370850456E-2</v>
      </c>
      <c r="Y1021" s="92">
        <v>2.7328153775109496E-4</v>
      </c>
      <c r="Z1021" s="92">
        <v>9.3474201917351457E-5</v>
      </c>
      <c r="AA1021" s="92">
        <v>3.9637061021236328E-4</v>
      </c>
      <c r="AB1021" s="92">
        <v>-1.0473779736521847E-4</v>
      </c>
      <c r="AC1021" s="119"/>
      <c r="AD1021" s="119"/>
      <c r="AE1021" s="120"/>
      <c r="AF1021" s="119"/>
      <c r="AG1021" s="119"/>
      <c r="AH1021" s="120"/>
      <c r="AI1021" s="121"/>
      <c r="AJ1021" s="121"/>
      <c r="AK1021" s="121"/>
      <c r="AL1021" s="121"/>
      <c r="AM1021" s="122"/>
      <c r="AN1021" s="121"/>
      <c r="AP1021" s="87"/>
    </row>
    <row r="1022" spans="1:42">
      <c r="A1022" s="71" t="s">
        <v>99</v>
      </c>
      <c r="B1022" s="72" t="s">
        <v>44</v>
      </c>
      <c r="C1022" s="71" t="s">
        <v>45</v>
      </c>
      <c r="D1022" s="72" t="s">
        <v>46</v>
      </c>
      <c r="E1022" s="71" t="s">
        <v>102</v>
      </c>
      <c r="F1022" s="72" t="s">
        <v>498</v>
      </c>
      <c r="G1022" s="77"/>
      <c r="H1022" s="72" t="str">
        <f t="shared" si="21"/>
        <v>ACC Isobutane 50 Hz 230V HXK12AA.K3, RC</v>
      </c>
      <c r="I1022" s="91">
        <v>644.73817843789288</v>
      </c>
      <c r="J1022" s="92">
        <v>15.881975602415917</v>
      </c>
      <c r="K1022" s="92">
        <v>-3.4963200352979054</v>
      </c>
      <c r="L1022" s="92">
        <v>7.5288653862154206E-2</v>
      </c>
      <c r="M1022" s="92">
        <v>-2.197148310874501E-2</v>
      </c>
      <c r="N1022" s="92">
        <v>-1.2247588403477555E-2</v>
      </c>
      <c r="O1022" s="92">
        <v>6.4643073835810361E-5</v>
      </c>
      <c r="P1022" s="92">
        <v>8.1907789305274154E-4</v>
      </c>
      <c r="Q1022" s="92">
        <v>-2.1477647403174411E-4</v>
      </c>
      <c r="R1022" s="92">
        <v>8.0753254334850277E-5</v>
      </c>
      <c r="S1022" s="92">
        <v>120.73774308084579</v>
      </c>
      <c r="T1022" s="92">
        <v>0.26552031327057779</v>
      </c>
      <c r="U1022" s="92">
        <v>0.12284874879512045</v>
      </c>
      <c r="V1022" s="92">
        <v>-3.5285320742125308E-2</v>
      </c>
      <c r="W1022" s="92">
        <v>2.659144040305875E-2</v>
      </c>
      <c r="X1022" s="92">
        <v>1.7596347954433225E-2</v>
      </c>
      <c r="Y1022" s="92">
        <v>3.876532788192319E-5</v>
      </c>
      <c r="Z1022" s="92">
        <v>8.1628385488641709E-4</v>
      </c>
      <c r="AA1022" s="92">
        <v>5.3681348622554846E-4</v>
      </c>
      <c r="AB1022" s="92">
        <v>-5.3151273683130214E-6</v>
      </c>
      <c r="AC1022" s="119"/>
      <c r="AD1022" s="119"/>
      <c r="AE1022" s="120"/>
      <c r="AF1022" s="119"/>
      <c r="AG1022" s="119"/>
      <c r="AH1022" s="120"/>
      <c r="AI1022" s="121"/>
      <c r="AJ1022" s="121"/>
      <c r="AK1022" s="121"/>
      <c r="AL1022" s="121"/>
      <c r="AM1022" s="122"/>
      <c r="AN1022" s="121"/>
      <c r="AP1022" s="87"/>
    </row>
    <row r="1023" spans="1:42">
      <c r="A1023" s="71" t="s">
        <v>99</v>
      </c>
      <c r="B1023" s="72" t="s">
        <v>44</v>
      </c>
      <c r="C1023" s="71" t="s">
        <v>45</v>
      </c>
      <c r="D1023" s="72" t="s">
        <v>46</v>
      </c>
      <c r="E1023" s="71" t="s">
        <v>102</v>
      </c>
      <c r="F1023" s="72" t="s">
        <v>499</v>
      </c>
      <c r="G1023" s="77"/>
      <c r="H1023" s="72" t="str">
        <f t="shared" si="21"/>
        <v xml:space="preserve">ACC Isobutane 50 Hz 230V HXK55AA   </v>
      </c>
      <c r="I1023" s="91">
        <v>350.50074910200971</v>
      </c>
      <c r="J1023" s="92">
        <v>8.2715083587598155</v>
      </c>
      <c r="K1023" s="92">
        <v>-3.9723237001170348</v>
      </c>
      <c r="L1023" s="92">
        <v>4.7547803418321773E-2</v>
      </c>
      <c r="M1023" s="92">
        <v>-6.0424300833004608E-3</v>
      </c>
      <c r="N1023" s="92">
        <v>4.5060935735237437E-2</v>
      </c>
      <c r="O1023" s="92">
        <v>-4.4659019999489452E-4</v>
      </c>
      <c r="P1023" s="92">
        <v>-3.8168902809062512E-5</v>
      </c>
      <c r="Q1023" s="92">
        <v>-3.0337350579984646E-4</v>
      </c>
      <c r="R1023" s="92">
        <v>-3.3724719940835267E-4</v>
      </c>
      <c r="S1023" s="92">
        <v>58.724671213337849</v>
      </c>
      <c r="T1023" s="92">
        <v>1.1929171696465881</v>
      </c>
      <c r="U1023" s="92">
        <v>0.52762680208136592</v>
      </c>
      <c r="V1023" s="92">
        <v>1.3629858711871788E-3</v>
      </c>
      <c r="W1023" s="92">
        <v>-5.35353744453901E-3</v>
      </c>
      <c r="X1023" s="92">
        <v>-2.2395614585853825E-3</v>
      </c>
      <c r="Y1023" s="92">
        <v>1.1725499778516039E-4</v>
      </c>
      <c r="Z1023" s="92">
        <v>2.8202508935719453E-4</v>
      </c>
      <c r="AA1023" s="92">
        <v>3.924067936663704E-4</v>
      </c>
      <c r="AB1023" s="92">
        <v>7.4207942865132598E-5</v>
      </c>
      <c r="AC1023" s="119"/>
      <c r="AD1023" s="119"/>
      <c r="AE1023" s="120"/>
      <c r="AF1023" s="119"/>
      <c r="AG1023" s="119"/>
      <c r="AH1023" s="120"/>
      <c r="AI1023" s="121"/>
      <c r="AJ1023" s="121"/>
      <c r="AK1023" s="121"/>
      <c r="AL1023" s="121"/>
      <c r="AM1023" s="122"/>
      <c r="AN1023" s="121"/>
      <c r="AP1023" s="87"/>
    </row>
    <row r="1024" spans="1:42">
      <c r="A1024" s="71" t="s">
        <v>99</v>
      </c>
      <c r="B1024" s="72" t="s">
        <v>44</v>
      </c>
      <c r="C1024" s="71" t="s">
        <v>45</v>
      </c>
      <c r="D1024" s="72" t="s">
        <v>46</v>
      </c>
      <c r="E1024" s="71" t="s">
        <v>102</v>
      </c>
      <c r="F1024" s="72" t="s">
        <v>500</v>
      </c>
      <c r="G1024" s="77"/>
      <c r="H1024" s="72" t="str">
        <f t="shared" si="21"/>
        <v xml:space="preserve">ACC Isobutane 50 Hz 230V HXK70AA   </v>
      </c>
      <c r="I1024" s="91">
        <v>428.38980445801184</v>
      </c>
      <c r="J1024" s="92">
        <v>10.109621327373107</v>
      </c>
      <c r="K1024" s="92">
        <v>-4.8550623001430422</v>
      </c>
      <c r="L1024" s="92">
        <v>5.8113981955726611E-2</v>
      </c>
      <c r="M1024" s="92">
        <v>-7.3851923240338974E-3</v>
      </c>
      <c r="N1024" s="92">
        <v>5.507447700973464E-2</v>
      </c>
      <c r="O1024" s="92">
        <v>-5.4583246666042667E-4</v>
      </c>
      <c r="P1024" s="92">
        <v>-4.6650881211076401E-5</v>
      </c>
      <c r="Q1024" s="92">
        <v>-3.7078984042203454E-4</v>
      </c>
      <c r="R1024" s="92">
        <v>-4.1219102149909771E-4</v>
      </c>
      <c r="S1024" s="92">
        <v>71.278540610771771</v>
      </c>
      <c r="T1024" s="92">
        <v>1.4479330946450484</v>
      </c>
      <c r="U1024" s="92">
        <v>0.64042024693271415</v>
      </c>
      <c r="V1024" s="92">
        <v>1.6543582409918693E-3</v>
      </c>
      <c r="W1024" s="92">
        <v>-6.4979901678051781E-3</v>
      </c>
      <c r="X1024" s="92">
        <v>-2.7183238165127579E-3</v>
      </c>
      <c r="Y1024" s="92">
        <v>1.4232119054499278E-4</v>
      </c>
      <c r="Z1024" s="92">
        <v>3.4231501632379653E-4</v>
      </c>
      <c r="AA1024" s="92">
        <v>4.7629357475122635E-4</v>
      </c>
      <c r="AB1024" s="92">
        <v>9.0071749400494241E-5</v>
      </c>
      <c r="AC1024" s="119"/>
      <c r="AD1024" s="119"/>
      <c r="AE1024" s="120"/>
      <c r="AF1024" s="119"/>
      <c r="AG1024" s="119"/>
      <c r="AH1024" s="120"/>
      <c r="AI1024" s="121"/>
      <c r="AJ1024" s="121"/>
      <c r="AK1024" s="121"/>
      <c r="AL1024" s="121"/>
      <c r="AM1024" s="122"/>
      <c r="AN1024" s="121"/>
      <c r="AP1024" s="87"/>
    </row>
    <row r="1025" spans="1:42">
      <c r="A1025" s="71" t="s">
        <v>99</v>
      </c>
      <c r="B1025" s="72" t="s">
        <v>44</v>
      </c>
      <c r="C1025" s="71" t="s">
        <v>45</v>
      </c>
      <c r="D1025" s="72" t="s">
        <v>46</v>
      </c>
      <c r="E1025" s="71" t="s">
        <v>102</v>
      </c>
      <c r="F1025" s="72" t="s">
        <v>501</v>
      </c>
      <c r="G1025" s="77"/>
      <c r="H1025" s="72" t="str">
        <f t="shared" si="21"/>
        <v>ACC Isobutane 50 Hz 230V HXK80AA</v>
      </c>
      <c r="I1025" s="91">
        <v>511.14692577376411</v>
      </c>
      <c r="J1025" s="92">
        <v>12.06261635652473</v>
      </c>
      <c r="K1025" s="92">
        <v>-5.7929720626706755</v>
      </c>
      <c r="L1025" s="92">
        <v>6.9340546651719251E-2</v>
      </c>
      <c r="M1025" s="92">
        <v>-8.8118772048131726E-3</v>
      </c>
      <c r="N1025" s="92">
        <v>6.5713864613887923E-2</v>
      </c>
      <c r="O1025" s="92">
        <v>-6.512773749925545E-4</v>
      </c>
      <c r="P1025" s="92">
        <v>-5.5662983263216158E-5</v>
      </c>
      <c r="Q1025" s="92">
        <v>-4.4241969595810939E-4</v>
      </c>
      <c r="R1025" s="92">
        <v>-4.9181883247051428E-4</v>
      </c>
      <c r="S1025" s="92">
        <v>82.78576145269659</v>
      </c>
      <c r="T1025" s="92">
        <v>1.6816876825145739</v>
      </c>
      <c r="U1025" s="92">
        <v>0.74380981060710116</v>
      </c>
      <c r="V1025" s="92">
        <v>1.9214381428476993E-3</v>
      </c>
      <c r="W1025" s="92">
        <v>-7.547026908019951E-3</v>
      </c>
      <c r="X1025" s="92">
        <v>-3.1571705185978603E-3</v>
      </c>
      <c r="Y1025" s="92">
        <v>1.652975499941844E-4</v>
      </c>
      <c r="Z1025" s="92">
        <v>3.9757841617165675E-4</v>
      </c>
      <c r="AA1025" s="92">
        <v>5.5318649796890396E-4</v>
      </c>
      <c r="AB1025" s="92">
        <v>1.0461294936178192E-4</v>
      </c>
      <c r="AC1025" s="119"/>
      <c r="AD1025" s="119"/>
      <c r="AE1025" s="120"/>
      <c r="AF1025" s="119"/>
      <c r="AG1025" s="119"/>
      <c r="AH1025" s="120"/>
      <c r="AI1025" s="121"/>
      <c r="AJ1025" s="121"/>
      <c r="AK1025" s="121"/>
      <c r="AL1025" s="121"/>
      <c r="AM1025" s="122"/>
      <c r="AN1025" s="121"/>
      <c r="AP1025" s="87"/>
    </row>
    <row r="1026" spans="1:42">
      <c r="A1026" s="71" t="s">
        <v>99</v>
      </c>
      <c r="B1026" s="72" t="s">
        <v>44</v>
      </c>
      <c r="C1026" s="71" t="s">
        <v>45</v>
      </c>
      <c r="D1026" s="72" t="s">
        <v>46</v>
      </c>
      <c r="E1026" s="71" t="s">
        <v>102</v>
      </c>
      <c r="F1026" s="72" t="s">
        <v>502</v>
      </c>
      <c r="G1026" s="77"/>
      <c r="H1026" s="72" t="str">
        <f t="shared" si="21"/>
        <v>ACC Isobutane 50 Hz 230V HXK95AA K3</v>
      </c>
      <c r="I1026" s="91">
        <v>638.86032411351732</v>
      </c>
      <c r="J1026" s="92">
        <v>14.211807714595411</v>
      </c>
      <c r="K1026" s="92">
        <v>-7.8691416889543166</v>
      </c>
      <c r="L1026" s="92">
        <v>6.2243148770615243E-2</v>
      </c>
      <c r="M1026" s="92">
        <v>-1.6611873652153216E-2</v>
      </c>
      <c r="N1026" s="92">
        <v>8.8561793465758112E-2</v>
      </c>
      <c r="O1026" s="92">
        <v>-2.4029119641408853E-4</v>
      </c>
      <c r="P1026" s="92">
        <v>7.5824720582848986E-4</v>
      </c>
      <c r="Q1026" s="92">
        <v>-2.6536048238951648E-4</v>
      </c>
      <c r="R1026" s="92">
        <v>-6.0598677240036099E-4</v>
      </c>
      <c r="S1026" s="92">
        <v>89.822513336739917</v>
      </c>
      <c r="T1026" s="92">
        <v>-1.0473063015798785</v>
      </c>
      <c r="U1026" s="92">
        <v>0.72107658192810486</v>
      </c>
      <c r="V1026" s="92">
        <v>-6.9707900205007139E-2</v>
      </c>
      <c r="W1026" s="92">
        <v>5.9332061939283399E-2</v>
      </c>
      <c r="X1026" s="92">
        <v>8.0112095720771773E-3</v>
      </c>
      <c r="Y1026" s="92">
        <v>-3.6810702469134993E-4</v>
      </c>
      <c r="Z1026" s="92">
        <v>1.1964011958302736E-3</v>
      </c>
      <c r="AA1026" s="92">
        <v>2.3076818941680379E-4</v>
      </c>
      <c r="AB1026" s="92">
        <v>7.0554451658893631E-6</v>
      </c>
      <c r="AC1026" s="119">
        <v>6.6006592991130847E-2</v>
      </c>
      <c r="AD1026" s="119">
        <v>2.2179130764950692</v>
      </c>
      <c r="AE1026" s="120">
        <v>3.8001701984805023E-3</v>
      </c>
      <c r="AF1026" s="119">
        <v>7.2279387044506642E-3</v>
      </c>
      <c r="AG1026" s="119">
        <v>0.34537853089992071</v>
      </c>
      <c r="AH1026" s="120">
        <v>2.1735545446462784E-3</v>
      </c>
      <c r="AI1026" s="121">
        <v>-35</v>
      </c>
      <c r="AJ1026" s="121">
        <v>-10</v>
      </c>
      <c r="AK1026" s="121">
        <v>40</v>
      </c>
      <c r="AL1026" s="121">
        <v>60</v>
      </c>
      <c r="AM1026" s="122" t="s">
        <v>503</v>
      </c>
      <c r="AN1026" s="121" t="s">
        <v>504</v>
      </c>
      <c r="AP1026" s="87"/>
    </row>
    <row r="1027" spans="1:42">
      <c r="A1027" s="71" t="s">
        <v>99</v>
      </c>
      <c r="B1027" s="72" t="s">
        <v>44</v>
      </c>
      <c r="C1027" s="71" t="s">
        <v>45</v>
      </c>
      <c r="D1027" s="72" t="s">
        <v>46</v>
      </c>
      <c r="E1027" s="71" t="s">
        <v>102</v>
      </c>
      <c r="F1027" s="72" t="s">
        <v>505</v>
      </c>
      <c r="G1027" s="77"/>
      <c r="H1027" s="72" t="str">
        <f t="shared" si="21"/>
        <v>ACC Isobutane 50 Hz 230V HXK95AA.K3</v>
      </c>
      <c r="I1027" s="91">
        <v>662.94591431800836</v>
      </c>
      <c r="J1027" s="92">
        <v>15.288165085593045</v>
      </c>
      <c r="K1027" s="92">
        <v>-8.9613150117506954</v>
      </c>
      <c r="L1027" s="92">
        <v>9.7579154676742469E-2</v>
      </c>
      <c r="M1027" s="92">
        <v>-2.9205082281449354E-2</v>
      </c>
      <c r="N1027" s="92">
        <v>0.10915728366081277</v>
      </c>
      <c r="O1027" s="92">
        <v>6.6338732867128692E-5</v>
      </c>
      <c r="P1027" s="92">
        <v>4.5629293679609254E-4</v>
      </c>
      <c r="Q1027" s="92">
        <v>-2.7879941348033318E-4</v>
      </c>
      <c r="R1027" s="92">
        <v>-7.5270934879395092E-4</v>
      </c>
      <c r="S1027" s="92">
        <v>94.320792376477016</v>
      </c>
      <c r="T1027" s="92">
        <v>0.88107631140038689</v>
      </c>
      <c r="U1027" s="92">
        <v>1.1279272321718536</v>
      </c>
      <c r="V1027" s="92">
        <v>-7.9421578268579485E-3</v>
      </c>
      <c r="W1027" s="92">
        <v>2.9119889612992923E-2</v>
      </c>
      <c r="X1027" s="92">
        <v>-5.5041220828039843E-3</v>
      </c>
      <c r="Y1027" s="92">
        <v>2.9269421360716876E-4</v>
      </c>
      <c r="Z1027" s="92">
        <v>7.8459636190485692E-4</v>
      </c>
      <c r="AA1027" s="92">
        <v>3.7772865489614922E-4</v>
      </c>
      <c r="AB1027" s="92">
        <v>1.1454704595074345E-4</v>
      </c>
      <c r="AC1027" s="119"/>
      <c r="AD1027" s="119"/>
      <c r="AE1027" s="120"/>
      <c r="AF1027" s="119"/>
      <c r="AG1027" s="119"/>
      <c r="AH1027" s="120"/>
      <c r="AI1027" s="121"/>
      <c r="AJ1027" s="121"/>
      <c r="AK1027" s="121"/>
      <c r="AL1027" s="121"/>
      <c r="AM1027" s="122"/>
      <c r="AN1027" s="121"/>
      <c r="AP1027" s="87"/>
    </row>
    <row r="1028" spans="1:42">
      <c r="A1028" s="71" t="s">
        <v>99</v>
      </c>
      <c r="B1028" s="72" t="s">
        <v>100</v>
      </c>
      <c r="C1028" s="71" t="s">
        <v>45</v>
      </c>
      <c r="D1028" s="72" t="s">
        <v>46</v>
      </c>
      <c r="E1028" s="71" t="s">
        <v>102</v>
      </c>
      <c r="F1028" s="71" t="s">
        <v>506</v>
      </c>
      <c r="G1028" s="77"/>
      <c r="H1028" s="72" t="str">
        <f t="shared" si="21"/>
        <v>ACC R134a 50 Hz 230V GVM57AA, no RC</v>
      </c>
      <c r="I1028" s="91">
        <v>704.21168633478044</v>
      </c>
      <c r="J1028" s="92">
        <v>14.911327204799708</v>
      </c>
      <c r="K1028" s="92">
        <v>-9.7246331865433504</v>
      </c>
      <c r="L1028" s="92">
        <v>3.1063395846217114E-2</v>
      </c>
      <c r="M1028" s="92">
        <v>-1.1524408969072832E-2</v>
      </c>
      <c r="N1028" s="92">
        <v>0.10381119648514832</v>
      </c>
      <c r="O1028" s="92">
        <v>1.7840051933105276E-5</v>
      </c>
      <c r="P1028" s="92">
        <v>2.07717723652879E-3</v>
      </c>
      <c r="Q1028" s="92">
        <v>-5.0842190898215847E-5</v>
      </c>
      <c r="R1028" s="92">
        <v>-6.5203600973086687E-4</v>
      </c>
      <c r="S1028" s="92">
        <v>58.033172370208185</v>
      </c>
      <c r="T1028" s="92">
        <v>-0.84675124695969972</v>
      </c>
      <c r="U1028" s="92">
        <v>5.1582713677191379</v>
      </c>
      <c r="V1028" s="92">
        <v>-3.784389916181545E-2</v>
      </c>
      <c r="W1028" s="92">
        <v>9.6269341733574404E-2</v>
      </c>
      <c r="X1028" s="92">
        <v>-6.2902636564799844E-2</v>
      </c>
      <c r="Y1028" s="92">
        <v>7.2548881863089738E-4</v>
      </c>
      <c r="Z1028" s="92">
        <v>2.0832643840059417E-3</v>
      </c>
      <c r="AA1028" s="92">
        <v>5.3510432635755427E-4</v>
      </c>
      <c r="AB1028" s="92">
        <v>5.0460126776994134E-4</v>
      </c>
      <c r="AC1028" s="119"/>
      <c r="AD1028" s="119"/>
      <c r="AE1028" s="120"/>
      <c r="AF1028" s="119"/>
      <c r="AG1028" s="119"/>
      <c r="AH1028" s="120"/>
      <c r="AI1028" s="121"/>
      <c r="AJ1028" s="121"/>
      <c r="AK1028" s="121"/>
      <c r="AL1028" s="121"/>
      <c r="AM1028" s="122"/>
      <c r="AN1028" s="121"/>
      <c r="AP1028" s="87"/>
    </row>
    <row r="1029" spans="1:42">
      <c r="A1029" s="71" t="s">
        <v>99</v>
      </c>
      <c r="B1029" s="72" t="s">
        <v>100</v>
      </c>
      <c r="C1029" s="71" t="s">
        <v>45</v>
      </c>
      <c r="D1029" s="72" t="s">
        <v>46</v>
      </c>
      <c r="E1029" s="71" t="s">
        <v>102</v>
      </c>
      <c r="F1029" s="72" t="s">
        <v>507</v>
      </c>
      <c r="G1029" s="77"/>
      <c r="H1029" s="72" t="str">
        <f t="shared" si="21"/>
        <v>ACC R134a 50 Hz 230V GVM66AA, no RC</v>
      </c>
      <c r="I1029" s="91">
        <v>769.57011115740374</v>
      </c>
      <c r="J1029" s="92">
        <v>18.285930349518729</v>
      </c>
      <c r="K1029" s="92">
        <v>-7.3260764486348258</v>
      </c>
      <c r="L1029" s="92">
        <v>4.5746454972937417E-2</v>
      </c>
      <c r="M1029" s="92">
        <v>-2.5124651041450955E-2</v>
      </c>
      <c r="N1029" s="92">
        <v>3.6973991285605447E-2</v>
      </c>
      <c r="O1029" s="92">
        <v>1.7182304983283263E-5</v>
      </c>
      <c r="P1029" s="92">
        <v>2.129167485021885E-3</v>
      </c>
      <c r="Q1029" s="92">
        <v>-8.3339325749707803E-5</v>
      </c>
      <c r="R1029" s="92">
        <v>-1.8958161950009635E-4</v>
      </c>
      <c r="S1029" s="92">
        <v>110.37112532760102</v>
      </c>
      <c r="T1029" s="92">
        <v>-2.4398404565618397</v>
      </c>
      <c r="U1029" s="92">
        <v>3.0802858866937037</v>
      </c>
      <c r="V1029" s="92">
        <v>-0.13882932747241863</v>
      </c>
      <c r="W1029" s="92">
        <v>7.9556006274876453E-2</v>
      </c>
      <c r="X1029" s="92">
        <v>-2.4434770941746928E-2</v>
      </c>
      <c r="Y1029" s="92">
        <v>-1.5459699816237202E-4</v>
      </c>
      <c r="Z1029" s="92">
        <v>2.7789368003840031E-3</v>
      </c>
      <c r="AA1029" s="92">
        <v>1.2630370508826129E-3</v>
      </c>
      <c r="AB1029" s="92">
        <v>3.9896061984530807E-4</v>
      </c>
      <c r="AC1029" s="119"/>
      <c r="AD1029" s="119"/>
      <c r="AE1029" s="120"/>
      <c r="AF1029" s="119"/>
      <c r="AG1029" s="119"/>
      <c r="AH1029" s="120"/>
      <c r="AI1029" s="121"/>
      <c r="AJ1029" s="121"/>
      <c r="AK1029" s="121"/>
      <c r="AL1029" s="121"/>
      <c r="AM1029" s="122"/>
      <c r="AN1029" s="121"/>
      <c r="AP1029" s="87"/>
    </row>
    <row r="1030" spans="1:42">
      <c r="A1030" s="71" t="s">
        <v>99</v>
      </c>
      <c r="B1030" s="72" t="s">
        <v>100</v>
      </c>
      <c r="C1030" s="71" t="s">
        <v>45</v>
      </c>
      <c r="D1030" s="72" t="s">
        <v>46</v>
      </c>
      <c r="E1030" s="71" t="s">
        <v>102</v>
      </c>
      <c r="F1030" s="72" t="s">
        <v>508</v>
      </c>
      <c r="G1030" s="77"/>
      <c r="H1030" s="72" t="str">
        <f t="shared" si="21"/>
        <v xml:space="preserve">ACC R134a 50 Hz 230V GVY57AA, no RC# </v>
      </c>
      <c r="I1030" s="91">
        <v>687.97365165355939</v>
      </c>
      <c r="J1030" s="92">
        <v>14.567495012018595</v>
      </c>
      <c r="K1030" s="92">
        <v>-9.5003981532295541</v>
      </c>
      <c r="L1030" s="92">
        <v>3.0347121877955279E-2</v>
      </c>
      <c r="M1030" s="92">
        <v>-1.1258673883797043E-2</v>
      </c>
      <c r="N1030" s="92">
        <v>0.1014174705053958</v>
      </c>
      <c r="O1030" s="92">
        <v>1.7428687867972692E-5</v>
      </c>
      <c r="P1030" s="92">
        <v>2.0292807351495689E-3</v>
      </c>
      <c r="Q1030" s="92">
        <v>-4.9669848440550335E-5</v>
      </c>
      <c r="R1030" s="92">
        <v>-6.370010656297242E-4</v>
      </c>
      <c r="S1030" s="92">
        <v>54.286629422410059</v>
      </c>
      <c r="T1030" s="92">
        <v>-0.7920861341756068</v>
      </c>
      <c r="U1030" s="92">
        <v>4.8252603599411428</v>
      </c>
      <c r="V1030" s="92">
        <v>-3.5400748327023779E-2</v>
      </c>
      <c r="W1030" s="92">
        <v>9.00543235184708E-2</v>
      </c>
      <c r="X1030" s="92">
        <v>-5.8841727608860341E-2</v>
      </c>
      <c r="Y1030" s="92">
        <v>6.786522438558928E-4</v>
      </c>
      <c r="Z1030" s="92">
        <v>1.9487716591122177E-3</v>
      </c>
      <c r="AA1030" s="92">
        <v>5.0055871634915948E-4</v>
      </c>
      <c r="AB1030" s="92">
        <v>4.7202489387892903E-4</v>
      </c>
      <c r="AC1030" s="119"/>
      <c r="AD1030" s="119"/>
      <c r="AE1030" s="120"/>
      <c r="AF1030" s="119"/>
      <c r="AG1030" s="119"/>
      <c r="AH1030" s="120"/>
      <c r="AI1030" s="121"/>
      <c r="AJ1030" s="121"/>
      <c r="AK1030" s="121"/>
      <c r="AL1030" s="121"/>
      <c r="AM1030" s="122"/>
      <c r="AN1030" s="121"/>
      <c r="AP1030" s="87"/>
    </row>
    <row r="1031" spans="1:42">
      <c r="A1031" s="71" t="s">
        <v>99</v>
      </c>
      <c r="B1031" s="72" t="s">
        <v>100</v>
      </c>
      <c r="C1031" s="71" t="s">
        <v>45</v>
      </c>
      <c r="D1031" s="72" t="s">
        <v>46</v>
      </c>
      <c r="E1031" s="71" t="s">
        <v>102</v>
      </c>
      <c r="F1031" s="72" t="s">
        <v>509</v>
      </c>
      <c r="G1031" s="77"/>
      <c r="H1031" s="72" t="str">
        <f t="shared" si="21"/>
        <v xml:space="preserve">ACC R134a 50 Hz 230V GVY66AA, with RC# </v>
      </c>
      <c r="I1031" s="91">
        <v>781.94079691308002</v>
      </c>
      <c r="J1031" s="92">
        <v>18.57987302585769</v>
      </c>
      <c r="K1031" s="92">
        <v>-7.4438416635959692</v>
      </c>
      <c r="L1031" s="92">
        <v>4.6481820095233148E-2</v>
      </c>
      <c r="M1031" s="92">
        <v>-2.552852478634909E-2</v>
      </c>
      <c r="N1031" s="92">
        <v>3.7568340807105749E-2</v>
      </c>
      <c r="O1031" s="92">
        <v>1.7458507102394555E-5</v>
      </c>
      <c r="P1031" s="92">
        <v>2.1633934268776517E-3</v>
      </c>
      <c r="Q1031" s="92">
        <v>-8.4678988757655251E-5</v>
      </c>
      <c r="R1031" s="92">
        <v>-1.926291061499621E-4</v>
      </c>
      <c r="S1031" s="92">
        <v>96.506800570257468</v>
      </c>
      <c r="T1031" s="92">
        <v>-2.1333586630177859</v>
      </c>
      <c r="U1031" s="92">
        <v>2.6933542163693844</v>
      </c>
      <c r="V1031" s="92">
        <v>-0.12139021125240967</v>
      </c>
      <c r="W1031" s="92">
        <v>6.9562538290217621E-2</v>
      </c>
      <c r="X1031" s="92">
        <v>-2.1365384825567116E-2</v>
      </c>
      <c r="Y1031" s="92">
        <v>-1.3517721800998498E-4</v>
      </c>
      <c r="Z1031" s="92">
        <v>2.429859248023285E-3</v>
      </c>
      <c r="AA1031" s="92">
        <v>1.1043800126217653E-3</v>
      </c>
      <c r="AB1031" s="92">
        <v>3.4884497970384443E-4</v>
      </c>
      <c r="AC1031" s="119"/>
      <c r="AD1031" s="119"/>
      <c r="AE1031" s="120"/>
      <c r="AF1031" s="119"/>
      <c r="AG1031" s="119"/>
      <c r="AH1031" s="120"/>
      <c r="AI1031" s="121"/>
      <c r="AJ1031" s="121"/>
      <c r="AK1031" s="121"/>
      <c r="AL1031" s="121"/>
      <c r="AM1031" s="122"/>
      <c r="AN1031" s="121"/>
      <c r="AP1031" s="87"/>
    </row>
    <row r="1032" spans="1:42">
      <c r="A1032" s="71" t="s">
        <v>104</v>
      </c>
      <c r="B1032" s="72"/>
      <c r="C1032" s="71"/>
      <c r="D1032" s="72"/>
      <c r="E1032" s="71"/>
      <c r="F1032" s="72"/>
      <c r="G1032" s="77"/>
      <c r="H1032" s="72" t="str">
        <f t="shared" si="21"/>
        <v xml:space="preserve">Donper    </v>
      </c>
      <c r="I1032" s="91"/>
      <c r="J1032" s="92"/>
      <c r="K1032" s="92"/>
      <c r="L1032" s="92"/>
      <c r="M1032" s="92"/>
      <c r="N1032" s="92"/>
      <c r="O1032" s="92"/>
      <c r="P1032" s="92"/>
      <c r="Q1032" s="92"/>
      <c r="R1032" s="92"/>
      <c r="S1032" s="92"/>
      <c r="T1032" s="92"/>
      <c r="U1032" s="92"/>
      <c r="V1032" s="92"/>
      <c r="W1032" s="92"/>
      <c r="X1032" s="92"/>
      <c r="Y1032" s="92"/>
      <c r="Z1032" s="92"/>
      <c r="AA1032" s="92"/>
      <c r="AB1032" s="92"/>
      <c r="AC1032" s="119"/>
      <c r="AD1032" s="119"/>
      <c r="AE1032" s="120"/>
      <c r="AF1032" s="119"/>
      <c r="AG1032" s="119"/>
      <c r="AH1032" s="120"/>
      <c r="AI1032" s="121"/>
      <c r="AJ1032" s="121"/>
      <c r="AK1032" s="121"/>
      <c r="AL1032" s="121"/>
      <c r="AM1032" s="122"/>
      <c r="AN1032" s="121"/>
      <c r="AP1032" s="87"/>
    </row>
    <row r="1033" spans="1:42">
      <c r="A1033" s="71" t="s">
        <v>43</v>
      </c>
      <c r="B1033" s="72" t="s">
        <v>44</v>
      </c>
      <c r="C1033" s="71" t="s">
        <v>45</v>
      </c>
      <c r="D1033" s="72" t="s">
        <v>109</v>
      </c>
      <c r="E1033" s="71" t="s">
        <v>102</v>
      </c>
      <c r="F1033" s="72" t="s">
        <v>510</v>
      </c>
      <c r="G1033" s="77"/>
      <c r="H1033" s="72" t="str">
        <f t="shared" si="21"/>
        <v>Embraco Isobutane 50 Hz 220V EGAS100CLP - PTCSIR</v>
      </c>
      <c r="I1033" s="91">
        <v>1208.0257488664006</v>
      </c>
      <c r="J1033" s="92">
        <v>42.679412915486772</v>
      </c>
      <c r="K1033" s="92">
        <v>-16.235392497434429</v>
      </c>
      <c r="L1033" s="92">
        <v>0.44717474449726013</v>
      </c>
      <c r="M1033" s="92">
        <v>-0.45754248444801809</v>
      </c>
      <c r="N1033" s="92">
        <v>9.6102630093719818E-2</v>
      </c>
      <c r="O1033" s="92">
        <v>5.3100270629372255E-4</v>
      </c>
      <c r="P1033" s="92">
        <v>-3.24371456030119E-3</v>
      </c>
      <c r="Q1033" s="92">
        <v>1.4845916092731299E-3</v>
      </c>
      <c r="R1033" s="92">
        <v>-2.3099051262402389E-4</v>
      </c>
      <c r="S1033" s="92">
        <v>226.4838033149563</v>
      </c>
      <c r="T1033" s="92">
        <v>6.266952472566456</v>
      </c>
      <c r="U1033" s="92">
        <v>-0.18755082154526156</v>
      </c>
      <c r="V1033" s="92">
        <v>5.5390445446598449E-2</v>
      </c>
      <c r="W1033" s="92">
        <v>-8.2766495428311451E-2</v>
      </c>
      <c r="X1033" s="92">
        <v>1.7382957709319791E-2</v>
      </c>
      <c r="Y1033" s="92">
        <v>5.4292254264624287E-4</v>
      </c>
      <c r="Z1033" s="92">
        <v>9.9680707503554218E-5</v>
      </c>
      <c r="AA1033" s="92">
        <v>1.2388489386040038E-3</v>
      </c>
      <c r="AB1033" s="92">
        <v>1.6157019694059586E-5</v>
      </c>
      <c r="AC1033" s="119">
        <v>2.3662844827667451E-2</v>
      </c>
      <c r="AD1033" s="119">
        <v>1.3809749837847205</v>
      </c>
      <c r="AE1033" s="120">
        <v>2.6526347199140204E-3</v>
      </c>
      <c r="AF1033" s="119">
        <v>6.5760651722557559E-2</v>
      </c>
      <c r="AG1033" s="119">
        <v>2.8880081049751589</v>
      </c>
      <c r="AH1033" s="120">
        <v>3.4045874135561903E-3</v>
      </c>
      <c r="AI1033" s="121">
        <v>-35</v>
      </c>
      <c r="AJ1033" s="121">
        <v>-10</v>
      </c>
      <c r="AK1033" s="121">
        <v>35</v>
      </c>
      <c r="AL1033" s="121">
        <v>65</v>
      </c>
      <c r="AM1033" s="122">
        <v>41884</v>
      </c>
      <c r="AN1033" s="121" t="s">
        <v>481</v>
      </c>
      <c r="AP1033" s="87"/>
    </row>
    <row r="1034" spans="1:42">
      <c r="A1034" s="71" t="s">
        <v>43</v>
      </c>
      <c r="B1034" s="72" t="s">
        <v>44</v>
      </c>
      <c r="C1034" s="71" t="s">
        <v>105</v>
      </c>
      <c r="D1034" s="72" t="s">
        <v>109</v>
      </c>
      <c r="E1034" s="71" t="s">
        <v>102</v>
      </c>
      <c r="F1034" s="72" t="s">
        <v>510</v>
      </c>
      <c r="G1034" s="77"/>
      <c r="H1034" s="72" t="str">
        <f t="shared" si="21"/>
        <v>Embraco Isobutane 60 Hz 220V EGAS100CLP - PTCSIR</v>
      </c>
      <c r="I1034" s="91">
        <v>995.57880452445272</v>
      </c>
      <c r="J1034" s="92">
        <v>36.467147232788051</v>
      </c>
      <c r="K1034" s="92">
        <v>-1.834848087278423</v>
      </c>
      <c r="L1034" s="92">
        <v>0.29364256500494285</v>
      </c>
      <c r="M1034" s="92">
        <v>-0.20081117243574265</v>
      </c>
      <c r="N1034" s="92">
        <v>-7.9941008867218707E-2</v>
      </c>
      <c r="O1034" s="92">
        <v>-3.1009221709464773E-3</v>
      </c>
      <c r="P1034" s="92">
        <v>-4.0455249157779118E-3</v>
      </c>
      <c r="Q1034" s="92">
        <v>-1.0084947031291079E-3</v>
      </c>
      <c r="R1034" s="92">
        <v>2.3487393822903857E-4</v>
      </c>
      <c r="S1034" s="92">
        <v>-103.00632283019723</v>
      </c>
      <c r="T1034" s="92">
        <v>-7.4589579976689846</v>
      </c>
      <c r="U1034" s="92">
        <v>12.137484818947765</v>
      </c>
      <c r="V1034" s="92">
        <v>-0.10205299217773253</v>
      </c>
      <c r="W1034" s="92">
        <v>0.32801722183097037</v>
      </c>
      <c r="X1034" s="92">
        <v>-7.3134511847316924E-2</v>
      </c>
      <c r="Y1034" s="92">
        <v>-1.0564655870294315E-3</v>
      </c>
      <c r="Z1034" s="92">
        <v>1.3527202752072075E-3</v>
      </c>
      <c r="AA1034" s="92">
        <v>-1.4794614275502819E-3</v>
      </c>
      <c r="AB1034" s="92">
        <v>-2.2842272083489971E-5</v>
      </c>
      <c r="AC1034" s="119">
        <v>5.7431691348443344E-2</v>
      </c>
      <c r="AD1034" s="119">
        <v>1.9508987244372995</v>
      </c>
      <c r="AE1034" s="120">
        <v>3.0189312707841918E-3</v>
      </c>
      <c r="AF1034" s="119">
        <v>3.8663866903379099E-2</v>
      </c>
      <c r="AG1034" s="119">
        <v>1.2037349199084209</v>
      </c>
      <c r="AH1034" s="120">
        <v>2.1894958094403408E-3</v>
      </c>
      <c r="AI1034" s="121">
        <v>-35</v>
      </c>
      <c r="AJ1034" s="121">
        <v>-10</v>
      </c>
      <c r="AK1034" s="121">
        <v>35</v>
      </c>
      <c r="AL1034" s="121">
        <v>65</v>
      </c>
      <c r="AM1034" s="122">
        <v>41884</v>
      </c>
      <c r="AN1034" s="121" t="s">
        <v>481</v>
      </c>
      <c r="AP1034" s="87"/>
    </row>
    <row r="1035" spans="1:42">
      <c r="A1035" s="71" t="s">
        <v>43</v>
      </c>
      <c r="B1035" s="72" t="s">
        <v>44</v>
      </c>
      <c r="C1035" s="71" t="s">
        <v>105</v>
      </c>
      <c r="D1035" s="72" t="s">
        <v>106</v>
      </c>
      <c r="E1035" s="71" t="s">
        <v>102</v>
      </c>
      <c r="F1035" s="72" t="s">
        <v>511</v>
      </c>
      <c r="G1035" s="77"/>
      <c r="H1035" s="72" t="str">
        <f t="shared" si="21"/>
        <v>Embraco Isobutane 60 Hz 127V EGAS80CLP - PTCSIR</v>
      </c>
      <c r="I1035" s="91">
        <v>1075.8589601027791</v>
      </c>
      <c r="J1035" s="92">
        <v>29.311490579224703</v>
      </c>
      <c r="K1035" s="92">
        <v>-18.145317346448696</v>
      </c>
      <c r="L1035" s="92">
        <v>0.4796995460501966</v>
      </c>
      <c r="M1035" s="92">
        <v>-3.4878221145708606E-2</v>
      </c>
      <c r="N1035" s="92">
        <v>0.27826231759941394</v>
      </c>
      <c r="O1035" s="92">
        <v>2.4220559970923911E-3</v>
      </c>
      <c r="P1035" s="92">
        <v>-2.8688068998249895E-3</v>
      </c>
      <c r="Q1035" s="92">
        <v>-1.8450762617873919E-3</v>
      </c>
      <c r="R1035" s="92">
        <v>-2.1018488179535724E-3</v>
      </c>
      <c r="S1035" s="92">
        <v>142.74679983804631</v>
      </c>
      <c r="T1035" s="92">
        <v>-0.98364674960164833</v>
      </c>
      <c r="U1035" s="92">
        <v>-0.16857705177768462</v>
      </c>
      <c r="V1035" s="92">
        <v>-1.8586365669672207E-3</v>
      </c>
      <c r="W1035" s="92">
        <v>0.11405959021339905</v>
      </c>
      <c r="X1035" s="92">
        <v>6.9699753777564627E-2</v>
      </c>
      <c r="Y1035" s="92">
        <v>3.1360582523214326E-4</v>
      </c>
      <c r="Z1035" s="92">
        <v>4.5225081979918119E-4</v>
      </c>
      <c r="AA1035" s="92">
        <v>-1.6878500417745064E-4</v>
      </c>
      <c r="AB1035" s="92">
        <v>-5.3801224231395388E-4</v>
      </c>
      <c r="AC1035" s="119">
        <v>4.7499067436202962E-2</v>
      </c>
      <c r="AD1035" s="119">
        <v>1.8934581125176919</v>
      </c>
      <c r="AE1035" s="120">
        <v>4.1896141380766173E-3</v>
      </c>
      <c r="AF1035" s="119">
        <v>3.2448802819048779E-2</v>
      </c>
      <c r="AG1035" s="119">
        <v>1.1933198817360657</v>
      </c>
      <c r="AH1035" s="120">
        <v>2.9486655989903209E-3</v>
      </c>
      <c r="AI1035" s="121">
        <v>-35</v>
      </c>
      <c r="AJ1035" s="121">
        <v>-10</v>
      </c>
      <c r="AK1035" s="121">
        <v>35</v>
      </c>
      <c r="AL1035" s="121">
        <v>65</v>
      </c>
      <c r="AM1035" s="122">
        <v>41883</v>
      </c>
      <c r="AN1035" s="121" t="s">
        <v>481</v>
      </c>
      <c r="AP1035" s="87"/>
    </row>
    <row r="1036" spans="1:42">
      <c r="A1036" s="71" t="s">
        <v>43</v>
      </c>
      <c r="B1036" s="72" t="s">
        <v>44</v>
      </c>
      <c r="C1036" s="71" t="s">
        <v>105</v>
      </c>
      <c r="D1036" s="72" t="s">
        <v>109</v>
      </c>
      <c r="E1036" s="71" t="s">
        <v>102</v>
      </c>
      <c r="F1036" s="72" t="s">
        <v>511</v>
      </c>
      <c r="G1036" s="77"/>
      <c r="H1036" s="72" t="str">
        <f t="shared" si="21"/>
        <v>Embraco Isobutane 60 Hz 220V EGAS80CLP - PTCSIR</v>
      </c>
      <c r="I1036" s="91">
        <v>913.34688660052416</v>
      </c>
      <c r="J1036" s="92">
        <v>39.000339547506741</v>
      </c>
      <c r="K1036" s="92">
        <v>-5.9427001692111849</v>
      </c>
      <c r="L1036" s="92">
        <v>0.57687398221500252</v>
      </c>
      <c r="M1036" s="92">
        <v>-0.36385827651389357</v>
      </c>
      <c r="N1036" s="92">
        <v>-2.0908216525135439E-2</v>
      </c>
      <c r="O1036" s="92">
        <v>3.3677290191141697E-3</v>
      </c>
      <c r="P1036" s="92">
        <v>-3.3768072225910471E-3</v>
      </c>
      <c r="Q1036" s="92">
        <v>1.1866457564264927E-3</v>
      </c>
      <c r="R1036" s="92">
        <v>2.1078942015788691E-4</v>
      </c>
      <c r="S1036" s="92">
        <v>158.31238233995546</v>
      </c>
      <c r="T1036" s="92">
        <v>4.7537378734801008</v>
      </c>
      <c r="U1036" s="92">
        <v>0.76161998075366533</v>
      </c>
      <c r="V1036" s="92">
        <v>7.1004089066115661E-2</v>
      </c>
      <c r="W1036" s="92">
        <v>-5.5880802702076196E-2</v>
      </c>
      <c r="X1036" s="92">
        <v>1.8074308328972454E-2</v>
      </c>
      <c r="Y1036" s="92">
        <v>1.0051579751422738E-3</v>
      </c>
      <c r="Z1036" s="92">
        <v>1.138582140836738E-4</v>
      </c>
      <c r="AA1036" s="92">
        <v>1.3820472640555834E-3</v>
      </c>
      <c r="AB1036" s="92">
        <v>1.4021963395532764E-5</v>
      </c>
      <c r="AC1036" s="119">
        <v>2.6940009739174108E-2</v>
      </c>
      <c r="AD1036" s="119">
        <v>1.3867939005166727</v>
      </c>
      <c r="AE1036" s="120">
        <v>3.2151110690362599E-3</v>
      </c>
      <c r="AF1036" s="119">
        <v>4.55313246893762E-2</v>
      </c>
      <c r="AG1036" s="119">
        <v>2.0019675955499818</v>
      </c>
      <c r="AH1036" s="120">
        <v>3.7113205951559499E-3</v>
      </c>
      <c r="AI1036" s="121">
        <v>-35</v>
      </c>
      <c r="AJ1036" s="121">
        <v>-10</v>
      </c>
      <c r="AK1036" s="121">
        <v>35</v>
      </c>
      <c r="AL1036" s="121">
        <v>65</v>
      </c>
      <c r="AM1036" s="122">
        <v>41883</v>
      </c>
      <c r="AN1036" s="121" t="s">
        <v>481</v>
      </c>
      <c r="AP1036" s="87"/>
    </row>
    <row r="1037" spans="1:42">
      <c r="A1037" s="71" t="s">
        <v>43</v>
      </c>
      <c r="B1037" s="72" t="s">
        <v>44</v>
      </c>
      <c r="C1037" s="71" t="s">
        <v>105</v>
      </c>
      <c r="D1037" s="72" t="s">
        <v>106</v>
      </c>
      <c r="E1037" s="71" t="s">
        <v>102</v>
      </c>
      <c r="F1037" s="72" t="s">
        <v>512</v>
      </c>
      <c r="G1037" s="77"/>
      <c r="H1037" s="72" t="str">
        <f t="shared" si="21"/>
        <v>Embraco Isobutane 60 Hz 127V EGYS90CLP - PTCSCR</v>
      </c>
      <c r="I1037" s="91">
        <v>1044.3467309010009</v>
      </c>
      <c r="J1037" s="92">
        <v>48.450514867162333</v>
      </c>
      <c r="K1037" s="92">
        <v>-6.9392173530502115</v>
      </c>
      <c r="L1037" s="92">
        <v>0.7862474256146228</v>
      </c>
      <c r="M1037" s="92">
        <v>-0.47017148954522375</v>
      </c>
      <c r="N1037" s="92">
        <v>-2.0086070824884193E-2</v>
      </c>
      <c r="O1037" s="92">
        <v>4.4672157209026432E-3</v>
      </c>
      <c r="P1037" s="92">
        <v>-5.3079369444231179E-3</v>
      </c>
      <c r="Q1037" s="92">
        <v>1.354951114269045E-3</v>
      </c>
      <c r="R1037" s="92">
        <v>1.845835519189827E-4</v>
      </c>
      <c r="S1037" s="92">
        <v>158.12822171572577</v>
      </c>
      <c r="T1037" s="92">
        <v>6.1447383088763514</v>
      </c>
      <c r="U1037" s="92">
        <v>0.91915259017095163</v>
      </c>
      <c r="V1037" s="92">
        <v>0.10363902155815001</v>
      </c>
      <c r="W1037" s="92">
        <v>-8.6944223943873383E-2</v>
      </c>
      <c r="X1037" s="92">
        <v>2.1400743533058427E-2</v>
      </c>
      <c r="Y1037" s="92">
        <v>9.5350667135713602E-4</v>
      </c>
      <c r="Z1037" s="92">
        <v>-7.5380689791717506E-4</v>
      </c>
      <c r="AA1037" s="92">
        <v>1.3085270097069558E-3</v>
      </c>
      <c r="AB1037" s="92">
        <v>-7.9467350592770503E-5</v>
      </c>
      <c r="AC1037" s="119">
        <v>6.9377947151544467E-2</v>
      </c>
      <c r="AD1037" s="119">
        <v>3.2050407787004485</v>
      </c>
      <c r="AE1037" s="120">
        <v>5.206327391159866E-3</v>
      </c>
      <c r="AF1037" s="119">
        <v>2.1967351448916605E-2</v>
      </c>
      <c r="AG1037" s="119">
        <v>1.0858131908587243</v>
      </c>
      <c r="AH1037" s="120">
        <v>2.3948423888727429E-3</v>
      </c>
      <c r="AI1037" s="121">
        <v>-35</v>
      </c>
      <c r="AJ1037" s="121">
        <v>-10</v>
      </c>
      <c r="AK1037" s="121">
        <v>35</v>
      </c>
      <c r="AL1037" s="121">
        <v>65</v>
      </c>
      <c r="AM1037" s="122">
        <v>41884</v>
      </c>
      <c r="AN1037" s="121" t="s">
        <v>481</v>
      </c>
      <c r="AP1037" s="87"/>
    </row>
    <row r="1038" spans="1:42">
      <c r="A1038" s="71" t="s">
        <v>43</v>
      </c>
      <c r="B1038" s="72" t="s">
        <v>44</v>
      </c>
      <c r="C1038" s="71" t="s">
        <v>105</v>
      </c>
      <c r="D1038" s="72" t="s">
        <v>106</v>
      </c>
      <c r="E1038" s="71" t="s">
        <v>102</v>
      </c>
      <c r="F1038" s="72" t="s">
        <v>513</v>
      </c>
      <c r="G1038" s="77"/>
      <c r="H1038" s="72" t="str">
        <f t="shared" si="21"/>
        <v>Embraco Isobutane 60 Hz 127V EGYS90CLP - PTCSIR</v>
      </c>
      <c r="I1038" s="91">
        <v>1318.8252206734414</v>
      </c>
      <c r="J1038" s="92">
        <v>60.231167850669522</v>
      </c>
      <c r="K1038" s="92">
        <v>-16.780804924327931</v>
      </c>
      <c r="L1038" s="92">
        <v>0.92540727310179161</v>
      </c>
      <c r="M1038" s="92">
        <v>-0.79959556338653603</v>
      </c>
      <c r="N1038" s="92">
        <v>7.5990590547924231E-2</v>
      </c>
      <c r="O1038" s="92">
        <v>5.3343715665365842E-3</v>
      </c>
      <c r="P1038" s="92">
        <v>-6.7242995534725989E-3</v>
      </c>
      <c r="Q1038" s="92">
        <v>3.8215434770634644E-3</v>
      </c>
      <c r="R1038" s="92">
        <v>5.1025839681477141E-5</v>
      </c>
      <c r="S1038" s="92">
        <v>209.75077133553944</v>
      </c>
      <c r="T1038" s="92">
        <v>10.157119342200906</v>
      </c>
      <c r="U1038" s="92">
        <v>-9.08504410597612E-2</v>
      </c>
      <c r="V1038" s="92">
        <v>0.2043331016209986</v>
      </c>
      <c r="W1038" s="92">
        <v>-0.16512114843897524</v>
      </c>
      <c r="X1038" s="92">
        <v>2.1753232835263068E-2</v>
      </c>
      <c r="Y1038" s="92">
        <v>1.9776557934625787E-3</v>
      </c>
      <c r="Z1038" s="92">
        <v>-1.5276112327067448E-3</v>
      </c>
      <c r="AA1038" s="92">
        <v>1.7683965860061984E-3</v>
      </c>
      <c r="AB1038" s="92">
        <v>2.1247300225385414E-5</v>
      </c>
      <c r="AC1038" s="119">
        <v>0.12617040765790208</v>
      </c>
      <c r="AD1038" s="119">
        <v>5.3723044752219185</v>
      </c>
      <c r="AE1038" s="120">
        <v>6.8284004052460347E-3</v>
      </c>
      <c r="AF1038" s="119">
        <v>1.7415666541829154E-2</v>
      </c>
      <c r="AG1038" s="119">
        <v>0.59916537991653662</v>
      </c>
      <c r="AH1038" s="120">
        <v>1.7147020115187003E-3</v>
      </c>
      <c r="AI1038" s="121">
        <v>-35</v>
      </c>
      <c r="AJ1038" s="121">
        <v>-10</v>
      </c>
      <c r="AK1038" s="121">
        <v>35</v>
      </c>
      <c r="AL1038" s="121">
        <v>65</v>
      </c>
      <c r="AM1038" s="122">
        <v>41884</v>
      </c>
      <c r="AN1038" s="121" t="s">
        <v>481</v>
      </c>
      <c r="AP1038" s="87"/>
    </row>
    <row r="1039" spans="1:42">
      <c r="A1039" s="71" t="s">
        <v>43</v>
      </c>
      <c r="B1039" s="72" t="s">
        <v>44</v>
      </c>
      <c r="C1039" s="71" t="s">
        <v>105</v>
      </c>
      <c r="D1039" s="72" t="s">
        <v>109</v>
      </c>
      <c r="E1039" s="71" t="s">
        <v>102</v>
      </c>
      <c r="F1039" s="72" t="s">
        <v>513</v>
      </c>
      <c r="G1039" s="77"/>
      <c r="H1039" s="72" t="str">
        <f t="shared" si="21"/>
        <v>Embraco Isobutane 60 Hz 220V EGYS90CLP - PTCSIR</v>
      </c>
      <c r="I1039" s="91">
        <v>952.51489301804031</v>
      </c>
      <c r="J1039" s="92">
        <v>39.700796790596385</v>
      </c>
      <c r="K1039" s="92">
        <v>-4.6309393184309151</v>
      </c>
      <c r="L1039" s="92">
        <v>0.54093781007978781</v>
      </c>
      <c r="M1039" s="92">
        <v>-0.3363414999374898</v>
      </c>
      <c r="N1039" s="92">
        <v>-4.071752965262522E-2</v>
      </c>
      <c r="O1039" s="92">
        <v>2.576194916289938E-3</v>
      </c>
      <c r="P1039" s="92">
        <v>-3.1004794686167736E-3</v>
      </c>
      <c r="Q1039" s="92">
        <v>1.0295593137910368E-3</v>
      </c>
      <c r="R1039" s="92">
        <v>2.4885647763228555E-4</v>
      </c>
      <c r="S1039" s="92">
        <v>135.87130242926904</v>
      </c>
      <c r="T1039" s="92">
        <v>6.4997333021299157</v>
      </c>
      <c r="U1039" s="92">
        <v>1.657647687218716</v>
      </c>
      <c r="V1039" s="92">
        <v>0.11307168751461685</v>
      </c>
      <c r="W1039" s="92">
        <v>-0.1151270618202592</v>
      </c>
      <c r="X1039" s="92">
        <v>1.6167513503614468E-2</v>
      </c>
      <c r="Y1039" s="92">
        <v>1.5952396506080479E-3</v>
      </c>
      <c r="Z1039" s="92">
        <v>-4.8229509698126486E-4</v>
      </c>
      <c r="AA1039" s="92">
        <v>1.8299404316847732E-3</v>
      </c>
      <c r="AB1039" s="92">
        <v>-6.804725824988096E-5</v>
      </c>
      <c r="AC1039" s="119">
        <v>2.9163212464718962E-2</v>
      </c>
      <c r="AD1039" s="119">
        <v>1.6185098697890661</v>
      </c>
      <c r="AE1039" s="120">
        <v>3.6580015057641963E-3</v>
      </c>
      <c r="AF1039" s="119">
        <v>5.2260894325706249E-2</v>
      </c>
      <c r="AG1039" s="119">
        <v>2.1067798602401711</v>
      </c>
      <c r="AH1039" s="120">
        <v>3.5576579154596483E-3</v>
      </c>
      <c r="AI1039" s="121">
        <v>-35</v>
      </c>
      <c r="AJ1039" s="121">
        <v>-10</v>
      </c>
      <c r="AK1039" s="121">
        <v>35</v>
      </c>
      <c r="AL1039" s="121">
        <v>65</v>
      </c>
      <c r="AM1039" s="122">
        <v>41884</v>
      </c>
      <c r="AN1039" s="121" t="s">
        <v>481</v>
      </c>
      <c r="AP1039" s="87"/>
    </row>
    <row r="1040" spans="1:42">
      <c r="A1040" s="93" t="s">
        <v>43</v>
      </c>
      <c r="B1040" s="94" t="s">
        <v>44</v>
      </c>
      <c r="C1040" s="93" t="s">
        <v>45</v>
      </c>
      <c r="D1040" s="94" t="s">
        <v>109</v>
      </c>
      <c r="E1040" s="93" t="s">
        <v>102</v>
      </c>
      <c r="F1040" s="94" t="s">
        <v>514</v>
      </c>
      <c r="G1040" s="95"/>
      <c r="H1040" s="94" t="s">
        <v>282</v>
      </c>
      <c r="I1040" s="96">
        <v>776.26763372752987</v>
      </c>
      <c r="J1040" s="96">
        <v>27.276053425259615</v>
      </c>
      <c r="K1040" s="96">
        <v>-6.4061839558288343</v>
      </c>
      <c r="L1040" s="96">
        <v>0.27426949998313355</v>
      </c>
      <c r="M1040" s="96">
        <v>-0.2255681113865991</v>
      </c>
      <c r="N1040" s="96">
        <v>3.5325850225935857E-4</v>
      </c>
      <c r="O1040" s="96">
        <v>3.7831667543824631E-4</v>
      </c>
      <c r="P1040" s="96">
        <v>-1.6131973848252015E-3</v>
      </c>
      <c r="Q1040" s="96">
        <v>4.6500263827792732E-4</v>
      </c>
      <c r="R1040" s="96">
        <v>8.0253031375258625E-5</v>
      </c>
      <c r="S1040" s="96">
        <v>113.71403624755578</v>
      </c>
      <c r="T1040" s="96">
        <v>1.637725927382722</v>
      </c>
      <c r="U1040" s="96">
        <v>0.92688075992339847</v>
      </c>
      <c r="V1040" s="96">
        <v>1.7708743612126997E-2</v>
      </c>
      <c r="W1040" s="96">
        <v>3.6964874551314017E-2</v>
      </c>
      <c r="X1040" s="96">
        <v>1.3361783460957757E-2</v>
      </c>
      <c r="Y1040" s="96">
        <v>5.0352060070067142E-4</v>
      </c>
      <c r="Z1040" s="96">
        <v>6.6215112464830203E-4</v>
      </c>
      <c r="AA1040" s="96">
        <v>3.6274521021134246E-4</v>
      </c>
      <c r="AB1040" s="96">
        <v>-7.2899918537801478E-5</v>
      </c>
      <c r="AC1040" s="119">
        <v>4.538822568262945E-2</v>
      </c>
      <c r="AD1040" s="119">
        <v>1.9621881003162385</v>
      </c>
      <c r="AE1040" s="120">
        <v>4.7226520959115018E-3</v>
      </c>
      <c r="AF1040" s="119">
        <v>2.8354075884543101E-2</v>
      </c>
      <c r="AG1040" s="119">
        <v>1.1946963828333224</v>
      </c>
      <c r="AH1040" s="120">
        <v>3.9784501238172799E-3</v>
      </c>
      <c r="AI1040" s="121">
        <v>-35</v>
      </c>
      <c r="AJ1040" s="121">
        <v>-10</v>
      </c>
      <c r="AK1040" s="121">
        <v>35</v>
      </c>
      <c r="AL1040" s="121">
        <v>65</v>
      </c>
      <c r="AM1040" s="122" t="s">
        <v>503</v>
      </c>
      <c r="AN1040" s="121" t="s">
        <v>515</v>
      </c>
      <c r="AP1040" s="87"/>
    </row>
    <row r="1041" spans="1:42">
      <c r="A1041" s="72" t="s">
        <v>43</v>
      </c>
      <c r="B1041" s="72" t="s">
        <v>44</v>
      </c>
      <c r="C1041" s="71" t="s">
        <v>45</v>
      </c>
      <c r="D1041" s="72" t="s">
        <v>46</v>
      </c>
      <c r="E1041" s="71" t="s">
        <v>102</v>
      </c>
      <c r="F1041" s="72" t="s">
        <v>516</v>
      </c>
      <c r="G1041" s="77"/>
      <c r="H1041" s="72" t="str">
        <f>CONCATENATE(A1041," ",B1041," ",C1041," ",D1041," ",F1041)</f>
        <v>Embraco Isobutane 50 Hz 230V EM D66CLT</v>
      </c>
      <c r="I1041" s="91">
        <v>559.24885759760605</v>
      </c>
      <c r="J1041" s="92">
        <v>22.717079875018918</v>
      </c>
      <c r="K1041" s="92">
        <v>4.1774910699329393</v>
      </c>
      <c r="L1041" s="92">
        <v>0.23056645684407864</v>
      </c>
      <c r="M1041" s="92">
        <v>-0.11671418516706114</v>
      </c>
      <c r="N1041" s="92">
        <v>-0.1901758582830928</v>
      </c>
      <c r="O1041" s="92">
        <v>3.5996333394167003E-4</v>
      </c>
      <c r="P1041" s="92">
        <v>-1.0950257322622893E-3</v>
      </c>
      <c r="Q1041" s="92">
        <v>-2.8085050848986834E-4</v>
      </c>
      <c r="R1041" s="92">
        <v>1.2439968736509578E-3</v>
      </c>
      <c r="S1041" s="92">
        <v>212.37713230220501</v>
      </c>
      <c r="T1041" s="92">
        <v>1.3196587374426381</v>
      </c>
      <c r="U1041" s="92">
        <v>-6.3238000733705544</v>
      </c>
      <c r="V1041" s="92">
        <v>8.330753684534219E-3</v>
      </c>
      <c r="W1041" s="92">
        <v>2.9708306363222949E-2</v>
      </c>
      <c r="X1041" s="92">
        <v>0.15649593121371697</v>
      </c>
      <c r="Y1041" s="92">
        <v>1.7895627238812277E-4</v>
      </c>
      <c r="Z1041" s="92">
        <v>4.4763105315090825E-4</v>
      </c>
      <c r="AA1041" s="92">
        <v>3.5890334055625652E-4</v>
      </c>
      <c r="AB1041" s="92">
        <v>-9.8545794260640842E-4</v>
      </c>
      <c r="AC1041" s="119">
        <v>5.2093048143019356E-2</v>
      </c>
      <c r="AD1041" s="119">
        <v>1.8608274685386701</v>
      </c>
      <c r="AE1041" s="120">
        <v>4.8932317572068819E-3</v>
      </c>
      <c r="AF1041" s="119">
        <v>3.3485070005616679E-2</v>
      </c>
      <c r="AG1041" s="119">
        <v>1.5331030131178391</v>
      </c>
      <c r="AH1041" s="120">
        <v>5.0597467237401784E-3</v>
      </c>
      <c r="AI1041" s="121">
        <v>-35</v>
      </c>
      <c r="AJ1041" s="121">
        <v>-10</v>
      </c>
      <c r="AK1041" s="121">
        <v>35</v>
      </c>
      <c r="AL1041" s="121">
        <v>65</v>
      </c>
      <c r="AM1041" s="122">
        <v>41428</v>
      </c>
      <c r="AN1041" s="121" t="s">
        <v>504</v>
      </c>
      <c r="AP1041" s="87"/>
    </row>
    <row r="1042" spans="1:42">
      <c r="A1042" s="71" t="s">
        <v>43</v>
      </c>
      <c r="B1042" s="72" t="s">
        <v>44</v>
      </c>
      <c r="C1042" s="71" t="s">
        <v>45</v>
      </c>
      <c r="D1042" s="72" t="s">
        <v>46</v>
      </c>
      <c r="E1042" s="71" t="s">
        <v>102</v>
      </c>
      <c r="F1042" s="72" t="s">
        <v>517</v>
      </c>
      <c r="G1042" s="77"/>
      <c r="H1042" s="72" t="str">
        <f>CONCATENATE(A1042," ",B1042," ",C1042," ",D1042," ",F1042)</f>
        <v>Embraco Isobutane 50 Hz 230V EM2C32CLT</v>
      </c>
      <c r="I1042" s="91">
        <v>513.22041501435899</v>
      </c>
      <c r="J1042" s="92">
        <v>14.310344974929002</v>
      </c>
      <c r="K1042" s="92">
        <v>-7.8600393286899992</v>
      </c>
      <c r="L1042" s="92">
        <v>0.154964723926</v>
      </c>
      <c r="M1042" s="92">
        <v>-4.6244393958999999E-2</v>
      </c>
      <c r="N1042" s="92">
        <v>9.4250686819999999E-2</v>
      </c>
      <c r="O1042" s="92">
        <v>9.0370370400000006E-4</v>
      </c>
      <c r="P1042" s="92">
        <v>1.67616126E-4</v>
      </c>
      <c r="Q1042" s="92">
        <v>-2.2546743199999998E-4</v>
      </c>
      <c r="R1042" s="92">
        <v>-6.3576702199999999E-4</v>
      </c>
      <c r="S1042" s="92">
        <v>82.224976166480303</v>
      </c>
      <c r="T1042" s="92">
        <v>-1.37318150650235</v>
      </c>
      <c r="U1042" s="92">
        <v>-1.4041026364329701</v>
      </c>
      <c r="V1042" s="92">
        <v>-6.4373356704649998E-2</v>
      </c>
      <c r="W1042" s="92">
        <v>4.8380808184559997E-2</v>
      </c>
      <c r="X1042" s="92">
        <v>4.2991925938490001E-2</v>
      </c>
      <c r="Y1042" s="92">
        <v>-5.1851851851999998E-4</v>
      </c>
      <c r="Z1042" s="92">
        <v>7.6248904469999998E-4</v>
      </c>
      <c r="AA1042" s="92">
        <v>9.2837284610000002E-5</v>
      </c>
      <c r="AB1042" s="92">
        <v>-2.5778187950000001E-4</v>
      </c>
      <c r="AC1042" s="119"/>
      <c r="AD1042" s="119"/>
      <c r="AE1042" s="120"/>
      <c r="AF1042" s="119"/>
      <c r="AG1042" s="119"/>
      <c r="AH1042" s="120"/>
      <c r="AI1042" s="121"/>
      <c r="AJ1042" s="121"/>
      <c r="AK1042" s="121"/>
      <c r="AL1042" s="121"/>
      <c r="AM1042" s="122"/>
      <c r="AN1042" s="121"/>
      <c r="AP1042" s="87"/>
    </row>
    <row r="1043" spans="1:42">
      <c r="A1043" s="71" t="s">
        <v>43</v>
      </c>
      <c r="B1043" s="72" t="s">
        <v>44</v>
      </c>
      <c r="C1043" s="71" t="s">
        <v>105</v>
      </c>
      <c r="D1043" s="72" t="s">
        <v>106</v>
      </c>
      <c r="E1043" s="71" t="s">
        <v>102</v>
      </c>
      <c r="F1043" s="72" t="s">
        <v>518</v>
      </c>
      <c r="G1043" s="77"/>
      <c r="H1043" s="72" t="str">
        <f>CONCATENATE(A1043," ",B1043," ",C1043," ",D1043," ",F1043)</f>
        <v>Embraco Isobutane 60 Hz 127V EM2P70CLP - PTCSIR</v>
      </c>
      <c r="I1043" s="91">
        <v>884.11655151219463</v>
      </c>
      <c r="J1043" s="92">
        <v>30.924651449996134</v>
      </c>
      <c r="K1043" s="92">
        <v>-7.0855635859894779</v>
      </c>
      <c r="L1043" s="92">
        <v>0.3669080389680669</v>
      </c>
      <c r="M1043" s="92">
        <v>-0.20271425055636572</v>
      </c>
      <c r="N1043" s="92">
        <v>-6.3036083893295745E-4</v>
      </c>
      <c r="O1043" s="92">
        <v>2.0218660042072593E-3</v>
      </c>
      <c r="P1043" s="92">
        <v>-7.2127129914607651E-4</v>
      </c>
      <c r="Q1043" s="92">
        <v>3.6684186477967318E-4</v>
      </c>
      <c r="R1043" s="92">
        <v>9.3848704247370394E-5</v>
      </c>
      <c r="S1043" s="92">
        <v>156.63953830016695</v>
      </c>
      <c r="T1043" s="92">
        <v>2.233814379865604</v>
      </c>
      <c r="U1043" s="92">
        <v>1.5480957945733318</v>
      </c>
      <c r="V1043" s="92">
        <v>7.1019604510243431E-2</v>
      </c>
      <c r="W1043" s="92">
        <v>8.975281622620214E-2</v>
      </c>
      <c r="X1043" s="92">
        <v>1.0194635229314302E-2</v>
      </c>
      <c r="Y1043" s="92">
        <v>1.1280256714356199E-3</v>
      </c>
      <c r="Z1043" s="92">
        <v>5.8606331795580215E-4</v>
      </c>
      <c r="AA1043" s="92">
        <v>-2.4776886607108756E-4</v>
      </c>
      <c r="AB1043" s="92">
        <v>-1.0072609113015992E-4</v>
      </c>
      <c r="AC1043" s="119">
        <v>3.6020361549926452E-2</v>
      </c>
      <c r="AD1043" s="119">
        <v>1.3269485893717001</v>
      </c>
      <c r="AE1043" s="120">
        <v>3.1681384119441589E-3</v>
      </c>
      <c r="AF1043" s="119">
        <v>2.9134385811011288E-2</v>
      </c>
      <c r="AG1043" s="119">
        <v>1.3928501969151998</v>
      </c>
      <c r="AH1043" s="120">
        <v>2.5476155432154726E-3</v>
      </c>
      <c r="AI1043" s="121">
        <v>-35</v>
      </c>
      <c r="AJ1043" s="121">
        <v>-10</v>
      </c>
      <c r="AK1043" s="121">
        <v>35</v>
      </c>
      <c r="AL1043" s="121">
        <v>65</v>
      </c>
      <c r="AM1043" s="122">
        <v>42565</v>
      </c>
      <c r="AN1043" s="121" t="s">
        <v>481</v>
      </c>
      <c r="AP1043" s="87"/>
    </row>
    <row r="1044" spans="1:42">
      <c r="A1044" s="71" t="s">
        <v>43</v>
      </c>
      <c r="B1044" s="72" t="s">
        <v>44</v>
      </c>
      <c r="C1044" s="71" t="s">
        <v>105</v>
      </c>
      <c r="D1044" s="72" t="s">
        <v>109</v>
      </c>
      <c r="E1044" s="71" t="s">
        <v>102</v>
      </c>
      <c r="F1044" s="72" t="s">
        <v>518</v>
      </c>
      <c r="G1044" s="77"/>
      <c r="H1044" s="72" t="str">
        <f>CONCATENATE(A1044," ",B1044," ",C1044," ",D1044," ",F1044)</f>
        <v>Embraco Isobutane 60 Hz 220V EM2P70CLP - PTCSIR</v>
      </c>
      <c r="I1044" s="91">
        <v>877.434088989928</v>
      </c>
      <c r="J1044" s="92">
        <v>33.29808073549718</v>
      </c>
      <c r="K1044" s="92">
        <v>-6.6430401366968477</v>
      </c>
      <c r="L1044" s="92">
        <v>0.40670504218872633</v>
      </c>
      <c r="M1044" s="92">
        <v>-0.27197251888556445</v>
      </c>
      <c r="N1044" s="92">
        <v>-1.4505394302176332E-2</v>
      </c>
      <c r="O1044" s="92">
        <v>1.0318789013962272E-3</v>
      </c>
      <c r="P1044" s="92">
        <v>-2.7243993633602071E-3</v>
      </c>
      <c r="Q1044" s="92">
        <v>3.456955960942777E-4</v>
      </c>
      <c r="R1044" s="92">
        <v>1.781991857902449E-4</v>
      </c>
      <c r="S1044" s="92">
        <v>163.64359343576896</v>
      </c>
      <c r="T1044" s="92">
        <v>4.9918433154793078</v>
      </c>
      <c r="U1044" s="92">
        <v>1.4672639409255936</v>
      </c>
      <c r="V1044" s="92">
        <v>6.3234311188231834E-2</v>
      </c>
      <c r="W1044" s="92">
        <v>-4.2048308482722653E-2</v>
      </c>
      <c r="X1044" s="92">
        <v>-1.1977675150251792E-2</v>
      </c>
      <c r="Y1044" s="92">
        <v>6.3620971415179499E-4</v>
      </c>
      <c r="Z1044" s="92">
        <v>-9.9899829741312913E-6</v>
      </c>
      <c r="AA1044" s="92">
        <v>8.3167092519588189E-4</v>
      </c>
      <c r="AB1044" s="92">
        <v>1.6541293348124918E-4</v>
      </c>
      <c r="AC1044" s="119">
        <v>2.3106737401297785E-2</v>
      </c>
      <c r="AD1044" s="119">
        <v>1.1037843746863298</v>
      </c>
      <c r="AE1044" s="120">
        <v>2.3943249117877861E-3</v>
      </c>
      <c r="AF1044" s="119">
        <v>3.565693463321036E-2</v>
      </c>
      <c r="AG1044" s="119">
        <v>1.7952933395547752</v>
      </c>
      <c r="AH1044" s="120">
        <v>3.1658056654167151E-3</v>
      </c>
      <c r="AI1044" s="121">
        <v>-35</v>
      </c>
      <c r="AJ1044" s="121">
        <v>-10</v>
      </c>
      <c r="AK1044" s="121">
        <v>35</v>
      </c>
      <c r="AL1044" s="121">
        <v>65</v>
      </c>
      <c r="AM1044" s="122">
        <v>42565</v>
      </c>
      <c r="AN1044" s="121" t="s">
        <v>481</v>
      </c>
      <c r="AP1044" s="87"/>
    </row>
    <row r="1045" spans="1:42">
      <c r="A1045" s="93" t="s">
        <v>43</v>
      </c>
      <c r="B1045" s="94" t="s">
        <v>44</v>
      </c>
      <c r="C1045" s="93" t="s">
        <v>105</v>
      </c>
      <c r="D1045" s="94" t="s">
        <v>106</v>
      </c>
      <c r="E1045" s="93" t="s">
        <v>102</v>
      </c>
      <c r="F1045" s="94" t="s">
        <v>519</v>
      </c>
      <c r="G1045" s="95"/>
      <c r="H1045" s="94" t="s">
        <v>287</v>
      </c>
      <c r="I1045" s="96">
        <v>1115.8846084321276</v>
      </c>
      <c r="J1045" s="96">
        <v>43.203759827949952</v>
      </c>
      <c r="K1045" s="96">
        <v>-13.886047761930568</v>
      </c>
      <c r="L1045" s="96">
        <v>0.57167721207814326</v>
      </c>
      <c r="M1045" s="96">
        <v>-0.46077335954408272</v>
      </c>
      <c r="N1045" s="96">
        <v>4.982078197899751E-2</v>
      </c>
      <c r="O1045" s="96">
        <v>1.6409097059216144E-3</v>
      </c>
      <c r="P1045" s="96">
        <v>-4.6972509699780406E-3</v>
      </c>
      <c r="Q1045" s="96">
        <v>1.023492469773991E-3</v>
      </c>
      <c r="R1045" s="96">
        <v>-1.5560081392677361E-7</v>
      </c>
      <c r="S1045" s="96">
        <v>-29.474016237075858</v>
      </c>
      <c r="T1045" s="96">
        <v>-0.97447685866201539</v>
      </c>
      <c r="U1045" s="96">
        <v>8.5597749570480897</v>
      </c>
      <c r="V1045" s="96">
        <v>6.9043175588705236E-2</v>
      </c>
      <c r="W1045" s="96">
        <v>0.22446181574623553</v>
      </c>
      <c r="X1045" s="96">
        <v>-5.4880910730491644E-2</v>
      </c>
      <c r="Y1045" s="96">
        <v>6.2653499921039811E-4</v>
      </c>
      <c r="Z1045" s="96">
        <v>1.2696667959840753E-4</v>
      </c>
      <c r="AA1045" s="96">
        <v>-1.6538890700761321E-3</v>
      </c>
      <c r="AB1045" s="96">
        <v>-1.3525531871507896E-4</v>
      </c>
      <c r="AC1045" s="119">
        <v>3.0518548335525954E-2</v>
      </c>
      <c r="AD1045" s="119">
        <v>1.2651732260574522</v>
      </c>
      <c r="AE1045" s="120">
        <v>4.6851352875021549E-3</v>
      </c>
      <c r="AF1045" s="119">
        <v>3.5340577935349352E-2</v>
      </c>
      <c r="AG1045" s="119">
        <v>1.8570150088401254</v>
      </c>
      <c r="AH1045" s="120">
        <v>3.5484570795957645E-3</v>
      </c>
      <c r="AI1045" s="121">
        <v>-35</v>
      </c>
      <c r="AJ1045" s="121">
        <v>-10</v>
      </c>
      <c r="AK1045" s="121">
        <v>35</v>
      </c>
      <c r="AL1045" s="121">
        <v>65</v>
      </c>
      <c r="AM1045" s="122">
        <v>43119</v>
      </c>
      <c r="AN1045" s="121" t="s">
        <v>515</v>
      </c>
      <c r="AP1045" s="87"/>
    </row>
    <row r="1046" spans="1:42">
      <c r="A1046" s="93" t="s">
        <v>43</v>
      </c>
      <c r="B1046" s="94" t="s">
        <v>44</v>
      </c>
      <c r="C1046" s="93" t="s">
        <v>105</v>
      </c>
      <c r="D1046" s="94" t="s">
        <v>109</v>
      </c>
      <c r="E1046" s="93" t="s">
        <v>102</v>
      </c>
      <c r="F1046" s="94" t="s">
        <v>519</v>
      </c>
      <c r="G1046" s="95"/>
      <c r="H1046" s="94" t="s">
        <v>288</v>
      </c>
      <c r="I1046" s="96">
        <v>1033.0186844225348</v>
      </c>
      <c r="J1046" s="96">
        <v>32.426894218646012</v>
      </c>
      <c r="K1046" s="96">
        <v>-11.831750569381581</v>
      </c>
      <c r="L1046" s="96">
        <v>0.35897075937732065</v>
      </c>
      <c r="M1046" s="96">
        <v>-0.20598888214443756</v>
      </c>
      <c r="N1046" s="96">
        <v>4.9737263617535159E-2</v>
      </c>
      <c r="O1046" s="96">
        <v>9.1660661695034892E-4</v>
      </c>
      <c r="P1046" s="96">
        <v>-1.5281722733475936E-3</v>
      </c>
      <c r="Q1046" s="96">
        <v>-1.1003320761657645E-4</v>
      </c>
      <c r="R1046" s="96">
        <v>-1.0792020120820942E-4</v>
      </c>
      <c r="S1046" s="96">
        <v>143.50060031543217</v>
      </c>
      <c r="T1046" s="96">
        <v>-1.6040967701858277</v>
      </c>
      <c r="U1046" s="96">
        <v>2.1468804313315686</v>
      </c>
      <c r="V1046" s="96">
        <v>-9.8687760553169968E-2</v>
      </c>
      <c r="W1046" s="96">
        <v>0.13127735803396504</v>
      </c>
      <c r="X1046" s="96">
        <v>-7.7233554610309837E-3</v>
      </c>
      <c r="Y1046" s="96">
        <v>-1.0367024269548413E-3</v>
      </c>
      <c r="Z1046" s="96">
        <v>1.4388263891401899E-3</v>
      </c>
      <c r="AA1046" s="96">
        <v>-2.520508826682965E-4</v>
      </c>
      <c r="AB1046" s="96">
        <v>6.1667803193432273E-5</v>
      </c>
      <c r="AC1046" s="119">
        <v>2.2143132311852828E-2</v>
      </c>
      <c r="AD1046" s="119">
        <v>0.98292369829431436</v>
      </c>
      <c r="AE1046" s="120">
        <v>3.2419143962442087E-3</v>
      </c>
      <c r="AF1046" s="119">
        <v>2.5664131760646886E-2</v>
      </c>
      <c r="AG1046" s="119">
        <v>1.0012249049528328</v>
      </c>
      <c r="AH1046" s="120">
        <v>2.3425479827564287E-3</v>
      </c>
      <c r="AI1046" s="121">
        <v>-35</v>
      </c>
      <c r="AJ1046" s="121">
        <v>-10</v>
      </c>
      <c r="AK1046" s="121">
        <v>35</v>
      </c>
      <c r="AL1046" s="121">
        <v>65</v>
      </c>
      <c r="AM1046" s="122">
        <v>43031</v>
      </c>
      <c r="AN1046" s="121" t="s">
        <v>515</v>
      </c>
      <c r="AP1046" s="87"/>
    </row>
    <row r="1047" spans="1:42">
      <c r="A1047" s="93" t="s">
        <v>43</v>
      </c>
      <c r="B1047" s="94" t="s">
        <v>44</v>
      </c>
      <c r="C1047" s="93" t="s">
        <v>105</v>
      </c>
      <c r="D1047" s="94" t="s">
        <v>106</v>
      </c>
      <c r="E1047" s="93" t="s">
        <v>102</v>
      </c>
      <c r="F1047" s="94" t="s">
        <v>520</v>
      </c>
      <c r="G1047" s="95"/>
      <c r="H1047" s="94" t="str">
        <f t="shared" ref="H1047:H1069" si="22">CONCATENATE(A1047," ",B1047," ",C1047," ",D1047," ",F1047)</f>
        <v>Embraco Isobutane 60 Hz 127V EM2S60CLP - PTCSIR</v>
      </c>
      <c r="I1047" s="96">
        <v>21.121449091980011</v>
      </c>
      <c r="J1047" s="96">
        <v>5.1327725128273682</v>
      </c>
      <c r="K1047" s="96">
        <v>35.466610027839828</v>
      </c>
      <c r="L1047" s="96">
        <v>-0.73158709299483882</v>
      </c>
      <c r="M1047" s="96">
        <v>-6.349659166485587E-2</v>
      </c>
      <c r="N1047" s="96">
        <v>-0.88519742780827715</v>
      </c>
      <c r="O1047" s="96">
        <v>-1.8430037167277872E-2</v>
      </c>
      <c r="P1047" s="96">
        <v>-4.6520687040961821E-3</v>
      </c>
      <c r="Q1047" s="96">
        <v>-2.5808861728809306E-3</v>
      </c>
      <c r="R1047" s="96">
        <v>6.0705179425072147E-3</v>
      </c>
      <c r="S1047" s="96">
        <v>2.1203252632993768</v>
      </c>
      <c r="T1047" s="96">
        <v>-3.4935738836429917</v>
      </c>
      <c r="U1047" s="96">
        <v>7.5019580896027351</v>
      </c>
      <c r="V1047" s="96">
        <v>-0.15451555677640738</v>
      </c>
      <c r="W1047" s="96">
        <v>0.1456278262065725</v>
      </c>
      <c r="X1047" s="96">
        <v>-0.10801517326987306</v>
      </c>
      <c r="Y1047" s="96">
        <v>-2.5894669656663333E-3</v>
      </c>
      <c r="Z1047" s="96">
        <v>3.603939188587768E-4</v>
      </c>
      <c r="AA1047" s="96">
        <v>-9.8568044397468499E-4</v>
      </c>
      <c r="AB1047" s="96">
        <v>6.1335609104170045E-4</v>
      </c>
      <c r="AC1047" s="119">
        <v>2.0666981567509539E-3</v>
      </c>
      <c r="AD1047" s="119">
        <v>0.13219323403189101</v>
      </c>
      <c r="AE1047" s="120">
        <v>1.1579002261813114E-3</v>
      </c>
      <c r="AF1047" s="119">
        <v>1.5066877304520876E-5</v>
      </c>
      <c r="AG1047" s="119">
        <v>4.4425122103302326E-4</v>
      </c>
      <c r="AH1047" s="120">
        <v>8.4679460320239195E-5</v>
      </c>
      <c r="AI1047" s="121">
        <v>-30</v>
      </c>
      <c r="AJ1047" s="121">
        <v>-10</v>
      </c>
      <c r="AK1047" s="121">
        <v>35</v>
      </c>
      <c r="AL1047" s="121">
        <v>55</v>
      </c>
      <c r="AM1047" s="122" t="s">
        <v>503</v>
      </c>
      <c r="AN1047" s="121" t="s">
        <v>481</v>
      </c>
      <c r="AP1047" s="87"/>
    </row>
    <row r="1048" spans="1:42">
      <c r="A1048" s="71" t="s">
        <v>43</v>
      </c>
      <c r="B1048" s="72" t="s">
        <v>44</v>
      </c>
      <c r="C1048" s="71" t="s">
        <v>105</v>
      </c>
      <c r="D1048" s="72" t="s">
        <v>106</v>
      </c>
      <c r="E1048" s="71" t="s">
        <v>102</v>
      </c>
      <c r="F1048" s="72" t="s">
        <v>521</v>
      </c>
      <c r="G1048" s="77"/>
      <c r="H1048" s="72" t="str">
        <f t="shared" si="22"/>
        <v>Embraco Isobutane 60 Hz 127V EM2S70CLP - PTCSIR</v>
      </c>
      <c r="I1048" s="91">
        <v>1212.0330332840838</v>
      </c>
      <c r="J1048" s="92">
        <v>71.704736672074134</v>
      </c>
      <c r="K1048" s="92">
        <v>-9.9852315405653762</v>
      </c>
      <c r="L1048" s="92">
        <v>1.7905463776586301</v>
      </c>
      <c r="M1048" s="92">
        <v>-0.49563444440496457</v>
      </c>
      <c r="N1048" s="92">
        <v>9.0507098075689376E-3</v>
      </c>
      <c r="O1048" s="92">
        <v>1.7812205456165166E-2</v>
      </c>
      <c r="P1048" s="92">
        <v>-5.5288679970613812E-3</v>
      </c>
      <c r="Q1048" s="92">
        <v>9.9692176208871506E-4</v>
      </c>
      <c r="R1048" s="92">
        <v>5.2353761308859492E-5</v>
      </c>
      <c r="S1048" s="92">
        <v>291.77380051565416</v>
      </c>
      <c r="T1048" s="92">
        <v>22.953668319283828</v>
      </c>
      <c r="U1048" s="92">
        <v>1.8456978156520489</v>
      </c>
      <c r="V1048" s="92">
        <v>0.87558824252616463</v>
      </c>
      <c r="W1048" s="92">
        <v>3.458856715926914E-2</v>
      </c>
      <c r="X1048" s="92">
        <v>-4.7578576939561338E-3</v>
      </c>
      <c r="Y1048" s="92">
        <v>1.0387442525766026E-2</v>
      </c>
      <c r="Z1048" s="92">
        <v>-1.3576547751138071E-3</v>
      </c>
      <c r="AA1048" s="92">
        <v>-6.0869573214223261E-4</v>
      </c>
      <c r="AB1048" s="92">
        <v>-7.2818694601203994E-5</v>
      </c>
      <c r="AC1048" s="119">
        <v>0.6077416424507327</v>
      </c>
      <c r="AD1048" s="119">
        <v>21.424281815956398</v>
      </c>
      <c r="AE1048" s="120">
        <v>1.6137801214695997E-2</v>
      </c>
      <c r="AF1048" s="119">
        <v>4.5829738632124389E-2</v>
      </c>
      <c r="AG1048" s="119">
        <v>1.8489008571110142</v>
      </c>
      <c r="AH1048" s="120">
        <v>3.0579984659387569E-3</v>
      </c>
      <c r="AI1048" s="121">
        <v>-35</v>
      </c>
      <c r="AJ1048" s="121">
        <v>-10</v>
      </c>
      <c r="AK1048" s="121">
        <v>35</v>
      </c>
      <c r="AL1048" s="121">
        <v>65</v>
      </c>
      <c r="AM1048" s="122">
        <v>42562</v>
      </c>
      <c r="AN1048" s="121" t="s">
        <v>481</v>
      </c>
      <c r="AP1048" s="87"/>
    </row>
    <row r="1049" spans="1:42">
      <c r="A1049" s="71" t="s">
        <v>43</v>
      </c>
      <c r="B1049" s="72" t="s">
        <v>44</v>
      </c>
      <c r="C1049" s="71" t="s">
        <v>105</v>
      </c>
      <c r="D1049" s="72" t="s">
        <v>109</v>
      </c>
      <c r="E1049" s="71" t="s">
        <v>102</v>
      </c>
      <c r="F1049" s="72" t="s">
        <v>521</v>
      </c>
      <c r="G1049" s="77"/>
      <c r="H1049" s="72" t="str">
        <f t="shared" si="22"/>
        <v>Embraco Isobutane 60 Hz 220V EM2S70CLP - PTCSIR</v>
      </c>
      <c r="I1049" s="91">
        <v>1086.4855742078462</v>
      </c>
      <c r="J1049" s="92">
        <v>51.838982280019742</v>
      </c>
      <c r="K1049" s="92">
        <v>-10.761382492938935</v>
      </c>
      <c r="L1049" s="92">
        <v>0.98986107938690182</v>
      </c>
      <c r="M1049" s="92">
        <v>-0.45578090242399211</v>
      </c>
      <c r="N1049" s="92">
        <v>2.306603672875664E-2</v>
      </c>
      <c r="O1049" s="92">
        <v>8.1265384463155496E-3</v>
      </c>
      <c r="P1049" s="92">
        <v>-4.0578721613269888E-3</v>
      </c>
      <c r="Q1049" s="92">
        <v>1.3317103781931244E-3</v>
      </c>
      <c r="R1049" s="92">
        <v>8.3795575894260658E-5</v>
      </c>
      <c r="S1049" s="92">
        <v>192.27148616718745</v>
      </c>
      <c r="T1049" s="92">
        <v>6.1184628099097189</v>
      </c>
      <c r="U1049" s="92">
        <v>0.17307228649220033</v>
      </c>
      <c r="V1049" s="92">
        <v>9.0548195623450678E-2</v>
      </c>
      <c r="W1049" s="92">
        <v>-4.2310271465103591E-2</v>
      </c>
      <c r="X1049" s="92">
        <v>1.1904512407746346E-2</v>
      </c>
      <c r="Y1049" s="92">
        <v>4.6918799113607722E-4</v>
      </c>
      <c r="Z1049" s="92">
        <v>-6.2798879742119017E-4</v>
      </c>
      <c r="AA1049" s="92">
        <v>4.8877941889374505E-4</v>
      </c>
      <c r="AB1049" s="92">
        <v>-2.78247128888818E-5</v>
      </c>
      <c r="AC1049" s="119">
        <v>7.9707628849821924E-2</v>
      </c>
      <c r="AD1049" s="119">
        <v>4.4716654764985551</v>
      </c>
      <c r="AE1049" s="120">
        <v>6.1788526420406562E-3</v>
      </c>
      <c r="AF1049" s="119">
        <v>5.2992922376679602E-2</v>
      </c>
      <c r="AG1049" s="119">
        <v>1.7320349339994741</v>
      </c>
      <c r="AH1049" s="120">
        <v>3.550117075756616E-3</v>
      </c>
      <c r="AI1049" s="121">
        <v>-35</v>
      </c>
      <c r="AJ1049" s="121">
        <v>-10</v>
      </c>
      <c r="AK1049" s="121">
        <v>35</v>
      </c>
      <c r="AL1049" s="121">
        <v>65</v>
      </c>
      <c r="AM1049" s="122">
        <v>42563</v>
      </c>
      <c r="AN1049" s="121" t="s">
        <v>481</v>
      </c>
      <c r="AP1049" s="87"/>
    </row>
    <row r="1050" spans="1:42">
      <c r="A1050" s="71" t="s">
        <v>43</v>
      </c>
      <c r="B1050" s="72" t="s">
        <v>44</v>
      </c>
      <c r="C1050" s="71" t="s">
        <v>105</v>
      </c>
      <c r="D1050" s="72" t="s">
        <v>106</v>
      </c>
      <c r="E1050" s="71" t="s">
        <v>102</v>
      </c>
      <c r="F1050" s="72" t="s">
        <v>522</v>
      </c>
      <c r="G1050" s="77"/>
      <c r="H1050" s="72" t="str">
        <f t="shared" si="22"/>
        <v>Embraco Isobutane 60 Hz 127V EM2U60CLP - PTCSIR</v>
      </c>
      <c r="I1050" s="91">
        <v>780.38084485943284</v>
      </c>
      <c r="J1050" s="92">
        <v>26.427261496427199</v>
      </c>
      <c r="K1050" s="92">
        <v>-6.4041681540664062</v>
      </c>
      <c r="L1050" s="92">
        <v>0.22316259036585495</v>
      </c>
      <c r="M1050" s="92">
        <v>-0.19719762108433991</v>
      </c>
      <c r="N1050" s="92">
        <v>-2.2836948980155597E-3</v>
      </c>
      <c r="O1050" s="92">
        <v>-4.2039190202486576E-4</v>
      </c>
      <c r="P1050" s="92">
        <v>-1.326229638536944E-3</v>
      </c>
      <c r="Q1050" s="92">
        <v>1.089203590546928E-4</v>
      </c>
      <c r="R1050" s="92">
        <v>5.7707670584699336E-5</v>
      </c>
      <c r="S1050" s="92">
        <v>111.40329142203485</v>
      </c>
      <c r="T1050" s="92">
        <v>0.13513793889855655</v>
      </c>
      <c r="U1050" s="92">
        <v>2.1281372051500322</v>
      </c>
      <c r="V1050" s="92">
        <v>-4.7460678488012976E-2</v>
      </c>
      <c r="W1050" s="92">
        <v>5.792517694151271E-2</v>
      </c>
      <c r="X1050" s="92">
        <v>-9.2245830720553475E-3</v>
      </c>
      <c r="Y1050" s="92">
        <v>4.4443082155548316E-5</v>
      </c>
      <c r="Z1050" s="92">
        <v>1.5406527668607678E-3</v>
      </c>
      <c r="AA1050" s="92">
        <v>5.6738888783033393E-4</v>
      </c>
      <c r="AB1050" s="92">
        <v>1.3189371471522202E-4</v>
      </c>
      <c r="AC1050" s="119">
        <v>3.6565894128202429E-2</v>
      </c>
      <c r="AD1050" s="119">
        <v>1.4727339229494736</v>
      </c>
      <c r="AE1050" s="120">
        <v>4.3808039441771401E-3</v>
      </c>
      <c r="AF1050" s="119">
        <v>2.8539305563236007E-2</v>
      </c>
      <c r="AG1050" s="119">
        <v>1.2084730337304626</v>
      </c>
      <c r="AH1050" s="120">
        <v>2.7745728002975321E-3</v>
      </c>
      <c r="AI1050" s="121">
        <v>-35</v>
      </c>
      <c r="AJ1050" s="121">
        <v>-10</v>
      </c>
      <c r="AK1050" s="121">
        <v>35</v>
      </c>
      <c r="AL1050" s="121">
        <v>65</v>
      </c>
      <c r="AM1050" s="122">
        <v>42836</v>
      </c>
      <c r="AN1050" s="121" t="s">
        <v>481</v>
      </c>
      <c r="AP1050" s="87"/>
    </row>
    <row r="1051" spans="1:42">
      <c r="A1051" s="71" t="s">
        <v>43</v>
      </c>
      <c r="B1051" s="72" t="s">
        <v>44</v>
      </c>
      <c r="C1051" s="71" t="s">
        <v>105</v>
      </c>
      <c r="D1051" s="72" t="s">
        <v>109</v>
      </c>
      <c r="E1051" s="71" t="s">
        <v>102</v>
      </c>
      <c r="F1051" s="72" t="s">
        <v>522</v>
      </c>
      <c r="G1051" s="77"/>
      <c r="H1051" s="72" t="str">
        <f t="shared" si="22"/>
        <v>Embraco Isobutane 60 Hz 220V EM2U60CLP - PTCSIR</v>
      </c>
      <c r="I1051" s="91">
        <v>783.25598282560975</v>
      </c>
      <c r="J1051" s="92">
        <v>25.697625381031195</v>
      </c>
      <c r="K1051" s="92">
        <v>-6.6677243340641974</v>
      </c>
      <c r="L1051" s="92">
        <v>0.18616985916766043</v>
      </c>
      <c r="M1051" s="92">
        <v>-0.17883829258134037</v>
      </c>
      <c r="N1051" s="92">
        <v>7.6439091540958714E-3</v>
      </c>
      <c r="O1051" s="92">
        <v>-8.5187581993259305E-4</v>
      </c>
      <c r="P1051" s="92">
        <v>-5.6980243372916164E-4</v>
      </c>
      <c r="Q1051" s="92">
        <v>2.6952156521933894E-4</v>
      </c>
      <c r="R1051" s="92">
        <v>5.1013584708640332E-6</v>
      </c>
      <c r="S1051" s="92">
        <v>112.02429889485661</v>
      </c>
      <c r="T1051" s="92">
        <v>-1.6762444805231456</v>
      </c>
      <c r="U1051" s="92">
        <v>1.2195069673530901</v>
      </c>
      <c r="V1051" s="92">
        <v>-0.11243449996408231</v>
      </c>
      <c r="W1051" s="92">
        <v>9.9411756382602412E-2</v>
      </c>
      <c r="X1051" s="92">
        <v>2.3372195190376244E-2</v>
      </c>
      <c r="Y1051" s="92">
        <v>-1.0270679449911014E-3</v>
      </c>
      <c r="Z1051" s="92">
        <v>1.6201327210623485E-3</v>
      </c>
      <c r="AA1051" s="92">
        <v>4.1300286770698057E-5</v>
      </c>
      <c r="AB1051" s="92">
        <v>-2.2247253688628855E-4</v>
      </c>
      <c r="AC1051" s="119">
        <v>2.6259891305373734E-2</v>
      </c>
      <c r="AD1051" s="119">
        <v>1.0463720367671971</v>
      </c>
      <c r="AE1051" s="120">
        <v>3.5435859661834602E-3</v>
      </c>
      <c r="AF1051" s="119">
        <v>5.5281966030800191E-2</v>
      </c>
      <c r="AG1051" s="119">
        <v>2.2094430703690606</v>
      </c>
      <c r="AH1051" s="120">
        <v>4.5584441625426382E-3</v>
      </c>
      <c r="AI1051" s="121">
        <v>-35</v>
      </c>
      <c r="AJ1051" s="121">
        <v>-10</v>
      </c>
      <c r="AK1051" s="121">
        <v>35</v>
      </c>
      <c r="AL1051" s="121">
        <v>65</v>
      </c>
      <c r="AM1051" s="122">
        <v>42836</v>
      </c>
      <c r="AN1051" s="121" t="s">
        <v>481</v>
      </c>
      <c r="AP1051" s="87"/>
    </row>
    <row r="1052" spans="1:42">
      <c r="A1052" s="71" t="s">
        <v>43</v>
      </c>
      <c r="B1052" s="72" t="s">
        <v>44</v>
      </c>
      <c r="C1052" s="71" t="s">
        <v>45</v>
      </c>
      <c r="D1052" s="72" t="s">
        <v>46</v>
      </c>
      <c r="E1052" s="71" t="s">
        <v>102</v>
      </c>
      <c r="F1052" s="72" t="s">
        <v>523</v>
      </c>
      <c r="G1052" s="77"/>
      <c r="H1052" s="72" t="str">
        <f t="shared" si="22"/>
        <v xml:space="preserve">Embraco Isobutane 50 Hz 230V EMB32CLC  </v>
      </c>
      <c r="I1052" s="91">
        <v>533.70741088998875</v>
      </c>
      <c r="J1052" s="92">
        <v>15.446122666123204</v>
      </c>
      <c r="K1052" s="92">
        <v>-8.9536172798684834</v>
      </c>
      <c r="L1052" s="92">
        <v>0.20495745923091849</v>
      </c>
      <c r="M1052" s="92">
        <v>-0.10705656707109129</v>
      </c>
      <c r="N1052" s="92">
        <v>9.5884290224185015E-2</v>
      </c>
      <c r="O1052" s="92">
        <v>8.3227394250129903E-4</v>
      </c>
      <c r="P1052" s="92">
        <v>-1.2464692411893307E-3</v>
      </c>
      <c r="Q1052" s="92">
        <v>-5.1755765730117932E-5</v>
      </c>
      <c r="R1052" s="92">
        <v>-5.5578403291040197E-4</v>
      </c>
      <c r="S1052" s="92">
        <v>45.621189347995504</v>
      </c>
      <c r="T1052" s="92">
        <v>-1.8852511937448821</v>
      </c>
      <c r="U1052" s="92">
        <v>4.4440717111748074E-2</v>
      </c>
      <c r="V1052" s="92">
        <v>-4.2036453047434114E-2</v>
      </c>
      <c r="W1052" s="92">
        <v>7.3959539842005304E-2</v>
      </c>
      <c r="X1052" s="92">
        <v>2.5982979056914272E-2</v>
      </c>
      <c r="Y1052" s="92">
        <v>-2.9070172735083883E-4</v>
      </c>
      <c r="Z1052" s="92">
        <v>5.5495788984473524E-4</v>
      </c>
      <c r="AA1052" s="92">
        <v>-2.0946897259892228E-4</v>
      </c>
      <c r="AB1052" s="92">
        <v>-2.0170264839501972E-4</v>
      </c>
      <c r="AC1052" s="119"/>
      <c r="AD1052" s="119"/>
      <c r="AE1052" s="120"/>
      <c r="AF1052" s="119"/>
      <c r="AG1052" s="119"/>
      <c r="AH1052" s="120"/>
      <c r="AI1052" s="121"/>
      <c r="AJ1052" s="121"/>
      <c r="AK1052" s="121"/>
      <c r="AL1052" s="121"/>
      <c r="AM1052" s="122"/>
      <c r="AN1052" s="121"/>
      <c r="AP1052" s="87"/>
    </row>
    <row r="1053" spans="1:42">
      <c r="A1053" s="71" t="s">
        <v>43</v>
      </c>
      <c r="B1053" s="72" t="s">
        <v>44</v>
      </c>
      <c r="C1053" s="71" t="s">
        <v>45</v>
      </c>
      <c r="D1053" s="72" t="s">
        <v>46</v>
      </c>
      <c r="E1053" s="71" t="s">
        <v>102</v>
      </c>
      <c r="F1053" s="72" t="s">
        <v>524</v>
      </c>
      <c r="G1053" s="77"/>
      <c r="H1053" s="72" t="str">
        <f t="shared" si="22"/>
        <v>Embraco Isobutane 50 Hz 230V EMB55CLC</v>
      </c>
      <c r="I1053" s="91">
        <v>725.35304819310193</v>
      </c>
      <c r="J1053" s="92">
        <v>26.727723493366753</v>
      </c>
      <c r="K1053" s="92">
        <v>-8.5560741105156719</v>
      </c>
      <c r="L1053" s="92">
        <v>0.34533589980176854</v>
      </c>
      <c r="M1053" s="92">
        <v>-0.21517927826245656</v>
      </c>
      <c r="N1053" s="92">
        <v>7.6993460290454258E-2</v>
      </c>
      <c r="O1053" s="92">
        <v>7.4938048903006884E-4</v>
      </c>
      <c r="P1053" s="92">
        <v>-2.857012855004221E-3</v>
      </c>
      <c r="Q1053" s="92">
        <v>-5.0424808086289422E-5</v>
      </c>
      <c r="R1053" s="92">
        <v>-6.5008733789845676E-4</v>
      </c>
      <c r="S1053" s="92">
        <v>101.81174799349748</v>
      </c>
      <c r="T1053" s="92">
        <v>0.36674588614791542</v>
      </c>
      <c r="U1053" s="92">
        <v>4.385846146658564E-2</v>
      </c>
      <c r="V1053" s="92">
        <v>-1.192679655023025E-2</v>
      </c>
      <c r="W1053" s="92">
        <v>3.8186461525608104E-2</v>
      </c>
      <c r="X1053" s="92">
        <v>3.2418184118489943E-2</v>
      </c>
      <c r="Y1053" s="92">
        <v>-6.0712124037163933E-5</v>
      </c>
      <c r="Z1053" s="92">
        <v>2.8378983038545002E-4</v>
      </c>
      <c r="AA1053" s="92">
        <v>1.1261315533330147E-4</v>
      </c>
      <c r="AB1053" s="92">
        <v>-2.6082461846974807E-4</v>
      </c>
      <c r="AC1053" s="119"/>
      <c r="AD1053" s="119"/>
      <c r="AE1053" s="120"/>
      <c r="AF1053" s="119"/>
      <c r="AG1053" s="119"/>
      <c r="AH1053" s="120"/>
      <c r="AI1053" s="121"/>
      <c r="AJ1053" s="121"/>
      <c r="AK1053" s="121"/>
      <c r="AL1053" s="121"/>
      <c r="AM1053" s="122"/>
      <c r="AN1053" s="121"/>
      <c r="AP1053" s="87"/>
    </row>
    <row r="1054" spans="1:42">
      <c r="A1054" s="71" t="s">
        <v>43</v>
      </c>
      <c r="B1054" s="72" t="s">
        <v>44</v>
      </c>
      <c r="C1054" s="71" t="s">
        <v>45</v>
      </c>
      <c r="D1054" s="72" t="s">
        <v>46</v>
      </c>
      <c r="E1054" s="71" t="s">
        <v>102</v>
      </c>
      <c r="F1054" s="72" t="s">
        <v>525</v>
      </c>
      <c r="G1054" s="77"/>
      <c r="H1054" s="72" t="str">
        <f t="shared" si="22"/>
        <v xml:space="preserve">Embraco Isobutane 50 Hz 230V EMB66CLC  </v>
      </c>
      <c r="I1054" s="91">
        <v>899.66803901654271</v>
      </c>
      <c r="J1054" s="92">
        <v>29.5220320771387</v>
      </c>
      <c r="K1054" s="92">
        <v>-12.078143238478599</v>
      </c>
      <c r="L1054" s="92">
        <v>0.29896861480557929</v>
      </c>
      <c r="M1054" s="92">
        <v>-0.28341646386417607</v>
      </c>
      <c r="N1054" s="92">
        <v>9.1234135718421538E-2</v>
      </c>
      <c r="O1054" s="92">
        <v>1.5980455695161317E-3</v>
      </c>
      <c r="P1054" s="92">
        <v>-8.7737951684280127E-4</v>
      </c>
      <c r="Q1054" s="92">
        <v>1.1143827931734741E-3</v>
      </c>
      <c r="R1054" s="92">
        <v>-4.1303702839918556E-4</v>
      </c>
      <c r="S1054" s="92">
        <v>131.81647684893514</v>
      </c>
      <c r="T1054" s="92">
        <v>2.9908115762740657</v>
      </c>
      <c r="U1054" s="92">
        <v>4.3520607026275408E-2</v>
      </c>
      <c r="V1054" s="92">
        <v>-1.7157836120395755E-2</v>
      </c>
      <c r="W1054" s="92">
        <v>-2.5698774007037618E-2</v>
      </c>
      <c r="X1054" s="92">
        <v>2.6532405138353397E-2</v>
      </c>
      <c r="Y1054" s="92">
        <v>3.9491233328470249E-4</v>
      </c>
      <c r="Z1054" s="92">
        <v>1.1429447178752604E-3</v>
      </c>
      <c r="AA1054" s="92">
        <v>9.7132370115644276E-4</v>
      </c>
      <c r="AB1054" s="92">
        <v>-1.5966251437181666E-4</v>
      </c>
      <c r="AC1054" s="119">
        <v>4.4856048350284422E-2</v>
      </c>
      <c r="AD1054" s="119">
        <v>0.6515923084821138</v>
      </c>
      <c r="AE1054" s="120">
        <v>0.39499539268321371</v>
      </c>
      <c r="AF1054" s="119">
        <v>7.2406790775967941E-2</v>
      </c>
      <c r="AG1054" s="119">
        <v>0.75767209389732193</v>
      </c>
      <c r="AH1054" s="120"/>
      <c r="AI1054" s="121"/>
      <c r="AJ1054" s="121"/>
      <c r="AK1054" s="121"/>
      <c r="AL1054" s="121"/>
      <c r="AM1054" s="122"/>
      <c r="AN1054" s="121"/>
      <c r="AP1054" s="87"/>
    </row>
    <row r="1055" spans="1:42">
      <c r="A1055" s="71" t="s">
        <v>43</v>
      </c>
      <c r="B1055" s="72" t="s">
        <v>44</v>
      </c>
      <c r="C1055" s="71" t="s">
        <v>45</v>
      </c>
      <c r="D1055" s="72" t="s">
        <v>46</v>
      </c>
      <c r="E1055" s="71" t="s">
        <v>102</v>
      </c>
      <c r="F1055" s="72" t="s">
        <v>526</v>
      </c>
      <c r="G1055" s="77"/>
      <c r="H1055" s="72" t="str">
        <f t="shared" si="22"/>
        <v>Embraco Isobutane 50 Hz 230V EMB66CLC-test</v>
      </c>
      <c r="I1055" s="91">
        <v>-6.1093447888636252</v>
      </c>
      <c r="J1055" s="92">
        <v>28.882418178443324</v>
      </c>
      <c r="K1055" s="92">
        <v>38.228230865266717</v>
      </c>
      <c r="L1055" s="92">
        <v>0.28136469394927688</v>
      </c>
      <c r="M1055" s="92">
        <v>-0.27448751236402463</v>
      </c>
      <c r="N1055" s="92">
        <v>-0.83231183147427845</v>
      </c>
      <c r="O1055" s="92">
        <v>1.4197306926046851E-3</v>
      </c>
      <c r="P1055" s="92">
        <v>-7.7274291134257647E-4</v>
      </c>
      <c r="Q1055" s="92">
        <v>1.0833374288556829E-3</v>
      </c>
      <c r="R1055" s="92">
        <v>5.183178218198187E-3</v>
      </c>
      <c r="S1055" s="92">
        <v>0.32508889015224529</v>
      </c>
      <c r="T1055" s="92">
        <v>2.5965211034334055</v>
      </c>
      <c r="U1055" s="92">
        <v>7.2716974968425525</v>
      </c>
      <c r="V1055" s="92">
        <v>-2.7135080855574315E-2</v>
      </c>
      <c r="W1055" s="92">
        <v>-2.190291895946141E-2</v>
      </c>
      <c r="X1055" s="92">
        <v>-0.10685234676843793</v>
      </c>
      <c r="Y1055" s="92">
        <v>2.7542762787653236E-4</v>
      </c>
      <c r="Z1055" s="92">
        <v>1.1627683980575557E-3</v>
      </c>
      <c r="AA1055" s="92">
        <v>9.6706550358263005E-4</v>
      </c>
      <c r="AB1055" s="92">
        <v>6.5806321593983726E-4</v>
      </c>
      <c r="AC1055" s="119">
        <v>2.3466294522645655E-2</v>
      </c>
      <c r="AD1055" s="119">
        <v>0.89261304128563468</v>
      </c>
      <c r="AE1055" s="120">
        <v>4.1185911375295585E-3</v>
      </c>
      <c r="AF1055" s="119">
        <v>3.0345244084232233E-2</v>
      </c>
      <c r="AG1055" s="119">
        <v>1.534562228131606</v>
      </c>
      <c r="AH1055" s="120">
        <v>4.2196219965595916E-3</v>
      </c>
      <c r="AI1055" s="121">
        <v>-35</v>
      </c>
      <c r="AJ1055" s="121">
        <v>-10</v>
      </c>
      <c r="AK1055" s="121">
        <v>45</v>
      </c>
      <c r="AL1055" s="121">
        <v>65</v>
      </c>
      <c r="AM1055" s="122">
        <v>43236</v>
      </c>
      <c r="AN1055" s="121" t="s">
        <v>504</v>
      </c>
      <c r="AP1055" s="87"/>
    </row>
    <row r="1056" spans="1:42">
      <c r="A1056" s="71" t="s">
        <v>43</v>
      </c>
      <c r="B1056" s="72" t="s">
        <v>44</v>
      </c>
      <c r="C1056" s="71" t="s">
        <v>45</v>
      </c>
      <c r="D1056" s="72" t="s">
        <v>46</v>
      </c>
      <c r="E1056" s="71" t="s">
        <v>102</v>
      </c>
      <c r="F1056" s="72" t="s">
        <v>527</v>
      </c>
      <c r="G1056" s="77"/>
      <c r="H1056" s="72" t="str">
        <f t="shared" si="22"/>
        <v>Embraco Isobutane 50 Hz 230V EMC60CLT +TSD2</v>
      </c>
      <c r="I1056" s="91">
        <v>7.7567452331792747E-4</v>
      </c>
      <c r="J1056" s="92">
        <v>4.5650188437718455E-3</v>
      </c>
      <c r="K1056" s="92">
        <v>0.17523097076005117</v>
      </c>
      <c r="L1056" s="92">
        <v>-0.20935353478290222</v>
      </c>
      <c r="M1056" s="92">
        <v>0.11890433919326815</v>
      </c>
      <c r="N1056" s="92">
        <v>0.46046129502172461</v>
      </c>
      <c r="O1056" s="92">
        <v>5.3633803702370338E-3</v>
      </c>
      <c r="P1056" s="92">
        <v>1.3072556442604551E-2</v>
      </c>
      <c r="Q1056" s="92">
        <v>5.1905649556468333E-3</v>
      </c>
      <c r="R1056" s="92">
        <v>-5.7734158391303707E-3</v>
      </c>
      <c r="S1056" s="92">
        <v>1.5763833721692272E-4</v>
      </c>
      <c r="T1056" s="92">
        <v>7.1727966521855269E-4</v>
      </c>
      <c r="U1056" s="92">
        <v>6.894057320460065E-3</v>
      </c>
      <c r="V1056" s="92">
        <v>-0.10617547240218696</v>
      </c>
      <c r="W1056" s="92">
        <v>-5.7348368170118583E-2</v>
      </c>
      <c r="X1056" s="92">
        <v>0.14093035355893924</v>
      </c>
      <c r="Y1056" s="92">
        <v>5.4857441078774271E-4</v>
      </c>
      <c r="Z1056" s="92">
        <v>2.8096895903915011E-3</v>
      </c>
      <c r="AA1056" s="92">
        <v>2.4305025944010117E-3</v>
      </c>
      <c r="AB1056" s="92">
        <v>-1.5393602125729185E-3</v>
      </c>
      <c r="AC1056" s="119">
        <v>7.999113288754705E-5</v>
      </c>
      <c r="AD1056" s="119">
        <v>0.17305317183013877</v>
      </c>
      <c r="AE1056" s="120">
        <v>1.8017813912766607E-3</v>
      </c>
      <c r="AF1056" s="119">
        <v>2.1045012051523465E-7</v>
      </c>
      <c r="AG1056" s="119">
        <v>9.1708108444596747E-7</v>
      </c>
      <c r="AH1056" s="120">
        <v>8.3052284392103708E-6</v>
      </c>
      <c r="AI1056" s="121">
        <v>-30</v>
      </c>
      <c r="AJ1056" s="121">
        <v>-10</v>
      </c>
      <c r="AK1056" s="121">
        <v>40.6</v>
      </c>
      <c r="AL1056" s="121">
        <v>54.4</v>
      </c>
      <c r="AM1056" s="122">
        <v>42898</v>
      </c>
      <c r="AN1056" s="121" t="s">
        <v>504</v>
      </c>
      <c r="AP1056" s="87"/>
    </row>
    <row r="1057" spans="1:42">
      <c r="A1057" s="71" t="s">
        <v>43</v>
      </c>
      <c r="B1057" s="72" t="s">
        <v>44</v>
      </c>
      <c r="C1057" s="71" t="s">
        <v>45</v>
      </c>
      <c r="D1057" s="72" t="s">
        <v>46</v>
      </c>
      <c r="E1057" s="71" t="s">
        <v>102</v>
      </c>
      <c r="F1057" s="72" t="s">
        <v>528</v>
      </c>
      <c r="G1057" s="77"/>
      <c r="H1057" s="72" t="str">
        <f t="shared" si="22"/>
        <v xml:space="preserve">Embraco Isobutane 50 Hz 230V EMT17CLP   </v>
      </c>
      <c r="I1057" s="91">
        <v>240.85657325</v>
      </c>
      <c r="J1057" s="92">
        <v>7.5781754050000005</v>
      </c>
      <c r="K1057" s="92">
        <v>-3.5053877208333337</v>
      </c>
      <c r="L1057" s="92">
        <v>8.6182578333333343E-2</v>
      </c>
      <c r="M1057" s="92">
        <v>-6.9796900833333342E-2</v>
      </c>
      <c r="N1057" s="92">
        <v>3.3716538333333337E-2</v>
      </c>
      <c r="O1057" s="92">
        <v>4.6458250000000007E-4</v>
      </c>
      <c r="P1057" s="92">
        <v>-4.0016083333333337E-4</v>
      </c>
      <c r="Q1057" s="92">
        <v>2.7915583333333339E-4</v>
      </c>
      <c r="R1057" s="92">
        <v>-1.8769666666666667E-4</v>
      </c>
      <c r="S1057" s="92">
        <v>50.781570483796536</v>
      </c>
      <c r="T1057" s="92">
        <v>1.6336670467915635</v>
      </c>
      <c r="U1057" s="92">
        <v>2.5005031697270474E-2</v>
      </c>
      <c r="V1057" s="92">
        <v>3.2538889526054597E-2</v>
      </c>
      <c r="W1057" s="92">
        <v>-1.7241460240694791E-2</v>
      </c>
      <c r="X1057" s="92">
        <v>6.6899519131513657E-3</v>
      </c>
      <c r="Y1057" s="92">
        <v>3.0523586104218363E-4</v>
      </c>
      <c r="Z1057" s="92">
        <v>-1.8769163523573202E-4</v>
      </c>
      <c r="AA1057" s="92">
        <v>2.7952719602977673E-4</v>
      </c>
      <c r="AB1057" s="92">
        <v>-2.4367988833746902E-5</v>
      </c>
      <c r="AC1057" s="119"/>
      <c r="AD1057" s="119"/>
      <c r="AE1057" s="120"/>
      <c r="AF1057" s="119"/>
      <c r="AG1057" s="119"/>
      <c r="AH1057" s="120"/>
      <c r="AI1057" s="121"/>
      <c r="AJ1057" s="121"/>
      <c r="AK1057" s="121"/>
      <c r="AL1057" s="121"/>
      <c r="AM1057" s="122"/>
      <c r="AN1057" s="121"/>
      <c r="AP1057" s="87"/>
    </row>
    <row r="1058" spans="1:42">
      <c r="A1058" s="71" t="s">
        <v>43</v>
      </c>
      <c r="B1058" s="72" t="s">
        <v>44</v>
      </c>
      <c r="C1058" s="71" t="s">
        <v>105</v>
      </c>
      <c r="D1058" s="72" t="s">
        <v>109</v>
      </c>
      <c r="E1058" s="71" t="s">
        <v>102</v>
      </c>
      <c r="F1058" s="72" t="s">
        <v>529</v>
      </c>
      <c r="G1058" s="77"/>
      <c r="H1058" s="72" t="str">
        <f t="shared" si="22"/>
        <v>Embraco Isobutane 60 Hz 220V EMU60CLP - PTCSIR</v>
      </c>
      <c r="I1058" s="91">
        <v>843.97387681821795</v>
      </c>
      <c r="J1058" s="92">
        <v>29.691316756801427</v>
      </c>
      <c r="K1058" s="92">
        <v>-10.061668689803314</v>
      </c>
      <c r="L1058" s="92">
        <v>0.40041109321148494</v>
      </c>
      <c r="M1058" s="92">
        <v>-0.24330622603830582</v>
      </c>
      <c r="N1058" s="92">
        <v>4.5424082462691556E-2</v>
      </c>
      <c r="O1058" s="92">
        <v>2.3278927080356989E-3</v>
      </c>
      <c r="P1058" s="92">
        <v>-1.8039144799396217E-3</v>
      </c>
      <c r="Q1058" s="92">
        <v>4.0631921370604042E-4</v>
      </c>
      <c r="R1058" s="92">
        <v>-1.0017918733463868E-4</v>
      </c>
      <c r="S1058" s="92">
        <v>138.28154108960115</v>
      </c>
      <c r="T1058" s="92">
        <v>1.5909004381968719</v>
      </c>
      <c r="U1058" s="92">
        <v>0.84785244485569988</v>
      </c>
      <c r="V1058" s="92">
        <v>9.8509570227753637E-3</v>
      </c>
      <c r="W1058" s="92">
        <v>4.5271331312808173E-2</v>
      </c>
      <c r="X1058" s="92">
        <v>7.3258339454317688E-3</v>
      </c>
      <c r="Y1058" s="92">
        <v>5.6809236645882896E-4</v>
      </c>
      <c r="Z1058" s="92">
        <v>1.0075858486727415E-3</v>
      </c>
      <c r="AA1058" s="92">
        <v>3.66628186460104E-4</v>
      </c>
      <c r="AB1058" s="92">
        <v>6.0886966615906957E-6</v>
      </c>
      <c r="AC1058" s="119">
        <v>2.2749540535605513E-2</v>
      </c>
      <c r="AD1058" s="119">
        <v>1.0948080775936611</v>
      </c>
      <c r="AE1058" s="120">
        <v>4.7338056491911173E-3</v>
      </c>
      <c r="AF1058" s="119">
        <v>2.313670062793495E-2</v>
      </c>
      <c r="AG1058" s="119">
        <v>0.55819793859370925</v>
      </c>
      <c r="AH1058" s="120">
        <v>3.0148373498037266E-3</v>
      </c>
      <c r="AI1058" s="121">
        <v>-35</v>
      </c>
      <c r="AJ1058" s="121">
        <v>-10</v>
      </c>
      <c r="AK1058" s="121">
        <v>35</v>
      </c>
      <c r="AL1058" s="121">
        <v>65</v>
      </c>
      <c r="AM1058" s="122">
        <v>42832</v>
      </c>
      <c r="AN1058" s="121" t="s">
        <v>481</v>
      </c>
      <c r="AP1058" s="87"/>
    </row>
    <row r="1059" spans="1:42">
      <c r="A1059" s="71" t="s">
        <v>43</v>
      </c>
      <c r="B1059" s="72" t="s">
        <v>44</v>
      </c>
      <c r="C1059" s="71" t="s">
        <v>45</v>
      </c>
      <c r="D1059" s="72" t="s">
        <v>46</v>
      </c>
      <c r="E1059" s="71" t="s">
        <v>102</v>
      </c>
      <c r="F1059" s="72" t="s">
        <v>530</v>
      </c>
      <c r="G1059" s="77"/>
      <c r="H1059" s="72" t="str">
        <f t="shared" si="22"/>
        <v>Embraco Isobutane 50 Hz 230V EMX20CLC</v>
      </c>
      <c r="I1059" s="91">
        <v>282.56981237628133</v>
      </c>
      <c r="J1059" s="92">
        <v>9.1111677474157649</v>
      </c>
      <c r="K1059" s="92">
        <v>-2.4034535592221085</v>
      </c>
      <c r="L1059" s="92">
        <v>0.10042372727905154</v>
      </c>
      <c r="M1059" s="92">
        <v>-5.5803696789437078E-2</v>
      </c>
      <c r="N1059" s="92">
        <v>-1.3825171193180001E-3</v>
      </c>
      <c r="O1059" s="92">
        <v>2.9138670784897895E-4</v>
      </c>
      <c r="P1059" s="92">
        <v>-5.1229400539094621E-4</v>
      </c>
      <c r="Q1059" s="92">
        <v>-6.5916065614987792E-5</v>
      </c>
      <c r="R1059" s="92">
        <v>3.6938302876681835E-5</v>
      </c>
      <c r="S1059" s="92">
        <v>31.354829271320643</v>
      </c>
      <c r="T1059" s="92">
        <v>-0.24622573131440029</v>
      </c>
      <c r="U1059" s="92">
        <v>0.52864432525763771</v>
      </c>
      <c r="V1059" s="92">
        <v>-2.8882939958589985E-2</v>
      </c>
      <c r="W1059" s="92">
        <v>9.9844235236262128E-3</v>
      </c>
      <c r="X1059" s="92">
        <v>-4.7160134130660899E-4</v>
      </c>
      <c r="Y1059" s="92">
        <v>-4.0328409061036303E-4</v>
      </c>
      <c r="Z1059" s="92">
        <v>1.3531626590631245E-4</v>
      </c>
      <c r="AA1059" s="92">
        <v>1.3913945778576902E-4</v>
      </c>
      <c r="AB1059" s="92">
        <v>1.8402920873382337E-5</v>
      </c>
      <c r="AC1059" s="119"/>
      <c r="AD1059" s="119"/>
      <c r="AE1059" s="120"/>
      <c r="AF1059" s="119"/>
      <c r="AG1059" s="119"/>
      <c r="AH1059" s="120"/>
      <c r="AI1059" s="121"/>
      <c r="AJ1059" s="121"/>
      <c r="AK1059" s="121"/>
      <c r="AL1059" s="121"/>
      <c r="AM1059" s="122"/>
      <c r="AN1059" s="121"/>
      <c r="AP1059" s="87"/>
    </row>
    <row r="1060" spans="1:42">
      <c r="A1060" s="71" t="s">
        <v>43</v>
      </c>
      <c r="B1060" s="72" t="s">
        <v>44</v>
      </c>
      <c r="C1060" s="71" t="s">
        <v>45</v>
      </c>
      <c r="D1060" s="72" t="s">
        <v>46</v>
      </c>
      <c r="E1060" s="71" t="s">
        <v>102</v>
      </c>
      <c r="F1060" s="72" t="s">
        <v>531</v>
      </c>
      <c r="G1060" s="77"/>
      <c r="H1060" s="72" t="str">
        <f t="shared" si="22"/>
        <v>Embraco Isobutane 50 Hz 230V EMX26CLC</v>
      </c>
      <c r="I1060" s="91">
        <v>332.53898760108325</v>
      </c>
      <c r="J1060" s="92">
        <v>14.082981545713572</v>
      </c>
      <c r="K1060" s="92">
        <v>-1.7900431114488249</v>
      </c>
      <c r="L1060" s="92">
        <v>0.30182277015662184</v>
      </c>
      <c r="M1060" s="92">
        <v>-4.7460728069438837E-2</v>
      </c>
      <c r="N1060" s="92">
        <v>-2.9493850901326228E-3</v>
      </c>
      <c r="O1060" s="92">
        <v>2.5548091629972627E-3</v>
      </c>
      <c r="P1060" s="92">
        <v>-1.4646989533051743E-3</v>
      </c>
      <c r="Q1060" s="92">
        <v>-5.243764331951023E-4</v>
      </c>
      <c r="R1060" s="92">
        <v>-8.595804193252949E-5</v>
      </c>
      <c r="S1060" s="92">
        <v>20.78709992829425</v>
      </c>
      <c r="T1060" s="92">
        <v>-0.21491478870887593</v>
      </c>
      <c r="U1060" s="92">
        <v>1.1357683037866018</v>
      </c>
      <c r="V1060" s="92">
        <v>-2.1353250548457253E-2</v>
      </c>
      <c r="W1060" s="92">
        <v>9.5691158817164893E-3</v>
      </c>
      <c r="X1060" s="92">
        <v>-5.1953086607506944E-4</v>
      </c>
      <c r="Y1060" s="92">
        <v>-1.59417966935637E-4</v>
      </c>
      <c r="Z1060" s="92">
        <v>1.7213538406487497E-4</v>
      </c>
      <c r="AA1060" s="92">
        <v>2.8449333578669459E-4</v>
      </c>
      <c r="AB1060" s="92">
        <v>-8.2833553158638016E-7</v>
      </c>
      <c r="AC1060" s="119"/>
      <c r="AD1060" s="119"/>
      <c r="AE1060" s="120"/>
      <c r="AF1060" s="119"/>
      <c r="AG1060" s="119"/>
      <c r="AH1060" s="120"/>
      <c r="AI1060" s="121"/>
      <c r="AJ1060" s="121"/>
      <c r="AK1060" s="121"/>
      <c r="AL1060" s="121"/>
      <c r="AM1060" s="122"/>
      <c r="AN1060" s="121"/>
      <c r="AP1060" s="87"/>
    </row>
    <row r="1061" spans="1:42">
      <c r="A1061" s="71" t="s">
        <v>43</v>
      </c>
      <c r="B1061" s="72" t="s">
        <v>44</v>
      </c>
      <c r="C1061" s="71" t="s">
        <v>45</v>
      </c>
      <c r="D1061" s="72" t="s">
        <v>46</v>
      </c>
      <c r="E1061" s="71" t="s">
        <v>102</v>
      </c>
      <c r="F1061" s="72" t="s">
        <v>532</v>
      </c>
      <c r="G1061" s="77"/>
      <c r="H1061" s="72" t="str">
        <f t="shared" si="22"/>
        <v xml:space="preserve">Embraco Isobutane 50 Hz 230V EMX32CLC   </v>
      </c>
      <c r="I1061" s="91">
        <v>413.30697549272725</v>
      </c>
      <c r="J1061" s="92">
        <v>14.636682752363637</v>
      </c>
      <c r="K1061" s="92">
        <v>-4.5236916040909083</v>
      </c>
      <c r="L1061" s="92">
        <v>0.17741722752727271</v>
      </c>
      <c r="M1061" s="92">
        <v>-0.13420066901818181</v>
      </c>
      <c r="N1061" s="92">
        <v>2.5870627999999996E-2</v>
      </c>
      <c r="O1061" s="92">
        <v>6.9501065454545454E-4</v>
      </c>
      <c r="P1061" s="92">
        <v>-1.1694063818181817E-3</v>
      </c>
      <c r="Q1061" s="92">
        <v>2.991369818181818E-4</v>
      </c>
      <c r="R1061" s="92">
        <v>-1.4804503636363636E-4</v>
      </c>
      <c r="S1061" s="92">
        <v>88.67517949773756</v>
      </c>
      <c r="T1061" s="92">
        <v>3.2513400967420814</v>
      </c>
      <c r="U1061" s="92">
        <v>-0.55594508615384619</v>
      </c>
      <c r="V1061" s="92">
        <v>5.7253994751131222E-2</v>
      </c>
      <c r="W1061" s="92">
        <v>-4.4536315520361996E-2</v>
      </c>
      <c r="X1061" s="92">
        <v>1.6384167692307692E-2</v>
      </c>
      <c r="Y1061" s="92">
        <v>4.3948117647058823E-4</v>
      </c>
      <c r="Z1061" s="92">
        <v>-3.978909502262444E-4</v>
      </c>
      <c r="AA1061" s="92">
        <v>5.0198687782805433E-4</v>
      </c>
      <c r="AB1061" s="92">
        <v>-5.9315592760180997E-5</v>
      </c>
      <c r="AC1061" s="119"/>
      <c r="AD1061" s="119"/>
      <c r="AE1061" s="120"/>
      <c r="AF1061" s="119"/>
      <c r="AG1061" s="119"/>
      <c r="AH1061" s="120"/>
      <c r="AI1061" s="121"/>
      <c r="AJ1061" s="121"/>
      <c r="AK1061" s="121"/>
      <c r="AL1061" s="121"/>
      <c r="AM1061" s="122"/>
      <c r="AN1061" s="121"/>
      <c r="AP1061" s="87"/>
    </row>
    <row r="1062" spans="1:42">
      <c r="A1062" s="71" t="s">
        <v>43</v>
      </c>
      <c r="B1062" s="72" t="s">
        <v>44</v>
      </c>
      <c r="C1062" s="71" t="s">
        <v>45</v>
      </c>
      <c r="D1062" s="72" t="s">
        <v>46</v>
      </c>
      <c r="E1062" s="71" t="s">
        <v>102</v>
      </c>
      <c r="F1062" s="72" t="s">
        <v>533</v>
      </c>
      <c r="G1062" s="77"/>
      <c r="H1062" s="72" t="str">
        <f t="shared" si="22"/>
        <v xml:space="preserve">Embraco Isobutane 50 Hz 230V EMX40CLC   </v>
      </c>
      <c r="I1062" s="91">
        <v>510.30759219000004</v>
      </c>
      <c r="J1062" s="92">
        <v>18.071822582000003</v>
      </c>
      <c r="K1062" s="92">
        <v>-5.5853743275000003</v>
      </c>
      <c r="L1062" s="92">
        <v>0.21905596460000001</v>
      </c>
      <c r="M1062" s="92">
        <v>-0.16569674440000001</v>
      </c>
      <c r="N1062" s="92">
        <v>3.1942306000000004E-2</v>
      </c>
      <c r="O1062" s="92">
        <v>8.5812540000000008E-4</v>
      </c>
      <c r="P1062" s="92">
        <v>-1.4438589000000002E-3</v>
      </c>
      <c r="Q1062" s="92">
        <v>3.6934260000000003E-4</v>
      </c>
      <c r="R1062" s="92">
        <v>-1.8279030000000002E-4</v>
      </c>
      <c r="S1062" s="92">
        <v>110.45504814630468</v>
      </c>
      <c r="T1062" s="92">
        <v>4.0499148573453994</v>
      </c>
      <c r="U1062" s="92">
        <v>-0.69249300205128206</v>
      </c>
      <c r="V1062" s="92">
        <v>7.1316379426847654E-2</v>
      </c>
      <c r="W1062" s="92">
        <v>-5.5475059683257916E-2</v>
      </c>
      <c r="X1062" s="92">
        <v>2.0408349230769229E-2</v>
      </c>
      <c r="Y1062" s="92">
        <v>5.4742392156862741E-4</v>
      </c>
      <c r="Z1062" s="92">
        <v>-4.9561855203619906E-4</v>
      </c>
      <c r="AA1062" s="92">
        <v>6.2528190045248871E-4</v>
      </c>
      <c r="AB1062" s="92">
        <v>-7.3884334841628951E-5</v>
      </c>
      <c r="AC1062" s="119"/>
      <c r="AD1062" s="119"/>
      <c r="AE1062" s="120"/>
      <c r="AF1062" s="119"/>
      <c r="AG1062" s="119"/>
      <c r="AH1062" s="120"/>
      <c r="AI1062" s="121"/>
      <c r="AJ1062" s="121"/>
      <c r="AK1062" s="121"/>
      <c r="AL1062" s="121"/>
      <c r="AM1062" s="122"/>
      <c r="AN1062" s="121"/>
      <c r="AP1062" s="87"/>
    </row>
    <row r="1063" spans="1:42">
      <c r="A1063" s="71" t="s">
        <v>43</v>
      </c>
      <c r="B1063" s="72" t="s">
        <v>44</v>
      </c>
      <c r="C1063" s="71" t="s">
        <v>45</v>
      </c>
      <c r="D1063" s="72" t="s">
        <v>46</v>
      </c>
      <c r="E1063" s="71" t="s">
        <v>102</v>
      </c>
      <c r="F1063" s="72" t="s">
        <v>534</v>
      </c>
      <c r="G1063" s="77"/>
      <c r="H1063" s="72" t="str">
        <f t="shared" si="22"/>
        <v xml:space="preserve">Embraco Isobutane 50 Hz 230V EMX46CLC   </v>
      </c>
      <c r="I1063" s="91">
        <v>569.35144583181818</v>
      </c>
      <c r="J1063" s="92">
        <v>20.162777260909092</v>
      </c>
      <c r="K1063" s="92">
        <v>-6.2316159852272728</v>
      </c>
      <c r="L1063" s="92">
        <v>0.2444012828181818</v>
      </c>
      <c r="M1063" s="92">
        <v>-0.18486826854545454</v>
      </c>
      <c r="N1063" s="92">
        <v>3.5638110000000001E-2</v>
      </c>
      <c r="O1063" s="92">
        <v>9.5741263636363642E-4</v>
      </c>
      <c r="P1063" s="92">
        <v>-1.6109169545454546E-3</v>
      </c>
      <c r="Q1063" s="92">
        <v>4.1207645454545454E-4</v>
      </c>
      <c r="R1063" s="92">
        <v>-2.0393959090909093E-4</v>
      </c>
      <c r="S1063" s="92">
        <v>122.12283492232278</v>
      </c>
      <c r="T1063" s="92">
        <v>4.477722764811463</v>
      </c>
      <c r="U1063" s="92">
        <v>-0.76564367128205135</v>
      </c>
      <c r="V1063" s="92">
        <v>7.8849799788838604E-2</v>
      </c>
      <c r="W1063" s="92">
        <v>-6.1335101199095021E-2</v>
      </c>
      <c r="X1063" s="92">
        <v>2.2564160769230769E-2</v>
      </c>
      <c r="Y1063" s="92">
        <v>6.0525039215686275E-4</v>
      </c>
      <c r="Z1063" s="92">
        <v>-5.4797262443438916E-4</v>
      </c>
      <c r="AA1063" s="92">
        <v>6.913328054298642E-4</v>
      </c>
      <c r="AB1063" s="92">
        <v>-8.1689018099547506E-5</v>
      </c>
      <c r="AC1063" s="119"/>
      <c r="AD1063" s="119"/>
      <c r="AE1063" s="120"/>
      <c r="AF1063" s="119"/>
      <c r="AG1063" s="119"/>
      <c r="AH1063" s="120"/>
      <c r="AI1063" s="121"/>
      <c r="AJ1063" s="121"/>
      <c r="AK1063" s="121"/>
      <c r="AL1063" s="121"/>
      <c r="AM1063" s="122"/>
      <c r="AN1063" s="121"/>
      <c r="AP1063" s="87"/>
    </row>
    <row r="1064" spans="1:42">
      <c r="A1064" s="71" t="s">
        <v>43</v>
      </c>
      <c r="B1064" s="72" t="s">
        <v>44</v>
      </c>
      <c r="C1064" s="71" t="s">
        <v>45</v>
      </c>
      <c r="D1064" s="72" t="s">
        <v>46</v>
      </c>
      <c r="E1064" s="71" t="s">
        <v>102</v>
      </c>
      <c r="F1064" s="72" t="s">
        <v>535</v>
      </c>
      <c r="G1064" s="77"/>
      <c r="H1064" s="72" t="str">
        <f t="shared" si="22"/>
        <v xml:space="preserve">Embraco Isobutane 50 Hz 230V EMX55CLC   </v>
      </c>
      <c r="I1064" s="91">
        <v>603.00758737647448</v>
      </c>
      <c r="J1064" s="92">
        <v>21.673536578235243</v>
      </c>
      <c r="K1064" s="92">
        <v>-3.208560252737525</v>
      </c>
      <c r="L1064" s="92">
        <v>0.27228614492566378</v>
      </c>
      <c r="M1064" s="92">
        <v>-0.1234218061082805</v>
      </c>
      <c r="N1064" s="92">
        <v>-2.425553937427798E-2</v>
      </c>
      <c r="O1064" s="92">
        <v>1.0868105728993351E-3</v>
      </c>
      <c r="P1064" s="92">
        <v>-1.3596212724354794E-3</v>
      </c>
      <c r="Q1064" s="92">
        <v>-2.2079519827421121E-4</v>
      </c>
      <c r="R1064" s="92">
        <v>7.9860424007665334E-5</v>
      </c>
      <c r="S1064" s="92">
        <v>57.926696381646487</v>
      </c>
      <c r="T1064" s="92">
        <v>1.0151061015433454</v>
      </c>
      <c r="U1064" s="92">
        <v>1.9898298174269655</v>
      </c>
      <c r="V1064" s="92">
        <v>1.4946646011890247E-2</v>
      </c>
      <c r="W1064" s="92">
        <v>3.5826163184135514E-2</v>
      </c>
      <c r="X1064" s="92">
        <v>4.3415227080596244E-3</v>
      </c>
      <c r="Y1064" s="92">
        <v>1.826552121573068E-4</v>
      </c>
      <c r="Z1064" s="92">
        <v>2.2582424101122515E-4</v>
      </c>
      <c r="AA1064" s="92">
        <v>2.5417237857138696E-4</v>
      </c>
      <c r="AB1064" s="92">
        <v>-8.7153162197903421E-5</v>
      </c>
      <c r="AC1064" s="119"/>
      <c r="AD1064" s="119"/>
      <c r="AE1064" s="120"/>
      <c r="AF1064" s="119"/>
      <c r="AG1064" s="119"/>
      <c r="AH1064" s="120"/>
      <c r="AI1064" s="121"/>
      <c r="AJ1064" s="121"/>
      <c r="AK1064" s="121"/>
      <c r="AL1064" s="121"/>
      <c r="AM1064" s="122"/>
      <c r="AN1064" s="121"/>
      <c r="AP1064" s="87"/>
    </row>
    <row r="1065" spans="1:42">
      <c r="A1065" s="71" t="s">
        <v>43</v>
      </c>
      <c r="B1065" s="72" t="s">
        <v>44</v>
      </c>
      <c r="C1065" s="71" t="s">
        <v>45</v>
      </c>
      <c r="D1065" s="72" t="s">
        <v>46</v>
      </c>
      <c r="E1065" s="71" t="s">
        <v>102</v>
      </c>
      <c r="F1065" s="72" t="s">
        <v>536</v>
      </c>
      <c r="G1065" s="77"/>
      <c r="H1065" s="72" t="str">
        <f t="shared" si="22"/>
        <v xml:space="preserve">Embraco Isobutane 50 Hz 230V EMX66CLC   </v>
      </c>
      <c r="I1065" s="91">
        <v>702.86871649614545</v>
      </c>
      <c r="J1065" s="92">
        <v>25.262784673993949</v>
      </c>
      <c r="K1065" s="92">
        <v>-3.7399141799424656</v>
      </c>
      <c r="L1065" s="92">
        <v>0.31737811797067816</v>
      </c>
      <c r="M1065" s="92">
        <v>-0.14386108610073461</v>
      </c>
      <c r="N1065" s="92">
        <v>-2.8272380289763505E-2</v>
      </c>
      <c r="O1065" s="92">
        <v>1.2667919416597345E-3</v>
      </c>
      <c r="P1065" s="92">
        <v>-1.5847814831572787E-3</v>
      </c>
      <c r="Q1065" s="92">
        <v>-2.5736000817949456E-4</v>
      </c>
      <c r="R1065" s="92">
        <v>9.3085717155431564E-5</v>
      </c>
      <c r="S1065" s="92">
        <v>67.49608455042069</v>
      </c>
      <c r="T1065" s="92">
        <v>1.1827998407850873</v>
      </c>
      <c r="U1065" s="92">
        <v>2.3185461969578518</v>
      </c>
      <c r="V1065" s="92">
        <v>1.7415805595352291E-2</v>
      </c>
      <c r="W1065" s="92">
        <v>4.1744582212351736E-2</v>
      </c>
      <c r="X1065" s="92">
        <v>5.0587346091707968E-3</v>
      </c>
      <c r="Y1065" s="92">
        <v>2.1282953134628922E-4</v>
      </c>
      <c r="Z1065" s="92">
        <v>2.6313000769810158E-4</v>
      </c>
      <c r="AA1065" s="92">
        <v>2.9616120763053676E-4</v>
      </c>
      <c r="AB1065" s="92">
        <v>-1.0155071101914298E-4</v>
      </c>
      <c r="AC1065" s="119"/>
      <c r="AD1065" s="119"/>
      <c r="AE1065" s="120"/>
      <c r="AF1065" s="119"/>
      <c r="AG1065" s="119"/>
      <c r="AH1065" s="120"/>
      <c r="AI1065" s="121"/>
      <c r="AJ1065" s="121"/>
      <c r="AK1065" s="121"/>
      <c r="AL1065" s="121"/>
      <c r="AM1065" s="122"/>
      <c r="AN1065" s="121"/>
      <c r="AP1065" s="87"/>
    </row>
    <row r="1066" spans="1:42">
      <c r="A1066" s="71" t="s">
        <v>43</v>
      </c>
      <c r="B1066" s="72" t="s">
        <v>44</v>
      </c>
      <c r="C1066" s="71" t="s">
        <v>45</v>
      </c>
      <c r="D1066" s="72" t="s">
        <v>46</v>
      </c>
      <c r="E1066" s="71" t="s">
        <v>102</v>
      </c>
      <c r="F1066" s="72" t="s">
        <v>537</v>
      </c>
      <c r="G1066" s="77"/>
      <c r="H1066" s="72" t="str">
        <f t="shared" si="22"/>
        <v xml:space="preserve">Embraco Isobutane 50 Hz 230V EMY45HSC   </v>
      </c>
      <c r="I1066" s="91">
        <v>490.19381173763799</v>
      </c>
      <c r="J1066" s="92">
        <v>15.363114413658</v>
      </c>
      <c r="K1066" s="92">
        <v>-2.4720021664440002</v>
      </c>
      <c r="L1066" s="92">
        <v>9.6306517622000001E-2</v>
      </c>
      <c r="M1066" s="92">
        <v>-9.0142311281999996E-2</v>
      </c>
      <c r="N1066" s="92">
        <v>-1.8660842253E-2</v>
      </c>
      <c r="O1066" s="92">
        <v>0</v>
      </c>
      <c r="P1066" s="92">
        <v>0</v>
      </c>
      <c r="Q1066" s="92">
        <v>0</v>
      </c>
      <c r="R1066" s="92">
        <v>0</v>
      </c>
      <c r="S1066" s="92">
        <v>56.2906746031748</v>
      </c>
      <c r="T1066" s="92">
        <v>0.37023809523809997</v>
      </c>
      <c r="U1066" s="92">
        <v>2.0054761904761902</v>
      </c>
      <c r="V1066" s="92">
        <v>8.8095238095199993E-3</v>
      </c>
      <c r="W1066" s="92">
        <v>4.542857142857E-2</v>
      </c>
      <c r="X1066" s="92">
        <v>-5.8333333333300003E-3</v>
      </c>
      <c r="Y1066" s="92">
        <v>0</v>
      </c>
      <c r="Z1066" s="92">
        <v>0</v>
      </c>
      <c r="AA1066" s="92">
        <v>0</v>
      </c>
      <c r="AB1066" s="92">
        <v>0</v>
      </c>
      <c r="AC1066" s="119"/>
      <c r="AD1066" s="119"/>
      <c r="AE1066" s="120"/>
      <c r="AF1066" s="119"/>
      <c r="AG1066" s="119"/>
      <c r="AH1066" s="120"/>
      <c r="AI1066" s="121"/>
      <c r="AJ1066" s="121"/>
      <c r="AK1066" s="121"/>
      <c r="AL1066" s="121"/>
      <c r="AM1066" s="122"/>
      <c r="AN1066" s="121"/>
      <c r="AP1066" s="87"/>
    </row>
    <row r="1067" spans="1:42">
      <c r="A1067" s="93" t="s">
        <v>43</v>
      </c>
      <c r="B1067" s="94" t="s">
        <v>44</v>
      </c>
      <c r="C1067" s="93" t="s">
        <v>45</v>
      </c>
      <c r="D1067" s="94" t="s">
        <v>109</v>
      </c>
      <c r="E1067" s="93" t="s">
        <v>102</v>
      </c>
      <c r="F1067" s="94" t="s">
        <v>538</v>
      </c>
      <c r="G1067" s="95"/>
      <c r="H1067" s="94" t="str">
        <f t="shared" si="22"/>
        <v>Embraco Isobutane 50 Hz 220V EMY70CLP - PTCSCR</v>
      </c>
      <c r="I1067" s="96">
        <v>1.3194393710679482</v>
      </c>
      <c r="J1067" s="96">
        <v>25.227198398285449</v>
      </c>
      <c r="K1067" s="96">
        <v>36.175092138378041</v>
      </c>
      <c r="L1067" s="96">
        <v>0.28615307500376824</v>
      </c>
      <c r="M1067" s="96">
        <v>-0.13956779602259764</v>
      </c>
      <c r="N1067" s="96">
        <v>-0.75858004768290588</v>
      </c>
      <c r="O1067" s="96">
        <v>5.5237325482712651E-4</v>
      </c>
      <c r="P1067" s="96">
        <v>-1.8660758987675034E-3</v>
      </c>
      <c r="Q1067" s="96">
        <v>-4.5793811024511519E-4</v>
      </c>
      <c r="R1067" s="96">
        <v>4.4829296815522357E-3</v>
      </c>
      <c r="S1067" s="96">
        <v>-0.51424451221588319</v>
      </c>
      <c r="T1067" s="96">
        <v>0.89968322433389825</v>
      </c>
      <c r="U1067" s="96">
        <v>6.6509243525368502</v>
      </c>
      <c r="V1067" s="96">
        <v>-1.1392432326907792E-2</v>
      </c>
      <c r="W1067" s="96">
        <v>5.2019842550755348E-2</v>
      </c>
      <c r="X1067" s="96">
        <v>-7.0178087279463133E-2</v>
      </c>
      <c r="Y1067" s="96">
        <v>-9.4411035438108842E-5</v>
      </c>
      <c r="Z1067" s="96">
        <v>5.7691428191887495E-4</v>
      </c>
      <c r="AA1067" s="96">
        <v>2.7774426027219769E-4</v>
      </c>
      <c r="AB1067" s="96">
        <v>3.3659560741647278E-4</v>
      </c>
      <c r="AC1067" s="119">
        <v>1.3858709811834935E-2</v>
      </c>
      <c r="AD1067" s="119">
        <v>0.47451440884327178</v>
      </c>
      <c r="AE1067" s="120">
        <v>2.8658978628719918E-3</v>
      </c>
      <c r="AF1067" s="119">
        <v>6.9898066594087987E-3</v>
      </c>
      <c r="AG1067" s="119">
        <v>0.32380070494119967</v>
      </c>
      <c r="AH1067" s="120">
        <v>1.9939118763347033E-3</v>
      </c>
      <c r="AI1067" s="121">
        <v>-35</v>
      </c>
      <c r="AJ1067" s="121">
        <v>-10</v>
      </c>
      <c r="AK1067" s="121">
        <v>45</v>
      </c>
      <c r="AL1067" s="121">
        <v>65</v>
      </c>
      <c r="AM1067" s="122">
        <v>42892</v>
      </c>
      <c r="AN1067" s="121" t="s">
        <v>481</v>
      </c>
      <c r="AP1067" s="87"/>
    </row>
    <row r="1068" spans="1:42">
      <c r="A1068" s="93" t="s">
        <v>43</v>
      </c>
      <c r="B1068" s="94" t="s">
        <v>44</v>
      </c>
      <c r="C1068" s="93" t="s">
        <v>45</v>
      </c>
      <c r="D1068" s="94" t="s">
        <v>109</v>
      </c>
      <c r="E1068" s="93" t="s">
        <v>102</v>
      </c>
      <c r="F1068" s="94" t="s">
        <v>539</v>
      </c>
      <c r="G1068" s="95"/>
      <c r="H1068" s="94" t="str">
        <f t="shared" si="22"/>
        <v>Embraco Isobutane 50 Hz 220V EMY70CLP - PTCSIR</v>
      </c>
      <c r="I1068" s="96">
        <v>1.4483358272702527</v>
      </c>
      <c r="J1068" s="96">
        <v>25.688120048002389</v>
      </c>
      <c r="K1068" s="96">
        <v>36.446725640090634</v>
      </c>
      <c r="L1068" s="96">
        <v>0.26775072592462301</v>
      </c>
      <c r="M1068" s="96">
        <v>-0.17014014769558208</v>
      </c>
      <c r="N1068" s="96">
        <v>-0.77206171001784829</v>
      </c>
      <c r="O1068" s="96">
        <v>2.1618796333279177E-4</v>
      </c>
      <c r="P1068" s="96">
        <v>-1.8904840333762453E-3</v>
      </c>
      <c r="Q1068" s="96">
        <v>-1.7219124609278252E-4</v>
      </c>
      <c r="R1068" s="96">
        <v>4.6231587864637349E-3</v>
      </c>
      <c r="S1068" s="96">
        <v>0.33628835687912595</v>
      </c>
      <c r="T1068" s="96">
        <v>-0.26194040275223512</v>
      </c>
      <c r="U1068" s="96">
        <v>6.7269486812154113</v>
      </c>
      <c r="V1068" s="96">
        <v>-6.3255316056316818E-2</v>
      </c>
      <c r="W1068" s="96">
        <v>6.003744122099873E-2</v>
      </c>
      <c r="X1068" s="96">
        <v>-6.9465848547987152E-2</v>
      </c>
      <c r="Y1068" s="96">
        <v>-7.2242552363665548E-4</v>
      </c>
      <c r="Z1068" s="96">
        <v>7.7841382667682448E-4</v>
      </c>
      <c r="AA1068" s="96">
        <v>3.0671782445912486E-4</v>
      </c>
      <c r="AB1068" s="96">
        <v>3.3706756740449256E-4</v>
      </c>
      <c r="AC1068" s="119">
        <v>2.917159741892324E-2</v>
      </c>
      <c r="AD1068" s="119">
        <v>1.0573549429860942</v>
      </c>
      <c r="AE1068" s="120">
        <v>4.3229253773612499E-3</v>
      </c>
      <c r="AF1068" s="119">
        <v>5.2875617860535587E-2</v>
      </c>
      <c r="AG1068" s="119">
        <v>2.1575184101572527</v>
      </c>
      <c r="AH1068" s="120">
        <v>4.5087766054750684E-3</v>
      </c>
      <c r="AI1068" s="121">
        <v>-35</v>
      </c>
      <c r="AJ1068" s="121">
        <v>-10</v>
      </c>
      <c r="AK1068" s="121">
        <v>45</v>
      </c>
      <c r="AL1068" s="121">
        <v>65</v>
      </c>
      <c r="AM1068" s="122">
        <v>42892</v>
      </c>
      <c r="AN1068" s="121" t="s">
        <v>481</v>
      </c>
      <c r="AP1068" s="87"/>
    </row>
    <row r="1069" spans="1:42">
      <c r="A1069" s="93" t="s">
        <v>43</v>
      </c>
      <c r="B1069" s="94" t="s">
        <v>44</v>
      </c>
      <c r="C1069" s="93" t="s">
        <v>45</v>
      </c>
      <c r="D1069" s="94" t="s">
        <v>109</v>
      </c>
      <c r="E1069" s="93" t="s">
        <v>102</v>
      </c>
      <c r="F1069" s="94" t="s">
        <v>540</v>
      </c>
      <c r="G1069" s="95"/>
      <c r="H1069" s="94" t="str">
        <f t="shared" si="22"/>
        <v>Embraco Isobutane 50 Hz 220V EMY80CLP - PTCSIR</v>
      </c>
      <c r="I1069" s="96">
        <v>794.75475913797811</v>
      </c>
      <c r="J1069" s="96">
        <v>28.807755737747346</v>
      </c>
      <c r="K1069" s="96">
        <v>-4.183723996355238</v>
      </c>
      <c r="L1069" s="96">
        <v>0.34635334979415749</v>
      </c>
      <c r="M1069" s="96">
        <v>-0.17000737023825696</v>
      </c>
      <c r="N1069" s="96">
        <v>-3.4758778426727518E-2</v>
      </c>
      <c r="O1069" s="96">
        <v>1.2411845535964176E-3</v>
      </c>
      <c r="P1069" s="96">
        <v>-1.7146890665206392E-3</v>
      </c>
      <c r="Q1069" s="96">
        <v>-1.8517962894924359E-4</v>
      </c>
      <c r="R1069" s="96">
        <v>1.9654728145323573E-4</v>
      </c>
      <c r="S1069" s="96">
        <v>123.23947529031847</v>
      </c>
      <c r="T1069" s="96">
        <v>0.81372477087233175</v>
      </c>
      <c r="U1069" s="96">
        <v>1.9310643474541542</v>
      </c>
      <c r="V1069" s="96">
        <v>-3.5706411668039402E-2</v>
      </c>
      <c r="W1069" s="96">
        <v>5.9134956993675887E-2</v>
      </c>
      <c r="X1069" s="96">
        <v>7.4237232409911358E-4</v>
      </c>
      <c r="Y1069" s="96">
        <v>-4.8258517600145142E-4</v>
      </c>
      <c r="Z1069" s="96">
        <v>6.6222524785251825E-4</v>
      </c>
      <c r="AA1069" s="96">
        <v>2.2181108626922528E-4</v>
      </c>
      <c r="AB1069" s="96">
        <v>1.1028777615113428E-5</v>
      </c>
      <c r="AC1069" s="119">
        <v>5.8518016475893268E-2</v>
      </c>
      <c r="AD1069" s="119">
        <v>1.9079017357468606</v>
      </c>
      <c r="AE1069" s="120">
        <v>5.1333764734447142E-3</v>
      </c>
      <c r="AF1069" s="119">
        <v>4.4998734771672447E-2</v>
      </c>
      <c r="AG1069" s="119">
        <v>1.3368853422028484</v>
      </c>
      <c r="AH1069" s="120">
        <v>3.4867429846969994E-3</v>
      </c>
      <c r="AI1069" s="121">
        <v>-35</v>
      </c>
      <c r="AJ1069" s="121">
        <v>-10</v>
      </c>
      <c r="AK1069" s="121">
        <v>35</v>
      </c>
      <c r="AL1069" s="121">
        <v>65</v>
      </c>
      <c r="AM1069" s="122">
        <v>42892</v>
      </c>
      <c r="AN1069" s="121" t="s">
        <v>481</v>
      </c>
      <c r="AP1069" s="87"/>
    </row>
    <row r="1070" spans="1:42">
      <c r="A1070" s="93" t="s">
        <v>43</v>
      </c>
      <c r="B1070" s="94" t="s">
        <v>44</v>
      </c>
      <c r="C1070" s="93" t="s">
        <v>45</v>
      </c>
      <c r="D1070" s="94" t="s">
        <v>109</v>
      </c>
      <c r="E1070" s="93" t="s">
        <v>102</v>
      </c>
      <c r="F1070" s="94" t="s">
        <v>541</v>
      </c>
      <c r="G1070" s="95"/>
      <c r="H1070" s="94" t="s">
        <v>312</v>
      </c>
      <c r="I1070" s="96">
        <v>-17.33294630792868</v>
      </c>
      <c r="J1070" s="96">
        <v>-110.33712515707597</v>
      </c>
      <c r="K1070" s="96">
        <v>-24.255086242494777</v>
      </c>
      <c r="L1070" s="96">
        <v>-5.0211086156354598</v>
      </c>
      <c r="M1070" s="96">
        <v>0.22938367942299925</v>
      </c>
      <c r="N1070" s="96">
        <v>0.53956258780795896</v>
      </c>
      <c r="O1070" s="96">
        <v>-6.5482013200896513E-2</v>
      </c>
      <c r="P1070" s="96">
        <v>5.548412526955814E-3</v>
      </c>
      <c r="Q1070" s="96">
        <v>-3.0600452129043304E-4</v>
      </c>
      <c r="R1070" s="96">
        <v>-4.1065178788804767E-3</v>
      </c>
      <c r="S1070" s="96">
        <v>-2.184847093983858</v>
      </c>
      <c r="T1070" s="96">
        <v>-46.661703052596884</v>
      </c>
      <c r="U1070" s="96">
        <v>-13.128095575534312</v>
      </c>
      <c r="V1070" s="96">
        <v>-2.2473709288610348</v>
      </c>
      <c r="W1070" s="96">
        <v>-0.18306566025737744</v>
      </c>
      <c r="X1070" s="96">
        <v>0.27585688746194048</v>
      </c>
      <c r="Y1070" s="96">
        <v>-3.2120128469271689E-2</v>
      </c>
      <c r="Z1070" s="96">
        <v>-3.3648234705551741E-3</v>
      </c>
      <c r="AA1070" s="96">
        <v>5.6722084007066809E-4</v>
      </c>
      <c r="AB1070" s="96">
        <v>-1.9680117305087034E-3</v>
      </c>
      <c r="AC1070" s="119">
        <v>1.4688039291445838</v>
      </c>
      <c r="AD1070" s="119">
        <v>88.975452951914136</v>
      </c>
      <c r="AE1070" s="120">
        <v>3.144516879309036E-2</v>
      </c>
      <c r="AF1070" s="119">
        <v>2.6275994130539201E-2</v>
      </c>
      <c r="AG1070" s="119">
        <v>0.86030804995986776</v>
      </c>
      <c r="AH1070" s="120">
        <v>2.7416244499623224E-3</v>
      </c>
      <c r="AI1070" s="121">
        <v>-35</v>
      </c>
      <c r="AJ1070" s="121">
        <v>-10</v>
      </c>
      <c r="AK1070" s="121">
        <v>35</v>
      </c>
      <c r="AL1070" s="121">
        <v>55</v>
      </c>
      <c r="AM1070" s="122">
        <v>43309</v>
      </c>
      <c r="AN1070" s="121" t="s">
        <v>542</v>
      </c>
      <c r="AP1070" s="87"/>
    </row>
    <row r="1071" spans="1:42">
      <c r="A1071" s="71" t="s">
        <v>43</v>
      </c>
      <c r="B1071" s="72" t="s">
        <v>44</v>
      </c>
      <c r="C1071" s="71" t="s">
        <v>45</v>
      </c>
      <c r="D1071" s="72" t="s">
        <v>46</v>
      </c>
      <c r="E1071" s="71" t="s">
        <v>102</v>
      </c>
      <c r="F1071" s="72" t="s">
        <v>543</v>
      </c>
      <c r="G1071" s="77"/>
      <c r="H1071" s="72" t="str">
        <f t="shared" ref="H1071:H1102" si="23">CONCATENATE(A1071," ",B1071," ",C1071," ",D1071," ",F1071)</f>
        <v xml:space="preserve">Embraco Isobutane 50 Hz 230V EMZ20CLC   </v>
      </c>
      <c r="I1071" s="91">
        <v>322.74780815500003</v>
      </c>
      <c r="J1071" s="92">
        <v>10.154755042700002</v>
      </c>
      <c r="K1071" s="92">
        <v>-4.697219545916667</v>
      </c>
      <c r="L1071" s="92">
        <v>0.11548465496666667</v>
      </c>
      <c r="M1071" s="92">
        <v>-9.3527847116666674E-2</v>
      </c>
      <c r="N1071" s="92">
        <v>4.5180161366666666E-2</v>
      </c>
      <c r="O1071" s="92">
        <v>6.2254055000000006E-4</v>
      </c>
      <c r="P1071" s="92">
        <v>-5.3621551666666674E-4</v>
      </c>
      <c r="Q1071" s="92">
        <v>3.7406881666666672E-4</v>
      </c>
      <c r="R1071" s="92">
        <v>-2.5151353333333331E-4</v>
      </c>
      <c r="S1071" s="92">
        <v>51.031111370694802</v>
      </c>
      <c r="T1071" s="92">
        <v>1.6416948946873453</v>
      </c>
      <c r="U1071" s="92">
        <v>2.5127906545905711E-2</v>
      </c>
      <c r="V1071" s="92">
        <v>3.2698785789081891E-2</v>
      </c>
      <c r="W1071" s="92">
        <v>-1.7326184861042187E-2</v>
      </c>
      <c r="X1071" s="92">
        <v>6.7228263697270488E-3</v>
      </c>
      <c r="Y1071" s="92">
        <v>3.0673579156327547E-4</v>
      </c>
      <c r="Z1071" s="92">
        <v>-1.8861395285359804E-4</v>
      </c>
      <c r="AA1071" s="92">
        <v>2.8090079404466509E-4</v>
      </c>
      <c r="AB1071" s="92">
        <v>-2.4487733250620352E-5</v>
      </c>
      <c r="AC1071" s="119"/>
      <c r="AD1071" s="119"/>
      <c r="AE1071" s="120"/>
      <c r="AF1071" s="119"/>
      <c r="AG1071" s="119"/>
      <c r="AH1071" s="120"/>
      <c r="AI1071" s="121"/>
      <c r="AJ1071" s="121"/>
      <c r="AK1071" s="121"/>
      <c r="AL1071" s="121"/>
      <c r="AM1071" s="122"/>
      <c r="AN1071" s="121"/>
      <c r="AP1071" s="87"/>
    </row>
    <row r="1072" spans="1:42">
      <c r="A1072" s="71" t="s">
        <v>43</v>
      </c>
      <c r="B1072" s="72" t="s">
        <v>44</v>
      </c>
      <c r="C1072" s="71" t="s">
        <v>45</v>
      </c>
      <c r="D1072" s="72" t="s">
        <v>46</v>
      </c>
      <c r="E1072" s="71" t="s">
        <v>102</v>
      </c>
      <c r="F1072" s="72" t="s">
        <v>544</v>
      </c>
      <c r="G1072" s="77"/>
      <c r="H1072" s="72" t="str">
        <f t="shared" si="23"/>
        <v xml:space="preserve">Embraco Isobutane 50 Hz 230V EMZ26CLC   </v>
      </c>
      <c r="I1072" s="91">
        <v>409.45617452499999</v>
      </c>
      <c r="J1072" s="92">
        <v>12.882898188500002</v>
      </c>
      <c r="K1072" s="92">
        <v>-5.9591591254166678</v>
      </c>
      <c r="L1072" s="92">
        <v>0.14651038316666667</v>
      </c>
      <c r="M1072" s="92">
        <v>-0.11865473141666667</v>
      </c>
      <c r="N1072" s="92">
        <v>5.7318115166666669E-2</v>
      </c>
      <c r="O1072" s="92">
        <v>7.8979025000000004E-4</v>
      </c>
      <c r="P1072" s="92">
        <v>-6.8027341666666667E-4</v>
      </c>
      <c r="Q1072" s="92">
        <v>4.7456491666666675E-4</v>
      </c>
      <c r="R1072" s="92">
        <v>-3.1908433333333334E-4</v>
      </c>
      <c r="S1072" s="92">
        <v>62.010910394218378</v>
      </c>
      <c r="T1072" s="92">
        <v>1.9949202021017374</v>
      </c>
      <c r="U1072" s="92">
        <v>3.0534399885856087E-2</v>
      </c>
      <c r="V1072" s="92">
        <v>3.9734221362282884E-2</v>
      </c>
      <c r="W1072" s="92">
        <v>-2.105406815632755E-2</v>
      </c>
      <c r="X1072" s="92">
        <v>8.1693024590570734E-3</v>
      </c>
      <c r="Y1072" s="92">
        <v>3.7273273449131518E-4</v>
      </c>
      <c r="Z1072" s="92">
        <v>-2.2919592803970226E-4</v>
      </c>
      <c r="AA1072" s="92">
        <v>3.4133910669975192E-4</v>
      </c>
      <c r="AB1072" s="92">
        <v>-2.9756487593052117E-5</v>
      </c>
      <c r="AC1072" s="119"/>
      <c r="AD1072" s="119"/>
      <c r="AE1072" s="120"/>
      <c r="AF1072" s="119"/>
      <c r="AG1072" s="119"/>
      <c r="AH1072" s="120"/>
      <c r="AI1072" s="121"/>
      <c r="AJ1072" s="121"/>
      <c r="AK1072" s="121"/>
      <c r="AL1072" s="121"/>
      <c r="AM1072" s="122"/>
      <c r="AN1072" s="121"/>
      <c r="AP1072" s="87"/>
    </row>
    <row r="1073" spans="1:42">
      <c r="A1073" s="71" t="s">
        <v>43</v>
      </c>
      <c r="B1073" s="72" t="s">
        <v>44</v>
      </c>
      <c r="C1073" s="71" t="s">
        <v>45</v>
      </c>
      <c r="D1073" s="72" t="s">
        <v>46</v>
      </c>
      <c r="E1073" s="71" t="s">
        <v>102</v>
      </c>
      <c r="F1073" s="72" t="s">
        <v>545</v>
      </c>
      <c r="G1073" s="77"/>
      <c r="H1073" s="72" t="str">
        <f t="shared" si="23"/>
        <v xml:space="preserve">Embraco Isobutane 50 Hz 230V EMZ46CLC   </v>
      </c>
      <c r="I1073" s="91">
        <v>545.39539749974131</v>
      </c>
      <c r="J1073" s="92">
        <v>19.602816522989841</v>
      </c>
      <c r="K1073" s="92">
        <v>-2.9020099101192902</v>
      </c>
      <c r="L1073" s="92">
        <v>0.24627154509200166</v>
      </c>
      <c r="M1073" s="92">
        <v>-0.11162991380494161</v>
      </c>
      <c r="N1073" s="92">
        <v>-2.1938131153805562E-2</v>
      </c>
      <c r="O1073" s="92">
        <v>9.8297516784525839E-4</v>
      </c>
      <c r="P1073" s="92">
        <v>-1.2297211508652108E-3</v>
      </c>
      <c r="Q1073" s="92">
        <v>-1.9970011563654773E-4</v>
      </c>
      <c r="R1073" s="92">
        <v>7.2230447191646362E-5</v>
      </c>
      <c r="S1073" s="92">
        <v>52.695430849383264</v>
      </c>
      <c r="T1073" s="92">
        <v>0.92343352409119306</v>
      </c>
      <c r="U1073" s="92">
        <v>1.8101315299500811</v>
      </c>
      <c r="V1073" s="92">
        <v>1.3596838772930997E-2</v>
      </c>
      <c r="W1073" s="92">
        <v>3.2590760782043988E-2</v>
      </c>
      <c r="X1073" s="92">
        <v>3.949446868785518E-3</v>
      </c>
      <c r="Y1073" s="92">
        <v>1.6615991766732977E-4</v>
      </c>
      <c r="Z1073" s="92">
        <v>2.0543042188906607E-4</v>
      </c>
      <c r="AA1073" s="92">
        <v>2.3121848535238507E-4</v>
      </c>
      <c r="AB1073" s="92">
        <v>-7.9282502175625808E-5</v>
      </c>
      <c r="AC1073" s="119"/>
      <c r="AD1073" s="119"/>
      <c r="AE1073" s="120"/>
      <c r="AF1073" s="119"/>
      <c r="AG1073" s="119"/>
      <c r="AH1073" s="120"/>
      <c r="AI1073" s="121"/>
      <c r="AJ1073" s="121"/>
      <c r="AK1073" s="121"/>
      <c r="AL1073" s="121"/>
      <c r="AM1073" s="122"/>
      <c r="AN1073" s="121"/>
      <c r="AP1073" s="87"/>
    </row>
    <row r="1074" spans="1:42">
      <c r="A1074" s="71" t="s">
        <v>43</v>
      </c>
      <c r="B1074" s="72" t="s">
        <v>108</v>
      </c>
      <c r="C1074" s="71" t="s">
        <v>45</v>
      </c>
      <c r="D1074" s="72" t="s">
        <v>109</v>
      </c>
      <c r="E1074" s="71" t="s">
        <v>102</v>
      </c>
      <c r="F1074" s="72" t="s">
        <v>546</v>
      </c>
      <c r="G1074" s="77"/>
      <c r="H1074" s="72" t="str">
        <f t="shared" si="23"/>
        <v>Embraco Propane 50 Hz 220V EMT6144U</v>
      </c>
      <c r="I1074" s="91">
        <v>3.5171431054094873</v>
      </c>
      <c r="J1074" s="92">
        <v>26.357528203309244</v>
      </c>
      <c r="K1074" s="92">
        <v>49.000017623759881</v>
      </c>
      <c r="L1074" s="92">
        <v>0.30093911953152114</v>
      </c>
      <c r="M1074" s="92">
        <v>-0.13680225291897219</v>
      </c>
      <c r="N1074" s="92">
        <v>-1.2577963093733369</v>
      </c>
      <c r="O1074" s="92">
        <v>4.1572290749937457E-4</v>
      </c>
      <c r="P1074" s="92">
        <v>-1.6055554876094624E-3</v>
      </c>
      <c r="Q1074" s="92">
        <v>-1.0576500216375408E-3</v>
      </c>
      <c r="R1074" s="92">
        <v>9.2112913963059515E-3</v>
      </c>
      <c r="S1074" s="92">
        <v>0.54890757026163584</v>
      </c>
      <c r="T1074" s="92">
        <v>-3.0786277962991302E-2</v>
      </c>
      <c r="U1074" s="92">
        <v>8.0298140329926859</v>
      </c>
      <c r="V1074" s="92">
        <v>-3.7875045736541761E-2</v>
      </c>
      <c r="W1074" s="92">
        <v>1.3717957979755319E-3</v>
      </c>
      <c r="X1074" s="92">
        <v>-0.12843279910641631</v>
      </c>
      <c r="Y1074" s="92">
        <v>-3.0995430758866405E-4</v>
      </c>
      <c r="Z1074" s="92">
        <v>4.2050114624455752E-4</v>
      </c>
      <c r="AA1074" s="92">
        <v>8.6490400142959906E-4</v>
      </c>
      <c r="AB1074" s="92">
        <v>9.7506315590683266E-4</v>
      </c>
      <c r="AC1074" s="119">
        <v>3.497816046730693E-2</v>
      </c>
      <c r="AD1074" s="119">
        <v>1.1465063476470136</v>
      </c>
      <c r="AE1074" s="120">
        <v>1.3347020370381357E-3</v>
      </c>
      <c r="AF1074" s="119">
        <v>3.3763262855769284E-2</v>
      </c>
      <c r="AG1074" s="119">
        <v>1.1228323024505853</v>
      </c>
      <c r="AH1074" s="120">
        <v>1.9275595278918148E-3</v>
      </c>
      <c r="AI1074" s="121">
        <v>-20</v>
      </c>
      <c r="AJ1074" s="121">
        <v>10</v>
      </c>
      <c r="AK1074" s="121">
        <v>35</v>
      </c>
      <c r="AL1074" s="121">
        <v>55</v>
      </c>
      <c r="AM1074" s="122">
        <v>41946</v>
      </c>
      <c r="AN1074" s="121" t="s">
        <v>547</v>
      </c>
      <c r="AP1074" s="87"/>
    </row>
    <row r="1075" spans="1:42">
      <c r="A1075" s="71" t="s">
        <v>43</v>
      </c>
      <c r="B1075" s="72" t="s">
        <v>100</v>
      </c>
      <c r="C1075" s="71" t="s">
        <v>105</v>
      </c>
      <c r="D1075" s="72" t="s">
        <v>109</v>
      </c>
      <c r="E1075" s="71" t="s">
        <v>102</v>
      </c>
      <c r="F1075" s="72" t="s">
        <v>548</v>
      </c>
      <c r="G1075" s="77"/>
      <c r="H1075" s="72" t="str">
        <f t="shared" si="23"/>
        <v>Embraco R134a 60 Hz 220V EG75HLR - RSIR</v>
      </c>
      <c r="I1075" s="91">
        <v>979.07149148554493</v>
      </c>
      <c r="J1075" s="92">
        <v>35.331129987357642</v>
      </c>
      <c r="K1075" s="92">
        <v>-5.1063206148729536</v>
      </c>
      <c r="L1075" s="92">
        <v>0.43048216553243362</v>
      </c>
      <c r="M1075" s="92">
        <v>-0.15199366943311896</v>
      </c>
      <c r="N1075" s="92">
        <v>-3.8781863939198968E-2</v>
      </c>
      <c r="O1075" s="92">
        <v>7.9826305848710265E-4</v>
      </c>
      <c r="P1075" s="92">
        <v>-2.8348612942819804E-3</v>
      </c>
      <c r="Q1075" s="92">
        <v>-1.3992055652030607E-3</v>
      </c>
      <c r="R1075" s="92">
        <v>-1.9371411579742647E-5</v>
      </c>
      <c r="S1075" s="92">
        <v>196.83905040208506</v>
      </c>
      <c r="T1075" s="92">
        <v>1.6854421459101274</v>
      </c>
      <c r="U1075" s="92">
        <v>0.12185192022298105</v>
      </c>
      <c r="V1075" s="92">
        <v>-0.12194993305789908</v>
      </c>
      <c r="W1075" s="92">
        <v>-2.3151692597366904E-2</v>
      </c>
      <c r="X1075" s="92">
        <v>3.1397580192601228E-2</v>
      </c>
      <c r="Y1075" s="92">
        <v>-4.9031226847095707E-4</v>
      </c>
      <c r="Z1075" s="92">
        <v>2.3160275915730787E-3</v>
      </c>
      <c r="AA1075" s="92">
        <v>2.0042708163846836E-3</v>
      </c>
      <c r="AB1075" s="92">
        <v>1.8218822014283309E-5</v>
      </c>
      <c r="AC1075" s="119">
        <v>4.4999999999999998E-2</v>
      </c>
      <c r="AD1075" s="119" t="s">
        <v>549</v>
      </c>
      <c r="AE1075" s="120" t="s">
        <v>549</v>
      </c>
      <c r="AF1075" s="119">
        <v>5.3999999999999999E-2</v>
      </c>
      <c r="AG1075" s="119" t="s">
        <v>549</v>
      </c>
      <c r="AH1075" s="120"/>
      <c r="AI1075" s="121"/>
      <c r="AJ1075" s="121"/>
      <c r="AK1075" s="121"/>
      <c r="AL1075" s="121"/>
      <c r="AM1075" s="122"/>
      <c r="AN1075" s="121"/>
      <c r="AP1075" s="87"/>
    </row>
    <row r="1076" spans="1:42">
      <c r="A1076" s="71" t="s">
        <v>43</v>
      </c>
      <c r="B1076" s="72" t="s">
        <v>100</v>
      </c>
      <c r="C1076" s="71" t="s">
        <v>105</v>
      </c>
      <c r="D1076" s="71" t="s">
        <v>106</v>
      </c>
      <c r="E1076" s="71" t="s">
        <v>102</v>
      </c>
      <c r="F1076" s="72" t="s">
        <v>548</v>
      </c>
      <c r="G1076" s="77"/>
      <c r="H1076" s="72" t="str">
        <f t="shared" si="23"/>
        <v>Embraco R134a 60 Hz 127V EG75HLR - RSIR</v>
      </c>
      <c r="I1076" s="91">
        <v>979.07149148554493</v>
      </c>
      <c r="J1076" s="92">
        <v>35.331129987357642</v>
      </c>
      <c r="K1076" s="92">
        <v>-5.1063206148729536</v>
      </c>
      <c r="L1076" s="92">
        <v>0.43048216553243362</v>
      </c>
      <c r="M1076" s="92">
        <v>-0.15199366943311896</v>
      </c>
      <c r="N1076" s="92">
        <v>-3.8781863939198968E-2</v>
      </c>
      <c r="O1076" s="92">
        <v>7.9826305848710265E-4</v>
      </c>
      <c r="P1076" s="92">
        <v>-2.8348612942819804E-3</v>
      </c>
      <c r="Q1076" s="92">
        <v>-1.3992055652030607E-3</v>
      </c>
      <c r="R1076" s="92">
        <v>-1.9371411579742647E-5</v>
      </c>
      <c r="S1076" s="92">
        <v>196.83307373086797</v>
      </c>
      <c r="T1076" s="92">
        <v>1.686157354113442</v>
      </c>
      <c r="U1076" s="92">
        <v>0.12223341124167436</v>
      </c>
      <c r="V1076" s="92">
        <v>-0.12194060431206145</v>
      </c>
      <c r="W1076" s="92">
        <v>-2.3170526299001445E-2</v>
      </c>
      <c r="X1076" s="92">
        <v>3.1391398504196179E-2</v>
      </c>
      <c r="Y1076" s="92">
        <v>-4.9032454894870799E-4</v>
      </c>
      <c r="Z1076" s="92">
        <v>2.3158437100905447E-3</v>
      </c>
      <c r="AA1076" s="92">
        <v>2.0043749997122307E-3</v>
      </c>
      <c r="AB1076" s="92">
        <v>1.8243035519073317E-5</v>
      </c>
      <c r="AC1076" s="119">
        <v>4.4999999999999998E-2</v>
      </c>
      <c r="AD1076" s="119" t="s">
        <v>549</v>
      </c>
      <c r="AE1076" s="120" t="s">
        <v>549</v>
      </c>
      <c r="AF1076" s="119">
        <v>5.3999999999999999E-2</v>
      </c>
      <c r="AG1076" s="119" t="s">
        <v>549</v>
      </c>
      <c r="AH1076" s="120"/>
      <c r="AI1076" s="121"/>
      <c r="AJ1076" s="121"/>
      <c r="AK1076" s="121"/>
      <c r="AL1076" s="121"/>
      <c r="AM1076" s="122"/>
      <c r="AN1076" s="121"/>
      <c r="AP1076" s="87"/>
    </row>
    <row r="1077" spans="1:42">
      <c r="A1077" s="71" t="s">
        <v>43</v>
      </c>
      <c r="B1077" s="72" t="s">
        <v>100</v>
      </c>
      <c r="C1077" s="71" t="s">
        <v>45</v>
      </c>
      <c r="D1077" s="72" t="s">
        <v>46</v>
      </c>
      <c r="E1077" s="71" t="s">
        <v>102</v>
      </c>
      <c r="F1077" s="72" t="s">
        <v>510</v>
      </c>
      <c r="G1077" s="77"/>
      <c r="H1077" s="72" t="str">
        <f t="shared" si="23"/>
        <v>Embraco R134a 50 Hz 230V EGAS100CLP - PTCSIR</v>
      </c>
      <c r="I1077" s="91">
        <v>972.52023469569781</v>
      </c>
      <c r="J1077" s="92">
        <v>42.942787960863789</v>
      </c>
      <c r="K1077" s="92">
        <v>-7.1295988207499036E-2</v>
      </c>
      <c r="L1077" s="92">
        <v>0.4382693323949749</v>
      </c>
      <c r="M1077" s="92">
        <v>-0.47716219811061616</v>
      </c>
      <c r="N1077" s="92">
        <v>-0.27025327905951713</v>
      </c>
      <c r="O1077" s="92">
        <v>3.4724577411149771E-4</v>
      </c>
      <c r="P1077" s="92">
        <v>-3.3021488610661186E-3</v>
      </c>
      <c r="Q1077" s="92">
        <v>1.6729721510153903E-3</v>
      </c>
      <c r="R1077" s="92">
        <v>2.496505871286474E-3</v>
      </c>
      <c r="S1077" s="92">
        <v>220.69150112897631</v>
      </c>
      <c r="T1077" s="92">
        <v>5.7545825749623978</v>
      </c>
      <c r="U1077" s="92">
        <v>-6.7381005035646341E-2</v>
      </c>
      <c r="V1077" s="92">
        <v>5.415561583423624E-2</v>
      </c>
      <c r="W1077" s="92">
        <v>-5.8973078235551507E-2</v>
      </c>
      <c r="X1077" s="92">
        <v>2.1222939545244741E-2</v>
      </c>
      <c r="Y1077" s="92">
        <v>3.8714275678265031E-4</v>
      </c>
      <c r="Z1077" s="92">
        <v>-7.9581648128600752E-5</v>
      </c>
      <c r="AA1077" s="92">
        <v>8.876381051862003E-4</v>
      </c>
      <c r="AB1077" s="92">
        <v>-7.211177576507543E-5</v>
      </c>
      <c r="AC1077" s="119">
        <v>0.318</v>
      </c>
      <c r="AD1077" s="119" t="s">
        <v>549</v>
      </c>
      <c r="AE1077" s="120" t="s">
        <v>549</v>
      </c>
      <c r="AF1077" s="119">
        <v>4.3999999999999997E-2</v>
      </c>
      <c r="AG1077" s="119" t="s">
        <v>549</v>
      </c>
      <c r="AH1077" s="120"/>
      <c r="AI1077" s="121"/>
      <c r="AJ1077" s="121"/>
      <c r="AK1077" s="121"/>
      <c r="AL1077" s="121"/>
      <c r="AM1077" s="122"/>
      <c r="AN1077" s="121"/>
      <c r="AP1077" s="87"/>
    </row>
    <row r="1078" spans="1:42">
      <c r="A1078" s="71" t="s">
        <v>43</v>
      </c>
      <c r="B1078" s="72" t="s">
        <v>100</v>
      </c>
      <c r="C1078" s="71" t="s">
        <v>105</v>
      </c>
      <c r="D1078" s="72" t="s">
        <v>109</v>
      </c>
      <c r="E1078" s="71" t="s">
        <v>102</v>
      </c>
      <c r="F1078" s="72" t="s">
        <v>550</v>
      </c>
      <c r="G1078" s="77"/>
      <c r="H1078" s="72" t="str">
        <f t="shared" si="23"/>
        <v>Embraco R134a 60 Hz 220V EGAS100CLP - RSIR</v>
      </c>
      <c r="I1078" s="91">
        <v>965.50417410254022</v>
      </c>
      <c r="J1078" s="92">
        <v>36.032612250353409</v>
      </c>
      <c r="K1078" s="92">
        <v>-0.11251910981761554</v>
      </c>
      <c r="L1078" s="92">
        <v>0.30197777096524864</v>
      </c>
      <c r="M1078" s="92">
        <v>-0.17474717577402532</v>
      </c>
      <c r="N1078" s="92">
        <v>-0.10972806017434801</v>
      </c>
      <c r="O1078" s="92">
        <v>-2.9226857270210718E-3</v>
      </c>
      <c r="P1078" s="92">
        <v>-3.9743021126604503E-3</v>
      </c>
      <c r="Q1078" s="92">
        <v>-1.2509881841904391E-3</v>
      </c>
      <c r="R1078" s="92">
        <v>3.992225222127796E-4</v>
      </c>
      <c r="S1078" s="92">
        <v>-75.619919227886513</v>
      </c>
      <c r="T1078" s="92">
        <v>-7.0799873744585087</v>
      </c>
      <c r="U1078" s="92">
        <v>10.387404531451766</v>
      </c>
      <c r="V1078" s="92">
        <v>-8.7759259770253617E-2</v>
      </c>
      <c r="W1078" s="92">
        <v>0.32407475532178903</v>
      </c>
      <c r="X1078" s="92">
        <v>-3.3192358075090959E-2</v>
      </c>
      <c r="Y1078" s="92">
        <v>-8.3647978655748277E-4</v>
      </c>
      <c r="Z1078" s="92">
        <v>1.3215465738924315E-3</v>
      </c>
      <c r="AA1078" s="92">
        <v>-1.4614066952134525E-3</v>
      </c>
      <c r="AB1078" s="92">
        <v>-3.2966801597064102E-4</v>
      </c>
      <c r="AC1078" s="119">
        <v>0.09</v>
      </c>
      <c r="AD1078" s="119" t="s">
        <v>549</v>
      </c>
      <c r="AE1078" s="120" t="s">
        <v>549</v>
      </c>
      <c r="AF1078" s="119">
        <v>9.9000000000000005E-2</v>
      </c>
      <c r="AG1078" s="119" t="s">
        <v>549</v>
      </c>
      <c r="AH1078" s="120"/>
      <c r="AI1078" s="121"/>
      <c r="AJ1078" s="121"/>
      <c r="AK1078" s="121"/>
      <c r="AL1078" s="121"/>
      <c r="AM1078" s="122"/>
      <c r="AN1078" s="121"/>
      <c r="AP1078" s="87"/>
    </row>
    <row r="1079" spans="1:42">
      <c r="A1079" s="71" t="s">
        <v>43</v>
      </c>
      <c r="B1079" s="72" t="s">
        <v>100</v>
      </c>
      <c r="C1079" s="71" t="s">
        <v>45</v>
      </c>
      <c r="D1079" s="72" t="s">
        <v>46</v>
      </c>
      <c r="E1079" s="71" t="s">
        <v>102</v>
      </c>
      <c r="F1079" s="72" t="s">
        <v>551</v>
      </c>
      <c r="G1079" s="77"/>
      <c r="H1079" s="72" t="str">
        <f t="shared" si="23"/>
        <v>Embraco R134a 50 Hz 230V EGAS100HLR - RSIR</v>
      </c>
      <c r="I1079" s="91">
        <v>1082.0535415542856</v>
      </c>
      <c r="J1079" s="92">
        <v>43.42188186811515</v>
      </c>
      <c r="K1079" s="92">
        <v>-8.5117363370978438</v>
      </c>
      <c r="L1079" s="92">
        <v>0.67597545459933051</v>
      </c>
      <c r="M1079" s="92">
        <v>-0.3347418682229768</v>
      </c>
      <c r="N1079" s="92">
        <v>-3.0860724336278338E-3</v>
      </c>
      <c r="O1079" s="92">
        <v>3.1690279272579835E-3</v>
      </c>
      <c r="P1079" s="92">
        <v>-5.16143090740704E-3</v>
      </c>
      <c r="Q1079" s="92">
        <v>-1.507403077365911E-4</v>
      </c>
      <c r="R1079" s="92">
        <v>-1.9735113659736828E-5</v>
      </c>
      <c r="S1079" s="92">
        <v>223.81128983018417</v>
      </c>
      <c r="T1079" s="92">
        <v>9.4986888592118621</v>
      </c>
      <c r="U1079" s="92">
        <v>1.2268795530776009E-2</v>
      </c>
      <c r="V1079" s="92">
        <v>8.6008859081794814E-2</v>
      </c>
      <c r="W1079" s="92">
        <v>-0.19378873866628638</v>
      </c>
      <c r="X1079" s="92">
        <v>2.1904832417334295E-2</v>
      </c>
      <c r="Y1079" s="92">
        <v>7.4309417524459328E-4</v>
      </c>
      <c r="Z1079" s="92">
        <v>-3.3541039352259571E-4</v>
      </c>
      <c r="AA1079" s="92">
        <v>2.7124263737210155E-3</v>
      </c>
      <c r="AB1079" s="92">
        <v>6.5762155887002374E-5</v>
      </c>
      <c r="AC1079" s="119">
        <v>3.4000000000000002E-2</v>
      </c>
      <c r="AD1079" s="119" t="s">
        <v>549</v>
      </c>
      <c r="AE1079" s="120" t="s">
        <v>549</v>
      </c>
      <c r="AF1079" s="119">
        <v>4.4999999999999998E-2</v>
      </c>
      <c r="AG1079" s="119" t="s">
        <v>549</v>
      </c>
      <c r="AH1079" s="120"/>
      <c r="AI1079" s="121"/>
      <c r="AJ1079" s="121"/>
      <c r="AK1079" s="121"/>
      <c r="AL1079" s="121"/>
      <c r="AM1079" s="122"/>
      <c r="AN1079" s="121"/>
      <c r="AP1079" s="87"/>
    </row>
    <row r="1080" spans="1:42">
      <c r="A1080" s="71" t="s">
        <v>43</v>
      </c>
      <c r="B1080" s="72" t="s">
        <v>100</v>
      </c>
      <c r="C1080" s="71" t="s">
        <v>105</v>
      </c>
      <c r="D1080" s="72" t="s">
        <v>109</v>
      </c>
      <c r="E1080" s="71" t="s">
        <v>102</v>
      </c>
      <c r="F1080" s="72" t="s">
        <v>551</v>
      </c>
      <c r="G1080" s="77"/>
      <c r="H1080" s="72" t="str">
        <f t="shared" si="23"/>
        <v>Embraco R134a 60 Hz 220V EGAS100HLR - RSIR</v>
      </c>
      <c r="I1080" s="91">
        <v>1134.2721205628113</v>
      </c>
      <c r="J1080" s="92">
        <v>52.37583670701467</v>
      </c>
      <c r="K1080" s="92">
        <v>0.16833713346810125</v>
      </c>
      <c r="L1080" s="92">
        <v>0.79422755999277073</v>
      </c>
      <c r="M1080" s="92">
        <v>-0.40328898003794722</v>
      </c>
      <c r="N1080" s="92">
        <v>-0.19922240871766531</v>
      </c>
      <c r="O1080" s="92">
        <v>3.8959626842174316E-3</v>
      </c>
      <c r="P1080" s="92">
        <v>-5.686504077172928E-3</v>
      </c>
      <c r="Q1080" s="92">
        <v>-1.7738097051948755E-5</v>
      </c>
      <c r="R1080" s="92">
        <v>1.1860304729606607E-3</v>
      </c>
      <c r="S1080" s="92">
        <v>258.1537256728393</v>
      </c>
      <c r="T1080" s="92">
        <v>10.099220786471685</v>
      </c>
      <c r="U1080" s="92">
        <v>-3.7778187713433511E-2</v>
      </c>
      <c r="V1080" s="92">
        <v>8.3305854504503091E-2</v>
      </c>
      <c r="W1080" s="92">
        <v>-0.20340941973744697</v>
      </c>
      <c r="X1080" s="92">
        <v>2.9116734833758918E-2</v>
      </c>
      <c r="Y1080" s="92">
        <v>5.85327903441955E-4</v>
      </c>
      <c r="Z1080" s="92">
        <v>-4.5445362039020867E-4</v>
      </c>
      <c r="AA1080" s="92">
        <v>2.9411418328897988E-3</v>
      </c>
      <c r="AB1080" s="92">
        <v>3.9315440027106249E-5</v>
      </c>
      <c r="AC1080" s="119">
        <v>5.8999999999999997E-2</v>
      </c>
      <c r="AD1080" s="119" t="s">
        <v>549</v>
      </c>
      <c r="AE1080" s="120" t="s">
        <v>549</v>
      </c>
      <c r="AF1080" s="119">
        <v>5.6000000000000001E-2</v>
      </c>
      <c r="AG1080" s="119" t="s">
        <v>549</v>
      </c>
      <c r="AH1080" s="120"/>
      <c r="AI1080" s="121"/>
      <c r="AJ1080" s="121"/>
      <c r="AK1080" s="121"/>
      <c r="AL1080" s="121"/>
      <c r="AM1080" s="122"/>
      <c r="AN1080" s="121"/>
      <c r="AP1080" s="87"/>
    </row>
    <row r="1081" spans="1:42">
      <c r="A1081" s="71" t="s">
        <v>43</v>
      </c>
      <c r="B1081" s="72" t="s">
        <v>100</v>
      </c>
      <c r="C1081" s="71" t="s">
        <v>105</v>
      </c>
      <c r="D1081" s="71" t="s">
        <v>106</v>
      </c>
      <c r="E1081" s="71" t="s">
        <v>102</v>
      </c>
      <c r="F1081" s="72" t="s">
        <v>551</v>
      </c>
      <c r="G1081" s="77"/>
      <c r="H1081" s="72" t="str">
        <f t="shared" si="23"/>
        <v>Embraco R134a 60 Hz 127V EGAS100HLR - RSIR</v>
      </c>
      <c r="I1081" s="91">
        <v>1375.3854740302202</v>
      </c>
      <c r="J1081" s="92">
        <v>53.299429498262832</v>
      </c>
      <c r="K1081" s="92">
        <v>-13.029233145534997</v>
      </c>
      <c r="L1081" s="92">
        <v>0.80577854922154468</v>
      </c>
      <c r="M1081" s="92">
        <v>-0.42811086311436641</v>
      </c>
      <c r="N1081" s="92">
        <v>4.0496082215644595E-2</v>
      </c>
      <c r="O1081" s="92">
        <v>3.858714933627801E-3</v>
      </c>
      <c r="P1081" s="92">
        <v>-5.9511236325798548E-3</v>
      </c>
      <c r="Q1081" s="92">
        <v>1.0165149194868248E-4</v>
      </c>
      <c r="R1081" s="92">
        <v>-2.6249985888930134E-4</v>
      </c>
      <c r="S1081" s="92">
        <v>45.255667171120322</v>
      </c>
      <c r="T1081" s="92">
        <v>10.225903879851417</v>
      </c>
      <c r="U1081" s="92">
        <v>11.996086569544966</v>
      </c>
      <c r="V1081" s="92">
        <v>7.6785714385331841E-2</v>
      </c>
      <c r="W1081" s="92">
        <v>-0.20949999991295426</v>
      </c>
      <c r="X1081" s="92">
        <v>-0.19230025182120919</v>
      </c>
      <c r="Y1081" s="92">
        <v>3.2098765520415488E-4</v>
      </c>
      <c r="Z1081" s="92">
        <v>-6.4285714357439601E-4</v>
      </c>
      <c r="AA1081" s="92">
        <v>2.9142857132178519E-3</v>
      </c>
      <c r="AB1081" s="92">
        <v>1.3709394770527949E-3</v>
      </c>
      <c r="AC1081" s="119">
        <v>5.5713400470848808E-2</v>
      </c>
      <c r="AD1081" s="119" t="s">
        <v>549</v>
      </c>
      <c r="AE1081" s="120" t="s">
        <v>549</v>
      </c>
      <c r="AF1081" s="119">
        <v>6.8010094052720141E-2</v>
      </c>
      <c r="AG1081" s="119" t="s">
        <v>549</v>
      </c>
      <c r="AH1081" s="120"/>
      <c r="AI1081" s="121"/>
      <c r="AJ1081" s="121"/>
      <c r="AK1081" s="121"/>
      <c r="AL1081" s="121"/>
      <c r="AM1081" s="122"/>
      <c r="AN1081" s="121"/>
      <c r="AP1081" s="87"/>
    </row>
    <row r="1082" spans="1:42">
      <c r="A1082" s="71" t="s">
        <v>43</v>
      </c>
      <c r="B1082" s="72" t="s">
        <v>100</v>
      </c>
      <c r="C1082" s="71" t="s">
        <v>105</v>
      </c>
      <c r="D1082" s="72" t="s">
        <v>109</v>
      </c>
      <c r="E1082" s="71" t="s">
        <v>102</v>
      </c>
      <c r="F1082" s="72" t="s">
        <v>552</v>
      </c>
      <c r="G1082" s="77"/>
      <c r="H1082" s="72" t="str">
        <f t="shared" si="23"/>
        <v>Embraco R134a 60 Hz 220V EGAS80CLP - RSIR</v>
      </c>
      <c r="I1082" s="91">
        <v>819.39869062554419</v>
      </c>
      <c r="J1082" s="92">
        <v>34.744842860413641</v>
      </c>
      <c r="K1082" s="92">
        <v>-5.0211677246370677E-2</v>
      </c>
      <c r="L1082" s="92">
        <v>0.56420182137017982</v>
      </c>
      <c r="M1082" s="92">
        <v>-0.17897122606848445</v>
      </c>
      <c r="N1082" s="92">
        <v>-0.13103630434307781</v>
      </c>
      <c r="O1082" s="92">
        <v>3.4438991992477136E-3</v>
      </c>
      <c r="P1082" s="92">
        <v>-2.9680917346454161E-3</v>
      </c>
      <c r="Q1082" s="92">
        <v>-5.5053079021100549E-4</v>
      </c>
      <c r="R1082" s="92">
        <v>8.8638144983027372E-4</v>
      </c>
      <c r="S1082" s="92">
        <v>160.37232100402591</v>
      </c>
      <c r="T1082" s="92">
        <v>-3.5520309047153281E-2</v>
      </c>
      <c r="U1082" s="92">
        <v>-0.67170422808427666</v>
      </c>
      <c r="V1082" s="92">
        <v>-5.4547524531920973E-2</v>
      </c>
      <c r="W1082" s="92">
        <v>4.2094247345162941E-2</v>
      </c>
      <c r="X1082" s="92">
        <v>6.225332789395141E-2</v>
      </c>
      <c r="Y1082" s="92">
        <v>-1.132350612585545E-4</v>
      </c>
      <c r="Z1082" s="92">
        <v>1.2127430467776721E-3</v>
      </c>
      <c r="AA1082" s="92">
        <v>9.6585182745858829E-4</v>
      </c>
      <c r="AB1082" s="92">
        <v>-3.0509424100720627E-4</v>
      </c>
      <c r="AC1082" s="119">
        <v>0.29899999999999999</v>
      </c>
      <c r="AD1082" s="119" t="s">
        <v>549</v>
      </c>
      <c r="AE1082" s="120" t="s">
        <v>549</v>
      </c>
      <c r="AF1082" s="119">
        <v>5.1999999999999998E-2</v>
      </c>
      <c r="AG1082" s="119" t="s">
        <v>549</v>
      </c>
      <c r="AH1082" s="120"/>
      <c r="AI1082" s="121"/>
      <c r="AJ1082" s="121"/>
      <c r="AK1082" s="121"/>
      <c r="AL1082" s="121"/>
      <c r="AM1082" s="122"/>
      <c r="AN1082" s="121"/>
      <c r="AP1082" s="87"/>
    </row>
    <row r="1083" spans="1:42">
      <c r="A1083" s="71" t="s">
        <v>43</v>
      </c>
      <c r="B1083" s="72" t="s">
        <v>100</v>
      </c>
      <c r="C1083" s="71" t="s">
        <v>105</v>
      </c>
      <c r="D1083" s="71" t="s">
        <v>106</v>
      </c>
      <c r="E1083" s="71" t="s">
        <v>102</v>
      </c>
      <c r="F1083" s="72" t="s">
        <v>553</v>
      </c>
      <c r="G1083" s="77"/>
      <c r="H1083" s="72" t="str">
        <f t="shared" si="23"/>
        <v xml:space="preserve">Embraco R134a 60 Hz 127V EGAS80HLP </v>
      </c>
      <c r="I1083" s="91">
        <v>831.10439046622025</v>
      </c>
      <c r="J1083" s="92">
        <v>26.963895633806043</v>
      </c>
      <c r="K1083" s="92">
        <v>0.16403625011895345</v>
      </c>
      <c r="L1083" s="92">
        <v>0.4023583432936737</v>
      </c>
      <c r="M1083" s="92">
        <v>8.1077741315058793E-2</v>
      </c>
      <c r="N1083" s="92">
        <v>-9.1151086377847634E-2</v>
      </c>
      <c r="O1083" s="92">
        <v>3.3753417447006163E-3</v>
      </c>
      <c r="P1083" s="92">
        <v>3.1326167017482439E-4</v>
      </c>
      <c r="Q1083" s="92">
        <v>-1.8706853293591341E-3</v>
      </c>
      <c r="R1083" s="92">
        <v>2.7122832628759648E-4</v>
      </c>
      <c r="S1083" s="92">
        <v>19.259397383109775</v>
      </c>
      <c r="T1083" s="92">
        <v>-11.569192641230464</v>
      </c>
      <c r="U1083" s="92">
        <v>4.6536703136054189</v>
      </c>
      <c r="V1083" s="92">
        <v>-0.14171197143692935</v>
      </c>
      <c r="W1083" s="92">
        <v>0.41123259750708813</v>
      </c>
      <c r="X1083" s="92">
        <v>3.0391627435630907E-2</v>
      </c>
      <c r="Y1083" s="92">
        <v>-4.0886666811131863E-4</v>
      </c>
      <c r="Z1083" s="92">
        <v>2.1947437435202578E-3</v>
      </c>
      <c r="AA1083" s="92">
        <v>-1.8968625376210874E-3</v>
      </c>
      <c r="AB1083" s="92">
        <v>-4.9471933581928223E-4</v>
      </c>
      <c r="AC1083" s="119"/>
      <c r="AD1083" s="119"/>
      <c r="AE1083" s="120"/>
      <c r="AF1083" s="119"/>
      <c r="AG1083" s="119"/>
      <c r="AH1083" s="120"/>
      <c r="AI1083" s="121"/>
      <c r="AJ1083" s="121"/>
      <c r="AK1083" s="121"/>
      <c r="AL1083" s="121"/>
      <c r="AM1083" s="122"/>
      <c r="AN1083" s="121"/>
      <c r="AP1083" s="87"/>
    </row>
    <row r="1084" spans="1:42">
      <c r="A1084" s="71" t="s">
        <v>43</v>
      </c>
      <c r="B1084" s="72" t="s">
        <v>100</v>
      </c>
      <c r="C1084" s="71" t="s">
        <v>105</v>
      </c>
      <c r="D1084" s="72" t="s">
        <v>101</v>
      </c>
      <c r="E1084" s="71" t="s">
        <v>102</v>
      </c>
      <c r="F1084" s="72" t="s">
        <v>554</v>
      </c>
      <c r="G1084" s="77"/>
      <c r="H1084" s="72" t="str">
        <f t="shared" si="23"/>
        <v>Embraco R134a 60 Hz 115V EGAS80HLR</v>
      </c>
      <c r="I1084" s="91">
        <v>1060.0974993203911</v>
      </c>
      <c r="J1084" s="92">
        <v>28.575244964063984</v>
      </c>
      <c r="K1084" s="92">
        <v>-12.013940881045032</v>
      </c>
      <c r="L1084" s="92">
        <v>0.39224922878259677</v>
      </c>
      <c r="M1084" s="92">
        <v>1.3578149735348165E-2</v>
      </c>
      <c r="N1084" s="92">
        <v>0.12018857400790524</v>
      </c>
      <c r="O1084" s="92">
        <v>3.0333088875346657E-3</v>
      </c>
      <c r="P1084" s="92">
        <v>7.6766589846653322E-5</v>
      </c>
      <c r="Q1084" s="92">
        <v>-1.3439975888258949E-3</v>
      </c>
      <c r="R1084" s="92">
        <v>-9.4257346554630121E-4</v>
      </c>
      <c r="S1084" s="92">
        <v>257.51380641460378</v>
      </c>
      <c r="T1084" s="92">
        <v>2.9444890586445052</v>
      </c>
      <c r="U1084" s="92">
        <v>-3.9103739789928382</v>
      </c>
      <c r="V1084" s="92">
        <v>-6.3958463918594485E-2</v>
      </c>
      <c r="W1084" s="92">
        <v>-3.2133152233311132E-2</v>
      </c>
      <c r="X1084" s="92">
        <v>9.9282250082612225E-2</v>
      </c>
      <c r="Y1084" s="92">
        <v>-5.6055526894687477E-4</v>
      </c>
      <c r="Z1084" s="92">
        <v>1.2036677128850234E-3</v>
      </c>
      <c r="AA1084" s="92">
        <v>1.4031694177011895E-3</v>
      </c>
      <c r="AB1084" s="92">
        <v>-4.9920268927362214E-4</v>
      </c>
      <c r="AC1084" s="119"/>
      <c r="AD1084" s="119"/>
      <c r="AE1084" s="120"/>
      <c r="AF1084" s="119"/>
      <c r="AG1084" s="119"/>
      <c r="AH1084" s="120"/>
      <c r="AI1084" s="121"/>
      <c r="AJ1084" s="121"/>
      <c r="AK1084" s="121"/>
      <c r="AL1084" s="121"/>
      <c r="AM1084" s="122"/>
      <c r="AN1084" s="121"/>
      <c r="AP1084" s="87"/>
    </row>
    <row r="1085" spans="1:42">
      <c r="A1085" s="71" t="s">
        <v>43</v>
      </c>
      <c r="B1085" s="72" t="s">
        <v>100</v>
      </c>
      <c r="C1085" s="71" t="s">
        <v>105</v>
      </c>
      <c r="D1085" s="71" t="s">
        <v>106</v>
      </c>
      <c r="E1085" s="71" t="s">
        <v>102</v>
      </c>
      <c r="F1085" s="72" t="s">
        <v>555</v>
      </c>
      <c r="G1085" s="77"/>
      <c r="H1085" s="72" t="str">
        <f t="shared" si="23"/>
        <v xml:space="preserve">Embraco R134a 60 Hz 127V EGAS80HLR   </v>
      </c>
      <c r="I1085" s="91">
        <v>831.10439046622025</v>
      </c>
      <c r="J1085" s="92">
        <v>26.963895633806043</v>
      </c>
      <c r="K1085" s="92">
        <v>0.16403625011895345</v>
      </c>
      <c r="L1085" s="92">
        <v>0.4023583432936737</v>
      </c>
      <c r="M1085" s="92">
        <v>8.1077741315058793E-2</v>
      </c>
      <c r="N1085" s="92">
        <v>-9.1151086377847634E-2</v>
      </c>
      <c r="O1085" s="92">
        <v>3.3753417447006163E-3</v>
      </c>
      <c r="P1085" s="92">
        <v>3.1326167017482439E-4</v>
      </c>
      <c r="Q1085" s="92">
        <v>-1.8706853293591341E-3</v>
      </c>
      <c r="R1085" s="92">
        <v>2.7122832628759648E-4</v>
      </c>
      <c r="S1085" s="92">
        <v>19.259397383109775</v>
      </c>
      <c r="T1085" s="92">
        <v>-11.569192641230464</v>
      </c>
      <c r="U1085" s="92">
        <v>4.6536703136054189</v>
      </c>
      <c r="V1085" s="92">
        <v>-0.14171197143692935</v>
      </c>
      <c r="W1085" s="92">
        <v>0.41123259750708813</v>
      </c>
      <c r="X1085" s="92">
        <v>3.0391627435630907E-2</v>
      </c>
      <c r="Y1085" s="92">
        <v>-4.0886666811131863E-4</v>
      </c>
      <c r="Z1085" s="92">
        <v>2.1947437435202578E-3</v>
      </c>
      <c r="AA1085" s="92">
        <v>-1.8968625376210874E-3</v>
      </c>
      <c r="AB1085" s="92">
        <v>-4.9471933581928223E-4</v>
      </c>
      <c r="AC1085" s="119">
        <v>5.7000000000000002E-2</v>
      </c>
      <c r="AD1085" s="119" t="s">
        <v>549</v>
      </c>
      <c r="AE1085" s="120" t="s">
        <v>549</v>
      </c>
      <c r="AF1085" s="119">
        <v>6.5000000000000002E-2</v>
      </c>
      <c r="AG1085" s="119" t="s">
        <v>549</v>
      </c>
      <c r="AH1085" s="120"/>
      <c r="AI1085" s="121"/>
      <c r="AJ1085" s="121"/>
      <c r="AK1085" s="121"/>
      <c r="AL1085" s="121"/>
      <c r="AM1085" s="122"/>
      <c r="AN1085" s="121"/>
      <c r="AP1085" s="87"/>
    </row>
    <row r="1086" spans="1:42">
      <c r="A1086" s="71" t="s">
        <v>43</v>
      </c>
      <c r="B1086" s="72" t="s">
        <v>100</v>
      </c>
      <c r="C1086" s="71" t="s">
        <v>105</v>
      </c>
      <c r="D1086" s="72" t="s">
        <v>109</v>
      </c>
      <c r="E1086" s="71" t="s">
        <v>102</v>
      </c>
      <c r="F1086" s="72" t="s">
        <v>556</v>
      </c>
      <c r="G1086" s="77"/>
      <c r="H1086" s="72" t="str">
        <f t="shared" si="23"/>
        <v>Embraco R134a 60 Hz 220V EGAS80HLR - RSIR</v>
      </c>
      <c r="I1086" s="91">
        <v>831.10439046622025</v>
      </c>
      <c r="J1086" s="92">
        <v>26.963895633806043</v>
      </c>
      <c r="K1086" s="92">
        <v>0.16403625011895345</v>
      </c>
      <c r="L1086" s="92">
        <v>0.4023583432936737</v>
      </c>
      <c r="M1086" s="92">
        <v>8.1077741315058793E-2</v>
      </c>
      <c r="N1086" s="92">
        <v>-9.1151086377847634E-2</v>
      </c>
      <c r="O1086" s="92">
        <v>3.3753417447006163E-3</v>
      </c>
      <c r="P1086" s="92">
        <v>3.1326167017482439E-4</v>
      </c>
      <c r="Q1086" s="92">
        <v>-1.8706853293591341E-3</v>
      </c>
      <c r="R1086" s="92">
        <v>2.7122832628759648E-4</v>
      </c>
      <c r="S1086" s="92">
        <v>18.695232029454452</v>
      </c>
      <c r="T1086" s="92">
        <v>-10.98013551449405</v>
      </c>
      <c r="U1086" s="92">
        <v>4.7196402847701382</v>
      </c>
      <c r="V1086" s="92">
        <v>-0.12594525446415611</v>
      </c>
      <c r="W1086" s="92">
        <v>0.39950878305126519</v>
      </c>
      <c r="X1086" s="92">
        <v>2.1908782329488431E-2</v>
      </c>
      <c r="Y1086" s="92">
        <v>-1.6341092256226663E-4</v>
      </c>
      <c r="Z1086" s="92">
        <v>2.2582578100590524E-3</v>
      </c>
      <c r="AA1086" s="92">
        <v>-1.797233325437377E-3</v>
      </c>
      <c r="AB1086" s="92">
        <v>-4.0444803965606501E-4</v>
      </c>
      <c r="AC1086" s="119">
        <v>5.7000000000000002E-2</v>
      </c>
      <c r="AD1086" s="119" t="s">
        <v>549</v>
      </c>
      <c r="AE1086" s="120" t="s">
        <v>549</v>
      </c>
      <c r="AF1086" s="119">
        <v>5.5E-2</v>
      </c>
      <c r="AG1086" s="119" t="s">
        <v>549</v>
      </c>
      <c r="AH1086" s="120"/>
      <c r="AI1086" s="121"/>
      <c r="AJ1086" s="121"/>
      <c r="AK1086" s="121"/>
      <c r="AL1086" s="121"/>
      <c r="AM1086" s="122"/>
      <c r="AN1086" s="121"/>
      <c r="AP1086" s="87"/>
    </row>
    <row r="1087" spans="1:42">
      <c r="A1087" s="71" t="s">
        <v>43</v>
      </c>
      <c r="B1087" s="72" t="s">
        <v>100</v>
      </c>
      <c r="C1087" s="71" t="s">
        <v>45</v>
      </c>
      <c r="D1087" s="72" t="s">
        <v>46</v>
      </c>
      <c r="E1087" s="71" t="s">
        <v>102</v>
      </c>
      <c r="F1087" s="72" t="s">
        <v>557</v>
      </c>
      <c r="G1087" s="77"/>
      <c r="H1087" s="72" t="str">
        <f t="shared" si="23"/>
        <v>Embraco R134a 50 Hz 230V EGAS90HLR</v>
      </c>
      <c r="I1087" s="91">
        <v>919.25558856475857</v>
      </c>
      <c r="J1087" s="92">
        <v>38.059407424565002</v>
      </c>
      <c r="K1087" s="92">
        <v>-6.4330435815175884</v>
      </c>
      <c r="L1087" s="92">
        <v>0.61876134618773149</v>
      </c>
      <c r="M1087" s="92">
        <v>-0.25963043176378992</v>
      </c>
      <c r="N1087" s="92">
        <v>-3.9584772552250019E-3</v>
      </c>
      <c r="O1087" s="92">
        <v>3.0734442881344866E-3</v>
      </c>
      <c r="P1087" s="92">
        <v>-4.4293915443687961E-3</v>
      </c>
      <c r="Q1087" s="92">
        <v>-4.479745929779646E-4</v>
      </c>
      <c r="R1087" s="92">
        <v>-1.1756973524437561E-4</v>
      </c>
      <c r="S1087" s="92">
        <v>172.73793442869069</v>
      </c>
      <c r="T1087" s="92">
        <v>6.2892782420447499</v>
      </c>
      <c r="U1087" s="92">
        <v>-3.3040513267897982E-2</v>
      </c>
      <c r="V1087" s="92">
        <v>0.14072908362143977</v>
      </c>
      <c r="W1087" s="92">
        <v>-7.4925226876184151E-2</v>
      </c>
      <c r="X1087" s="92">
        <v>3.4480912092097117E-2</v>
      </c>
      <c r="Y1087" s="92">
        <v>9.3353892852683195E-4</v>
      </c>
      <c r="Z1087" s="92">
        <v>-1.4962588540765617E-3</v>
      </c>
      <c r="AA1087" s="92">
        <v>9.7826974356779689E-4</v>
      </c>
      <c r="AB1087" s="92">
        <v>-1.7799523661194745E-4</v>
      </c>
      <c r="AC1087" s="119"/>
      <c r="AD1087" s="119"/>
      <c r="AE1087" s="120"/>
      <c r="AF1087" s="119"/>
      <c r="AG1087" s="119"/>
      <c r="AH1087" s="120"/>
      <c r="AI1087" s="121"/>
      <c r="AJ1087" s="121"/>
      <c r="AK1087" s="121"/>
      <c r="AL1087" s="121"/>
      <c r="AM1087" s="122"/>
      <c r="AN1087" s="121"/>
      <c r="AP1087" s="87"/>
    </row>
    <row r="1088" spans="1:42">
      <c r="A1088" s="71" t="s">
        <v>43</v>
      </c>
      <c r="B1088" s="72" t="s">
        <v>100</v>
      </c>
      <c r="C1088" s="71" t="s">
        <v>105</v>
      </c>
      <c r="D1088" s="72" t="s">
        <v>101</v>
      </c>
      <c r="E1088" s="71" t="s">
        <v>102</v>
      </c>
      <c r="F1088" s="72" t="s">
        <v>558</v>
      </c>
      <c r="G1088" s="77"/>
      <c r="H1088" s="72" t="str">
        <f t="shared" si="23"/>
        <v>Embraco R134a 60 Hz 115V EGD60HLC_TSD+RC,ISO10</v>
      </c>
      <c r="I1088" s="91">
        <v>711.15772150814212</v>
      </c>
      <c r="J1088" s="92">
        <v>29.684568365034057</v>
      </c>
      <c r="K1088" s="92">
        <v>1.5205320571664063</v>
      </c>
      <c r="L1088" s="92">
        <v>0.39766552643065478</v>
      </c>
      <c r="M1088" s="92">
        <v>-0.16340423494041464</v>
      </c>
      <c r="N1088" s="92">
        <v>-0.15905198268416812</v>
      </c>
      <c r="O1088" s="92">
        <v>1.4848185198187557E-3</v>
      </c>
      <c r="P1088" s="92">
        <v>-2.5402659734834829E-3</v>
      </c>
      <c r="Q1088" s="92">
        <v>-4.5735032762308315E-4</v>
      </c>
      <c r="R1088" s="92">
        <v>9.6619607500878055E-4</v>
      </c>
      <c r="S1088" s="92">
        <v>34.149085924316459</v>
      </c>
      <c r="T1088" s="92">
        <v>-2.2848623697901047</v>
      </c>
      <c r="U1088" s="92">
        <v>3.1929447005773013</v>
      </c>
      <c r="V1088" s="92">
        <v>-7.7434754455361771E-2</v>
      </c>
      <c r="W1088" s="92">
        <v>8.8127335131275505E-2</v>
      </c>
      <c r="X1088" s="92">
        <v>7.5601558736511853E-4</v>
      </c>
      <c r="Y1088" s="92">
        <v>-7.3749394795671896E-4</v>
      </c>
      <c r="Z1088" s="92">
        <v>7.2244926591357199E-4</v>
      </c>
      <c r="AA1088" s="92">
        <v>2.6461312599477117E-4</v>
      </c>
      <c r="AB1088" s="92">
        <v>-1.3113616252848531E-4</v>
      </c>
      <c r="AC1088" s="119"/>
      <c r="AD1088" s="119"/>
      <c r="AE1088" s="120"/>
      <c r="AF1088" s="119"/>
      <c r="AG1088" s="119"/>
      <c r="AH1088" s="120"/>
      <c r="AI1088" s="121"/>
      <c r="AJ1088" s="121"/>
      <c r="AK1088" s="121"/>
      <c r="AL1088" s="121"/>
      <c r="AM1088" s="122"/>
      <c r="AN1088" s="121"/>
      <c r="AP1088" s="87"/>
    </row>
    <row r="1089" spans="1:42">
      <c r="A1089" s="71" t="s">
        <v>43</v>
      </c>
      <c r="B1089" s="72" t="s">
        <v>100</v>
      </c>
      <c r="C1089" s="71" t="s">
        <v>105</v>
      </c>
      <c r="D1089" s="72" t="s">
        <v>101</v>
      </c>
      <c r="E1089" s="71" t="s">
        <v>102</v>
      </c>
      <c r="F1089" s="72" t="s">
        <v>559</v>
      </c>
      <c r="G1089" s="77"/>
      <c r="H1089" s="72" t="str">
        <f t="shared" si="23"/>
        <v>Embraco R134a 60 Hz 115V EGD70HLC_TSD+RC,ISO10</v>
      </c>
      <c r="I1089" s="91">
        <v>805.22729844434389</v>
      </c>
      <c r="J1089" s="92">
        <v>35.867849620114043</v>
      </c>
      <c r="K1089" s="92">
        <v>1.1524847309685218</v>
      </c>
      <c r="L1089" s="92">
        <v>0.43409278292840431</v>
      </c>
      <c r="M1089" s="92">
        <v>-0.34433613182890727</v>
      </c>
      <c r="N1089" s="92">
        <v>-0.20175359402189644</v>
      </c>
      <c r="O1089" s="92">
        <v>6.025540011669945E-4</v>
      </c>
      <c r="P1089" s="92">
        <v>-4.2199732323547883E-3</v>
      </c>
      <c r="Q1089" s="92">
        <v>5.9137281624361106E-4</v>
      </c>
      <c r="R1089" s="92">
        <v>1.4450042326168472E-3</v>
      </c>
      <c r="S1089" s="92">
        <v>49.699239075036182</v>
      </c>
      <c r="T1089" s="92">
        <v>-0.75693913434715288</v>
      </c>
      <c r="U1089" s="92">
        <v>3.1569359672861457</v>
      </c>
      <c r="V1089" s="92">
        <v>-4.1193236149589717E-2</v>
      </c>
      <c r="W1089" s="92">
        <v>5.6022944375858988E-2</v>
      </c>
      <c r="X1089" s="92">
        <v>7.350424391009638E-4</v>
      </c>
      <c r="Y1089" s="92">
        <v>-3.95870500394078E-4</v>
      </c>
      <c r="Z1089" s="92">
        <v>4.3757697407876504E-4</v>
      </c>
      <c r="AA1089" s="92">
        <v>5.1083690354688941E-4</v>
      </c>
      <c r="AB1089" s="92">
        <v>-1.1388315543292073E-4</v>
      </c>
      <c r="AC1089" s="119"/>
      <c r="AD1089" s="119"/>
      <c r="AE1089" s="120"/>
      <c r="AF1089" s="119"/>
      <c r="AG1089" s="119"/>
      <c r="AH1089" s="120"/>
      <c r="AI1089" s="121"/>
      <c r="AJ1089" s="121"/>
      <c r="AK1089" s="121"/>
      <c r="AL1089" s="121"/>
      <c r="AM1089" s="122"/>
      <c r="AN1089" s="121"/>
      <c r="AP1089" s="87"/>
    </row>
    <row r="1090" spans="1:42">
      <c r="A1090" s="71" t="s">
        <v>43</v>
      </c>
      <c r="B1090" s="72" t="s">
        <v>100</v>
      </c>
      <c r="C1090" s="71" t="s">
        <v>105</v>
      </c>
      <c r="D1090" s="71" t="s">
        <v>106</v>
      </c>
      <c r="E1090" s="71" t="s">
        <v>102</v>
      </c>
      <c r="F1090" s="72" t="s">
        <v>560</v>
      </c>
      <c r="G1090" s="77"/>
      <c r="H1090" s="72" t="str">
        <f t="shared" si="23"/>
        <v>Embraco R134a 60 Hz 127V EGS80CLP</v>
      </c>
      <c r="I1090" s="91">
        <v>829.24922656243143</v>
      </c>
      <c r="J1090" s="92">
        <v>32.730877299865746</v>
      </c>
      <c r="K1090" s="92">
        <v>0.13489263469746088</v>
      </c>
      <c r="L1090" s="92">
        <v>0.31137515388331827</v>
      </c>
      <c r="M1090" s="92">
        <v>-0.21252673570243591</v>
      </c>
      <c r="N1090" s="92">
        <v>-0.12574565821286318</v>
      </c>
      <c r="O1090" s="92">
        <v>-1.6599539958616454E-3</v>
      </c>
      <c r="P1090" s="92">
        <v>-3.5055746148275287E-3</v>
      </c>
      <c r="Q1090" s="92">
        <v>-4.1929677915313138E-4</v>
      </c>
      <c r="R1090" s="92">
        <v>7.4833190920003739E-4</v>
      </c>
      <c r="S1090" s="92">
        <v>386.6419246811588</v>
      </c>
      <c r="T1090" s="92">
        <v>3.8258738281261544</v>
      </c>
      <c r="U1090" s="92">
        <v>-10.818932938344638</v>
      </c>
      <c r="V1090" s="92">
        <v>-3.8961918009831724E-2</v>
      </c>
      <c r="W1090" s="92">
        <v>-6.264713029517785E-2</v>
      </c>
      <c r="X1090" s="92">
        <v>0.23227551419224421</v>
      </c>
      <c r="Y1090" s="92">
        <v>-6.6214771790553068E-4</v>
      </c>
      <c r="Z1090" s="92">
        <v>3.1414382367424493E-4</v>
      </c>
      <c r="AA1090" s="92">
        <v>1.3540050279090558E-3</v>
      </c>
      <c r="AB1090" s="92">
        <v>-1.3565678520377927E-3</v>
      </c>
      <c r="AC1090" s="119">
        <v>0.153</v>
      </c>
      <c r="AD1090" s="119" t="s">
        <v>549</v>
      </c>
      <c r="AE1090" s="120" t="s">
        <v>549</v>
      </c>
      <c r="AF1090" s="119">
        <v>5.0999999999999997E-2</v>
      </c>
      <c r="AG1090" s="119" t="s">
        <v>549</v>
      </c>
      <c r="AH1090" s="120"/>
      <c r="AI1090" s="121"/>
      <c r="AJ1090" s="121"/>
      <c r="AK1090" s="121"/>
      <c r="AL1090" s="121"/>
      <c r="AM1090" s="122"/>
      <c r="AN1090" s="121"/>
      <c r="AP1090" s="87"/>
    </row>
    <row r="1091" spans="1:42">
      <c r="A1091" s="71" t="s">
        <v>43</v>
      </c>
      <c r="B1091" s="72" t="s">
        <v>100</v>
      </c>
      <c r="C1091" s="71" t="s">
        <v>105</v>
      </c>
      <c r="D1091" s="72" t="s">
        <v>101</v>
      </c>
      <c r="E1091" s="71" t="s">
        <v>102</v>
      </c>
      <c r="F1091" s="72" t="s">
        <v>561</v>
      </c>
      <c r="G1091" s="77"/>
      <c r="H1091" s="72" t="str">
        <f t="shared" si="23"/>
        <v>Embraco R134a 60 Hz 115V EGX60HLC_TSD+RC,ISO10</v>
      </c>
      <c r="I1091" s="91">
        <v>786.1382993967203</v>
      </c>
      <c r="J1091" s="92">
        <v>31.356812815684833</v>
      </c>
      <c r="K1091" s="92">
        <v>0.22851383269787232</v>
      </c>
      <c r="L1091" s="92">
        <v>0.10133453055371301</v>
      </c>
      <c r="M1091" s="92">
        <v>-0.35130023123338139</v>
      </c>
      <c r="N1091" s="92">
        <v>-0.19046545472159726</v>
      </c>
      <c r="O1091" s="92">
        <v>-4.3672605938814037E-3</v>
      </c>
      <c r="P1091" s="92">
        <v>-3.0541967375884303E-3</v>
      </c>
      <c r="Q1091" s="92">
        <v>8.4855679293574851E-4</v>
      </c>
      <c r="R1091" s="92">
        <v>1.458699463698741E-3</v>
      </c>
      <c r="S1091" s="92">
        <v>-27.714574873412538</v>
      </c>
      <c r="T1091" s="92">
        <v>-9.9197791608389725</v>
      </c>
      <c r="U1091" s="92">
        <v>4.6111403186265552</v>
      </c>
      <c r="V1091" s="92">
        <v>-0.22510395077702622</v>
      </c>
      <c r="W1091" s="92">
        <v>0.28012068763004522</v>
      </c>
      <c r="X1091" s="92">
        <v>6.5596896496382211E-4</v>
      </c>
      <c r="Y1091" s="92">
        <v>-2.3441663726607668E-3</v>
      </c>
      <c r="Z1091" s="92">
        <v>1.6869567765475024E-3</v>
      </c>
      <c r="AA1091" s="92">
        <v>-1.1922046457478091E-3</v>
      </c>
      <c r="AB1091" s="92">
        <v>-2.5047647929473754E-4</v>
      </c>
      <c r="AC1091" s="119"/>
      <c r="AD1091" s="119"/>
      <c r="AE1091" s="120"/>
      <c r="AF1091" s="119"/>
      <c r="AG1091" s="119"/>
      <c r="AH1091" s="120"/>
      <c r="AI1091" s="121"/>
      <c r="AJ1091" s="121"/>
      <c r="AK1091" s="121"/>
      <c r="AL1091" s="121"/>
      <c r="AM1091" s="122"/>
      <c r="AN1091" s="121"/>
      <c r="AP1091" s="87"/>
    </row>
    <row r="1092" spans="1:42">
      <c r="A1092" s="71" t="s">
        <v>43</v>
      </c>
      <c r="B1092" s="72" t="s">
        <v>100</v>
      </c>
      <c r="C1092" s="71" t="s">
        <v>105</v>
      </c>
      <c r="D1092" s="72" t="s">
        <v>101</v>
      </c>
      <c r="E1092" s="71" t="s">
        <v>102</v>
      </c>
      <c r="F1092" s="72" t="s">
        <v>562</v>
      </c>
      <c r="G1092" s="77"/>
      <c r="H1092" s="72" t="str">
        <f t="shared" si="23"/>
        <v>Embraco R134a 60 Hz 115V EGX70HLC_TSD+RC,ISO10</v>
      </c>
      <c r="I1092" s="91">
        <v>690.73495481127964</v>
      </c>
      <c r="J1092" s="92">
        <v>17.484478402085326</v>
      </c>
      <c r="K1092" s="92">
        <v>1.2117012667226563</v>
      </c>
      <c r="L1092" s="92">
        <v>-4.3156365541418738E-2</v>
      </c>
      <c r="M1092" s="92">
        <v>3.9347243125152705E-2</v>
      </c>
      <c r="N1092" s="92">
        <v>-0.11464317420282896</v>
      </c>
      <c r="O1092" s="92">
        <v>-1.8166014959885165E-3</v>
      </c>
      <c r="P1092" s="92">
        <v>2.0251185474514538E-3</v>
      </c>
      <c r="Q1092" s="92">
        <v>-9.0371046284511928E-4</v>
      </c>
      <c r="R1092" s="92">
        <v>5.2804002168908197E-4</v>
      </c>
      <c r="S1092" s="92">
        <v>-44.069961485122683</v>
      </c>
      <c r="T1092" s="92">
        <v>-11.850571475437089</v>
      </c>
      <c r="U1092" s="92">
        <v>5.4022357680870989</v>
      </c>
      <c r="V1092" s="92">
        <v>-0.22036709918378228</v>
      </c>
      <c r="W1092" s="92">
        <v>0.34509392425579416</v>
      </c>
      <c r="X1092" s="92">
        <v>-5.7298176353912989E-4</v>
      </c>
      <c r="Y1092" s="92">
        <v>-1.5464577197674052E-3</v>
      </c>
      <c r="Z1092" s="92">
        <v>2.3078810377128332E-3</v>
      </c>
      <c r="AA1092" s="92">
        <v>-1.4807466863670721E-3</v>
      </c>
      <c r="AB1092" s="92">
        <v>-2.7856877182057672E-4</v>
      </c>
      <c r="AC1092" s="119"/>
      <c r="AD1092" s="119"/>
      <c r="AE1092" s="120"/>
      <c r="AF1092" s="119"/>
      <c r="AG1092" s="119"/>
      <c r="AH1092" s="120"/>
      <c r="AI1092" s="121"/>
      <c r="AJ1092" s="121"/>
      <c r="AK1092" s="121"/>
      <c r="AL1092" s="121"/>
      <c r="AM1092" s="122"/>
      <c r="AN1092" s="121"/>
      <c r="AP1092" s="87"/>
    </row>
    <row r="1093" spans="1:42">
      <c r="A1093" s="71" t="s">
        <v>43</v>
      </c>
      <c r="B1093" s="72" t="s">
        <v>100</v>
      </c>
      <c r="C1093" s="71" t="s">
        <v>45</v>
      </c>
      <c r="D1093" s="72" t="s">
        <v>46</v>
      </c>
      <c r="E1093" s="71" t="s">
        <v>102</v>
      </c>
      <c r="F1093" s="72" t="s">
        <v>563</v>
      </c>
      <c r="G1093" s="77"/>
      <c r="H1093" s="72" t="str">
        <f t="shared" si="23"/>
        <v>Embraco R134a 50 Hz 230V EGY100HLC - RSCR - 5uF</v>
      </c>
      <c r="I1093" s="91">
        <v>1185.9806325950626</v>
      </c>
      <c r="J1093" s="92">
        <v>47.710595250603824</v>
      </c>
      <c r="K1093" s="92">
        <v>-9.6562339699546289</v>
      </c>
      <c r="L1093" s="92">
        <v>0.74445627562618888</v>
      </c>
      <c r="M1093" s="92">
        <v>-0.34427174930234955</v>
      </c>
      <c r="N1093" s="92">
        <v>-3.1744538514853564E-3</v>
      </c>
      <c r="O1093" s="92">
        <v>5.4193071799090147E-3</v>
      </c>
      <c r="P1093" s="92">
        <v>-3.0240692574227709E-3</v>
      </c>
      <c r="Q1093" s="92">
        <v>1.6783494347449222E-4</v>
      </c>
      <c r="R1093" s="92">
        <v>-7.5552207552493226E-6</v>
      </c>
      <c r="S1093" s="92">
        <v>172.20267316204766</v>
      </c>
      <c r="T1093" s="92">
        <v>0.49347416181520964</v>
      </c>
      <c r="U1093" s="92">
        <v>1.2141620237636111E-2</v>
      </c>
      <c r="V1093" s="92">
        <v>-2.3572095218932027E-2</v>
      </c>
      <c r="W1093" s="92">
        <v>8.643615977961526E-2</v>
      </c>
      <c r="X1093" s="92">
        <v>6.0905031470235585E-2</v>
      </c>
      <c r="Y1093" s="92">
        <v>7.2459110217488088E-4</v>
      </c>
      <c r="Z1093" s="92">
        <v>1.9806049877916401E-3</v>
      </c>
      <c r="AA1093" s="92">
        <v>8.5996744590776579E-4</v>
      </c>
      <c r="AB1093" s="92">
        <v>-3.4368862784714432E-4</v>
      </c>
      <c r="AC1093" s="119">
        <v>5.0999999999999997E-2</v>
      </c>
      <c r="AD1093" s="119" t="s">
        <v>549</v>
      </c>
      <c r="AE1093" s="120" t="s">
        <v>549</v>
      </c>
      <c r="AF1093" s="119">
        <v>5.8999999999999997E-2</v>
      </c>
      <c r="AG1093" s="119" t="s">
        <v>549</v>
      </c>
      <c r="AH1093" s="120"/>
      <c r="AI1093" s="121"/>
      <c r="AJ1093" s="121"/>
      <c r="AK1093" s="121"/>
      <c r="AL1093" s="121"/>
      <c r="AM1093" s="122"/>
      <c r="AN1093" s="121"/>
      <c r="AP1093" s="87"/>
    </row>
    <row r="1094" spans="1:42">
      <c r="A1094" s="71" t="s">
        <v>43</v>
      </c>
      <c r="B1094" s="72" t="s">
        <v>100</v>
      </c>
      <c r="C1094" s="71" t="s">
        <v>45</v>
      </c>
      <c r="D1094" s="72" t="s">
        <v>46</v>
      </c>
      <c r="E1094" s="71" t="s">
        <v>102</v>
      </c>
      <c r="F1094" s="72" t="s">
        <v>564</v>
      </c>
      <c r="G1094" s="77"/>
      <c r="H1094" s="72" t="str">
        <f t="shared" si="23"/>
        <v xml:space="preserve">Embraco R134a 50 Hz 230V EGYS100HLP - RSIR </v>
      </c>
      <c r="I1094" s="91">
        <v>1077.1316147654588</v>
      </c>
      <c r="J1094" s="92">
        <v>43.201591260962488</v>
      </c>
      <c r="K1094" s="92">
        <v>-8.3353076049224928</v>
      </c>
      <c r="L1094" s="92">
        <v>0.68452072818756393</v>
      </c>
      <c r="M1094" s="92">
        <v>-0.31954318959981642</v>
      </c>
      <c r="N1094" s="92">
        <v>-3.1433074255581492E-3</v>
      </c>
      <c r="O1094" s="92">
        <v>3.2302043679268192E-3</v>
      </c>
      <c r="P1094" s="92">
        <v>-5.2481588639252648E-3</v>
      </c>
      <c r="Q1094" s="92">
        <v>-3.2725533596648904E-4</v>
      </c>
      <c r="R1094" s="92">
        <v>-4.3578140397688899E-5</v>
      </c>
      <c r="S1094" s="92">
        <v>198.06701908012639</v>
      </c>
      <c r="T1094" s="92">
        <v>7.5631973059311806</v>
      </c>
      <c r="U1094" s="92">
        <v>-3.4392571153357566E-2</v>
      </c>
      <c r="V1094" s="92">
        <v>5.9273648047269617E-2</v>
      </c>
      <c r="W1094" s="92">
        <v>-0.1493551178607791</v>
      </c>
      <c r="X1094" s="92">
        <v>2.6094926565090406E-2</v>
      </c>
      <c r="Y1094" s="92">
        <v>2.0255325873986879E-4</v>
      </c>
      <c r="Z1094" s="92">
        <v>-5.4648469178484075E-4</v>
      </c>
      <c r="AA1094" s="92">
        <v>2.1206152846432917E-3</v>
      </c>
      <c r="AB1094" s="92">
        <v>-2.3153282899570205E-5</v>
      </c>
      <c r="AC1094" s="119">
        <v>4.9000000000000002E-2</v>
      </c>
      <c r="AD1094" s="119" t="s">
        <v>549</v>
      </c>
      <c r="AE1094" s="120" t="s">
        <v>549</v>
      </c>
      <c r="AF1094" s="119">
        <v>5.7000000000000002E-2</v>
      </c>
      <c r="AG1094" s="119" t="s">
        <v>549</v>
      </c>
      <c r="AH1094" s="120"/>
      <c r="AI1094" s="121"/>
      <c r="AJ1094" s="121"/>
      <c r="AK1094" s="121"/>
      <c r="AL1094" s="121"/>
      <c r="AM1094" s="122"/>
      <c r="AN1094" s="121"/>
      <c r="AP1094" s="87"/>
    </row>
    <row r="1095" spans="1:42">
      <c r="A1095" s="71" t="s">
        <v>43</v>
      </c>
      <c r="B1095" s="72" t="s">
        <v>100</v>
      </c>
      <c r="C1095" s="71" t="s">
        <v>45</v>
      </c>
      <c r="D1095" s="72" t="s">
        <v>46</v>
      </c>
      <c r="E1095" s="71" t="s">
        <v>102</v>
      </c>
      <c r="F1095" s="72" t="s">
        <v>565</v>
      </c>
      <c r="G1095" s="77"/>
      <c r="H1095" s="72" t="str">
        <f t="shared" si="23"/>
        <v>Embraco R134a 50 Hz 230V EGYS90CLP</v>
      </c>
      <c r="I1095" s="91">
        <v>795.92648163385604</v>
      </c>
      <c r="J1095" s="92">
        <v>32.342154851333483</v>
      </c>
      <c r="K1095" s="92">
        <v>-5.7438598853690785E-2</v>
      </c>
      <c r="L1095" s="92">
        <v>0.41559937174630118</v>
      </c>
      <c r="M1095" s="92">
        <v>-0.19692602064162648</v>
      </c>
      <c r="N1095" s="92">
        <v>-0.15940826356011742</v>
      </c>
      <c r="O1095" s="92">
        <v>1.6267999249425797E-3</v>
      </c>
      <c r="P1095" s="92">
        <v>-2.0406489641304599E-3</v>
      </c>
      <c r="Q1095" s="92">
        <v>-3.71986451855737E-4</v>
      </c>
      <c r="R1095" s="92">
        <v>1.1931805157671378E-3</v>
      </c>
      <c r="S1095" s="92">
        <v>210.64795386603424</v>
      </c>
      <c r="T1095" s="92">
        <v>8.0860293037986839</v>
      </c>
      <c r="U1095" s="92">
        <v>-8.8259183968669677E-2</v>
      </c>
      <c r="V1095" s="92">
        <v>8.8371742068943424E-2</v>
      </c>
      <c r="W1095" s="92">
        <v>-0.13546199916856913</v>
      </c>
      <c r="X1095" s="92">
        <v>-2.1198446999076619E-2</v>
      </c>
      <c r="Y1095" s="92">
        <v>6.5252578816849807E-4</v>
      </c>
      <c r="Z1095" s="92">
        <v>-3.6401709309349798E-4</v>
      </c>
      <c r="AA1095" s="92">
        <v>1.4710394421298188E-3</v>
      </c>
      <c r="AB1095" s="92">
        <v>4.5825631592971808E-4</v>
      </c>
      <c r="AC1095" s="119">
        <v>7.8E-2</v>
      </c>
      <c r="AD1095" s="119" t="s">
        <v>549</v>
      </c>
      <c r="AE1095" s="120" t="s">
        <v>549</v>
      </c>
      <c r="AF1095" s="119">
        <v>5.6000000000000001E-2</v>
      </c>
      <c r="AG1095" s="119" t="s">
        <v>549</v>
      </c>
      <c r="AH1095" s="120"/>
      <c r="AI1095" s="121"/>
      <c r="AJ1095" s="121"/>
      <c r="AK1095" s="121"/>
      <c r="AL1095" s="121"/>
      <c r="AM1095" s="122"/>
      <c r="AN1095" s="121"/>
      <c r="AP1095" s="87"/>
    </row>
    <row r="1096" spans="1:42">
      <c r="A1096" s="71" t="s">
        <v>43</v>
      </c>
      <c r="B1096" s="72" t="s">
        <v>100</v>
      </c>
      <c r="C1096" s="71" t="s">
        <v>45</v>
      </c>
      <c r="D1096" s="72" t="s">
        <v>46</v>
      </c>
      <c r="E1096" s="71" t="s">
        <v>102</v>
      </c>
      <c r="F1096" s="72" t="s">
        <v>566</v>
      </c>
      <c r="G1096" s="77"/>
      <c r="H1096" s="72" t="str">
        <f t="shared" si="23"/>
        <v>Embraco R134a 50 Hz 230V EGYS90HLP - RSCR 5uF</v>
      </c>
      <c r="I1096" s="91">
        <v>834.64987845962776</v>
      </c>
      <c r="J1096" s="92">
        <v>37.167246534786678</v>
      </c>
      <c r="K1096" s="92">
        <v>0.13192772281340837</v>
      </c>
      <c r="L1096" s="92">
        <v>0.68787291145584484</v>
      </c>
      <c r="M1096" s="92">
        <v>-0.14076088527551173</v>
      </c>
      <c r="N1096" s="92">
        <v>-0.11923266827971032</v>
      </c>
      <c r="O1096" s="92">
        <v>4.6667694980616747E-3</v>
      </c>
      <c r="P1096" s="92">
        <v>-3.6133710723457754E-3</v>
      </c>
      <c r="Q1096" s="92">
        <v>-1.3738337154407781E-3</v>
      </c>
      <c r="R1096" s="92">
        <v>5.0177976625976424E-4</v>
      </c>
      <c r="S1096" s="92">
        <v>33.217088348224671</v>
      </c>
      <c r="T1096" s="92">
        <v>0.34045854547338233</v>
      </c>
      <c r="U1096" s="92">
        <v>5.6378487626524523</v>
      </c>
      <c r="V1096" s="92">
        <v>-4.1194847747429778E-2</v>
      </c>
      <c r="W1096" s="92">
        <v>3.8976737510775836E-2</v>
      </c>
      <c r="X1096" s="92">
        <v>-5.0010643078774113E-2</v>
      </c>
      <c r="Y1096" s="92">
        <v>-2.673170760756816E-4</v>
      </c>
      <c r="Z1096" s="92">
        <v>6.9857263791351547E-4</v>
      </c>
      <c r="AA1096" s="92">
        <v>7.1939501413906021E-4</v>
      </c>
      <c r="AB1096" s="92">
        <v>2.7228573363045498E-4</v>
      </c>
      <c r="AC1096" s="119">
        <v>7.5999999999999998E-2</v>
      </c>
      <c r="AD1096" s="119" t="s">
        <v>549</v>
      </c>
      <c r="AE1096" s="120" t="s">
        <v>549</v>
      </c>
      <c r="AF1096" s="119">
        <v>3.6999999999999998E-2</v>
      </c>
      <c r="AG1096" s="119" t="s">
        <v>549</v>
      </c>
      <c r="AH1096" s="120"/>
      <c r="AI1096" s="121"/>
      <c r="AJ1096" s="121"/>
      <c r="AK1096" s="121"/>
      <c r="AL1096" s="121"/>
      <c r="AM1096" s="122"/>
      <c r="AN1096" s="121"/>
      <c r="AP1096" s="87"/>
    </row>
    <row r="1097" spans="1:42">
      <c r="A1097" s="71" t="s">
        <v>43</v>
      </c>
      <c r="B1097" s="72" t="s">
        <v>100</v>
      </c>
      <c r="C1097" s="71" t="s">
        <v>45</v>
      </c>
      <c r="D1097" s="72" t="s">
        <v>46</v>
      </c>
      <c r="E1097" s="71" t="s">
        <v>102</v>
      </c>
      <c r="F1097" s="72" t="s">
        <v>567</v>
      </c>
      <c r="G1097" s="77"/>
      <c r="H1097" s="72" t="str">
        <f t="shared" si="23"/>
        <v xml:space="preserve">Embraco R134a 50 Hz 230V EGYS90HLP - RSIR </v>
      </c>
      <c r="I1097" s="91">
        <v>834.64987845962776</v>
      </c>
      <c r="J1097" s="92">
        <v>37.167246534786678</v>
      </c>
      <c r="K1097" s="92">
        <v>0.13192772281340837</v>
      </c>
      <c r="L1097" s="92">
        <v>0.68787291145584484</v>
      </c>
      <c r="M1097" s="92">
        <v>-0.14076088527551173</v>
      </c>
      <c r="N1097" s="92">
        <v>-0.11923266827971032</v>
      </c>
      <c r="O1097" s="92">
        <v>4.6667694980616747E-3</v>
      </c>
      <c r="P1097" s="92">
        <v>-3.6133710723457754E-3</v>
      </c>
      <c r="Q1097" s="92">
        <v>-1.3738337154407781E-3</v>
      </c>
      <c r="R1097" s="92">
        <v>5.0177976625976424E-4</v>
      </c>
      <c r="S1097" s="92">
        <v>137.98858678341398</v>
      </c>
      <c r="T1097" s="92">
        <v>-0.1587158326663739</v>
      </c>
      <c r="U1097" s="92">
        <v>2.8557071641225614E-2</v>
      </c>
      <c r="V1097" s="92">
        <v>-5.6931904795397982E-2</v>
      </c>
      <c r="W1097" s="92">
        <v>4.9515519920400715E-2</v>
      </c>
      <c r="X1097" s="92">
        <v>5.4978327369695913E-2</v>
      </c>
      <c r="Y1097" s="92">
        <v>-3.4945110350122362E-4</v>
      </c>
      <c r="Z1097" s="92">
        <v>8.7707293196941528E-4</v>
      </c>
      <c r="AA1097" s="92">
        <v>7.0704357914526416E-4</v>
      </c>
      <c r="AB1097" s="92">
        <v>-3.6175050311019303E-4</v>
      </c>
      <c r="AC1097" s="119">
        <v>7.5999999999999998E-2</v>
      </c>
      <c r="AD1097" s="119" t="s">
        <v>549</v>
      </c>
      <c r="AE1097" s="120" t="s">
        <v>549</v>
      </c>
      <c r="AF1097" s="119">
        <v>5.8999999999999997E-2</v>
      </c>
      <c r="AG1097" s="119" t="s">
        <v>549</v>
      </c>
      <c r="AH1097" s="120"/>
      <c r="AI1097" s="121"/>
      <c r="AJ1097" s="121"/>
      <c r="AK1097" s="121"/>
      <c r="AL1097" s="121"/>
      <c r="AM1097" s="122"/>
      <c r="AN1097" s="121"/>
      <c r="AP1097" s="87"/>
    </row>
    <row r="1098" spans="1:42">
      <c r="A1098" s="71" t="s">
        <v>43</v>
      </c>
      <c r="B1098" s="72" t="s">
        <v>100</v>
      </c>
      <c r="C1098" s="71" t="s">
        <v>45</v>
      </c>
      <c r="D1098" s="72" t="s">
        <v>46</v>
      </c>
      <c r="E1098" s="71" t="s">
        <v>102</v>
      </c>
      <c r="F1098" s="72" t="s">
        <v>568</v>
      </c>
      <c r="G1098" s="77"/>
      <c r="H1098" s="72" t="str">
        <f t="shared" si="23"/>
        <v xml:space="preserve">Embraco R134a 50 Hz 230V EGZ90HLC - RSCR 5uF </v>
      </c>
      <c r="I1098" s="91">
        <v>853.12752646239448</v>
      </c>
      <c r="J1098" s="92">
        <v>43.945114590277853</v>
      </c>
      <c r="K1098" s="92">
        <v>0.1148532787230357</v>
      </c>
      <c r="L1098" s="92">
        <v>0.69580919854108392</v>
      </c>
      <c r="M1098" s="92">
        <v>-0.37624064668553669</v>
      </c>
      <c r="N1098" s="92">
        <v>-0.13913541673457383</v>
      </c>
      <c r="O1098" s="92">
        <v>3.2010804787943139E-3</v>
      </c>
      <c r="P1098" s="92">
        <v>-5.2460929236719488E-3</v>
      </c>
      <c r="Q1098" s="92">
        <v>1.3210214795132918E-4</v>
      </c>
      <c r="R1098" s="92">
        <v>7.0965603402252234E-4</v>
      </c>
      <c r="S1098" s="92">
        <v>160.68202285289985</v>
      </c>
      <c r="T1098" s="92">
        <v>6.6213146088989419</v>
      </c>
      <c r="U1098" s="92">
        <v>4.0268402886743646E-2</v>
      </c>
      <c r="V1098" s="92">
        <v>0.10514708738669711</v>
      </c>
      <c r="W1098" s="92">
        <v>-9.9626791104188137E-2</v>
      </c>
      <c r="X1098" s="92">
        <v>2.7269451839486359E-2</v>
      </c>
      <c r="Y1098" s="92">
        <v>9.3971307094856474E-4</v>
      </c>
      <c r="Z1098" s="92">
        <v>-4.3226460165479371E-4</v>
      </c>
      <c r="AA1098" s="92">
        <v>1.6026369648371804E-3</v>
      </c>
      <c r="AB1098" s="92">
        <v>-4.0991848822250201E-5</v>
      </c>
      <c r="AC1098" s="119">
        <v>0.109</v>
      </c>
      <c r="AD1098" s="119" t="s">
        <v>549</v>
      </c>
      <c r="AE1098" s="120" t="s">
        <v>549</v>
      </c>
      <c r="AF1098" s="119">
        <v>3.5999999999999997E-2</v>
      </c>
      <c r="AG1098" s="119" t="s">
        <v>549</v>
      </c>
      <c r="AH1098" s="120"/>
      <c r="AI1098" s="121"/>
      <c r="AJ1098" s="121"/>
      <c r="AK1098" s="121"/>
      <c r="AL1098" s="121"/>
      <c r="AM1098" s="122"/>
      <c r="AN1098" s="121"/>
      <c r="AP1098" s="87"/>
    </row>
    <row r="1099" spans="1:42">
      <c r="A1099" s="71" t="s">
        <v>43</v>
      </c>
      <c r="B1099" s="72" t="s">
        <v>100</v>
      </c>
      <c r="C1099" s="71" t="s">
        <v>45</v>
      </c>
      <c r="D1099" s="72" t="s">
        <v>46</v>
      </c>
      <c r="E1099" s="71" t="s">
        <v>102</v>
      </c>
      <c r="F1099" s="72" t="s">
        <v>569</v>
      </c>
      <c r="G1099" s="77"/>
      <c r="H1099" s="72" t="str">
        <f t="shared" si="23"/>
        <v>Embraco R134a 50 Hz 230V EGZS100HLC</v>
      </c>
      <c r="I1099" s="91">
        <v>1066.1264647546614</v>
      </c>
      <c r="J1099" s="92">
        <v>42.661429398607218</v>
      </c>
      <c r="K1099" s="92">
        <v>-8.0652161601227146</v>
      </c>
      <c r="L1099" s="92">
        <v>0.66945205854938838</v>
      </c>
      <c r="M1099" s="92">
        <v>-0.31081531422862557</v>
      </c>
      <c r="N1099" s="92">
        <v>-3.6302120218414612E-3</v>
      </c>
      <c r="O1099" s="92">
        <v>3.0473354106803898E-3</v>
      </c>
      <c r="P1099" s="92">
        <v>-5.2484444286160269E-3</v>
      </c>
      <c r="Q1099" s="92">
        <v>-4.253151837315636E-4</v>
      </c>
      <c r="R1099" s="92">
        <v>-7.0682112856816013E-5</v>
      </c>
      <c r="S1099" s="92">
        <v>191.83180183983916</v>
      </c>
      <c r="T1099" s="92">
        <v>7.278361012138383</v>
      </c>
      <c r="U1099" s="92">
        <v>-3.4803434792028229E-2</v>
      </c>
      <c r="V1099" s="92">
        <v>7.9282423705702515E-2</v>
      </c>
      <c r="W1099" s="92">
        <v>-0.12657972234663992</v>
      </c>
      <c r="X1099" s="92">
        <v>2.4267707166677636E-2</v>
      </c>
      <c r="Y1099" s="92">
        <v>4.4264434228301444E-4</v>
      </c>
      <c r="Z1099" s="92">
        <v>-6.5446099944095994E-4</v>
      </c>
      <c r="AA1099" s="92">
        <v>1.8081584928127399E-3</v>
      </c>
      <c r="AB1099" s="92">
        <v>-2.4472195981906924E-5</v>
      </c>
      <c r="AC1099" s="119"/>
      <c r="AD1099" s="119"/>
      <c r="AE1099" s="120"/>
      <c r="AF1099" s="119"/>
      <c r="AG1099" s="119"/>
      <c r="AH1099" s="120"/>
      <c r="AI1099" s="121"/>
      <c r="AJ1099" s="121"/>
      <c r="AK1099" s="121"/>
      <c r="AL1099" s="121"/>
      <c r="AM1099" s="122"/>
      <c r="AN1099" s="121"/>
      <c r="AP1099" s="87"/>
    </row>
    <row r="1100" spans="1:42">
      <c r="A1100" s="71" t="s">
        <v>43</v>
      </c>
      <c r="B1100" s="72" t="s">
        <v>100</v>
      </c>
      <c r="C1100" s="71" t="s">
        <v>105</v>
      </c>
      <c r="D1100" s="72" t="s">
        <v>46</v>
      </c>
      <c r="E1100" s="71" t="s">
        <v>102</v>
      </c>
      <c r="F1100" s="72" t="s">
        <v>570</v>
      </c>
      <c r="G1100" s="77"/>
      <c r="H1100" s="72" t="str">
        <f t="shared" si="23"/>
        <v>Embraco R134a 60 Hz 230V EGZS60HLC,PTC+RC,ISO 10</v>
      </c>
      <c r="I1100" s="91">
        <v>890.2790575892501</v>
      </c>
      <c r="J1100" s="92">
        <v>29.947854756979474</v>
      </c>
      <c r="K1100" s="92">
        <v>-7.5910135195273138</v>
      </c>
      <c r="L1100" s="92">
        <v>0.10654632881142402</v>
      </c>
      <c r="M1100" s="92">
        <v>-0.29154954910784758</v>
      </c>
      <c r="N1100" s="92">
        <v>-2.3613701542446602E-3</v>
      </c>
      <c r="O1100" s="92">
        <v>-4.300956555403578E-3</v>
      </c>
      <c r="P1100" s="92">
        <v>-3.0552704482672728E-3</v>
      </c>
      <c r="Q1100" s="92">
        <v>2.7789238642985428E-4</v>
      </c>
      <c r="R1100" s="92">
        <v>5.0942813548862281E-6</v>
      </c>
      <c r="S1100" s="92">
        <v>51.337142482046225</v>
      </c>
      <c r="T1100" s="92">
        <v>-10.299026819794452</v>
      </c>
      <c r="U1100" s="92">
        <v>4.8208097599021393E-2</v>
      </c>
      <c r="V1100" s="92">
        <v>-0.2326248165146618</v>
      </c>
      <c r="W1100" s="92">
        <v>0.29158854034920073</v>
      </c>
      <c r="X1100" s="92">
        <v>9.2493592606043618E-2</v>
      </c>
      <c r="Y1100" s="92">
        <v>-2.4277893953590026E-3</v>
      </c>
      <c r="Z1100" s="92">
        <v>1.7370652737712508E-3</v>
      </c>
      <c r="AA1100" s="92">
        <v>-1.2540845389108731E-3</v>
      </c>
      <c r="AB1100" s="92">
        <v>-8.4588753343812118E-4</v>
      </c>
      <c r="AC1100" s="119"/>
      <c r="AD1100" s="119"/>
      <c r="AE1100" s="120"/>
      <c r="AF1100" s="119"/>
      <c r="AG1100" s="119"/>
      <c r="AH1100" s="120"/>
      <c r="AI1100" s="121"/>
      <c r="AJ1100" s="121"/>
      <c r="AK1100" s="121"/>
      <c r="AL1100" s="121"/>
      <c r="AM1100" s="122"/>
      <c r="AN1100" s="121"/>
      <c r="AP1100" s="87"/>
    </row>
    <row r="1101" spans="1:42">
      <c r="A1101" s="71" t="s">
        <v>43</v>
      </c>
      <c r="B1101" s="72" t="s">
        <v>100</v>
      </c>
      <c r="C1101" s="71" t="s">
        <v>105</v>
      </c>
      <c r="D1101" s="71" t="s">
        <v>106</v>
      </c>
      <c r="E1101" s="71" t="s">
        <v>102</v>
      </c>
      <c r="F1101" s="72" t="s">
        <v>571</v>
      </c>
      <c r="G1101" s="77"/>
      <c r="H1101" s="72" t="str">
        <f t="shared" si="23"/>
        <v>Embraco R134a 60 Hz 127V EGZS60HLP</v>
      </c>
      <c r="I1101" s="91">
        <v>1032.6714617012196</v>
      </c>
      <c r="J1101" s="92">
        <v>31.409710742376568</v>
      </c>
      <c r="K1101" s="92">
        <v>-15.043314810305441</v>
      </c>
      <c r="L1101" s="92">
        <v>0.12428688192099051</v>
      </c>
      <c r="M1101" s="92">
        <v>-0.33971205570146795</v>
      </c>
      <c r="N1101" s="92">
        <v>0.12493451874753533</v>
      </c>
      <c r="O1101" s="92">
        <v>-4.046751881889141E-3</v>
      </c>
      <c r="P1101" s="92">
        <v>-3.1431145761428823E-3</v>
      </c>
      <c r="Q1101" s="92">
        <v>7.126757296578442E-4</v>
      </c>
      <c r="R1101" s="92">
        <v>-7.0439128064864003E-4</v>
      </c>
      <c r="S1101" s="92">
        <v>58.764601609457578</v>
      </c>
      <c r="T1101" s="92">
        <v>-9.7910562524097706</v>
      </c>
      <c r="U1101" s="92">
        <v>0.28693226111906095</v>
      </c>
      <c r="V1101" s="92">
        <v>-0.24365989806321992</v>
      </c>
      <c r="W1101" s="92">
        <v>0.26365416963130273</v>
      </c>
      <c r="X1101" s="92">
        <v>7.0383908350809724E-2</v>
      </c>
      <c r="Y1101" s="92">
        <v>-2.6361979096961412E-3</v>
      </c>
      <c r="Z1101" s="92">
        <v>1.6816345079975266E-3</v>
      </c>
      <c r="AA1101" s="92">
        <v>-1.044803211939305E-3</v>
      </c>
      <c r="AB1101" s="92">
        <v>-6.0576841859313272E-4</v>
      </c>
      <c r="AC1101" s="119"/>
      <c r="AD1101" s="119"/>
      <c r="AE1101" s="120"/>
      <c r="AF1101" s="119"/>
      <c r="AG1101" s="119"/>
      <c r="AH1101" s="120"/>
      <c r="AI1101" s="121"/>
      <c r="AJ1101" s="121"/>
      <c r="AK1101" s="121"/>
      <c r="AL1101" s="121"/>
      <c r="AM1101" s="122"/>
      <c r="AN1101" s="121"/>
      <c r="AP1101" s="87"/>
    </row>
    <row r="1102" spans="1:42">
      <c r="A1102" s="71" t="s">
        <v>43</v>
      </c>
      <c r="B1102" s="72" t="s">
        <v>100</v>
      </c>
      <c r="C1102" s="71" t="s">
        <v>105</v>
      </c>
      <c r="D1102" s="72" t="s">
        <v>46</v>
      </c>
      <c r="E1102" s="71" t="s">
        <v>102</v>
      </c>
      <c r="F1102" s="72" t="s">
        <v>572</v>
      </c>
      <c r="G1102" s="77"/>
      <c r="H1102" s="72" t="str">
        <f t="shared" si="23"/>
        <v>Embraco R134a 60 Hz 230V EGZS70HLC,PTC+RC,ISO 10</v>
      </c>
      <c r="I1102" s="91">
        <v>789.51543258060872</v>
      </c>
      <c r="J1102" s="92">
        <v>18.572657258799218</v>
      </c>
      <c r="K1102" s="92">
        <v>-4.543897881724785</v>
      </c>
      <c r="L1102" s="92">
        <v>-3.9185559180436681E-2</v>
      </c>
      <c r="M1102" s="92">
        <v>-2.0717332339254555E-3</v>
      </c>
      <c r="N1102" s="92">
        <v>-4.3820690356089712E-3</v>
      </c>
      <c r="O1102" s="92">
        <v>-1.8041466791848546E-3</v>
      </c>
      <c r="P1102" s="92">
        <v>1.9707100258893558E-3</v>
      </c>
      <c r="Q1102" s="92">
        <v>-5.0763931701672108E-4</v>
      </c>
      <c r="R1102" s="92">
        <v>-1.6675113702447369E-4</v>
      </c>
      <c r="S1102" s="92">
        <v>44.145202107134345</v>
      </c>
      <c r="T1102" s="92">
        <v>-12.428895734541417</v>
      </c>
      <c r="U1102" s="92">
        <v>4.8446360645171896E-2</v>
      </c>
      <c r="V1102" s="92">
        <v>-0.22630554126709493</v>
      </c>
      <c r="W1102" s="92">
        <v>0.36543614694434334</v>
      </c>
      <c r="X1102" s="92">
        <v>0.11355061057084975</v>
      </c>
      <c r="Y1102" s="92">
        <v>-1.6055662068927925E-3</v>
      </c>
      <c r="Z1102" s="92">
        <v>2.3494352097635988E-3</v>
      </c>
      <c r="AA1102" s="92">
        <v>-1.6236135384803954E-3</v>
      </c>
      <c r="AB1102" s="92">
        <v>-1.0629597498586487E-3</v>
      </c>
      <c r="AC1102" s="119"/>
      <c r="AD1102" s="119"/>
      <c r="AE1102" s="120"/>
      <c r="AF1102" s="119"/>
      <c r="AG1102" s="119"/>
      <c r="AH1102" s="120"/>
      <c r="AI1102" s="121"/>
      <c r="AJ1102" s="121"/>
      <c r="AK1102" s="121"/>
      <c r="AL1102" s="121"/>
      <c r="AM1102" s="122"/>
      <c r="AN1102" s="121"/>
      <c r="AP1102" s="87"/>
    </row>
    <row r="1103" spans="1:42">
      <c r="A1103" s="71" t="s">
        <v>43</v>
      </c>
      <c r="B1103" s="72" t="s">
        <v>100</v>
      </c>
      <c r="C1103" s="71" t="s">
        <v>45</v>
      </c>
      <c r="D1103" s="72" t="s">
        <v>46</v>
      </c>
      <c r="E1103" s="71" t="s">
        <v>102</v>
      </c>
      <c r="F1103" s="72" t="s">
        <v>573</v>
      </c>
      <c r="G1103" s="77"/>
      <c r="H1103" s="72" t="str">
        <f t="shared" ref="H1103:H1134" si="24">CONCATENATE(A1103," ",B1103," ",C1103," ",D1103," ",F1103)</f>
        <v>Embraco R134a 50 Hz 230V EGZS80</v>
      </c>
      <c r="I1103" s="91">
        <v>832.32767053837983</v>
      </c>
      <c r="J1103" s="92">
        <v>27.132676296147697</v>
      </c>
      <c r="K1103" s="92">
        <v>0.16441664520842256</v>
      </c>
      <c r="L1103" s="92">
        <v>0.40517396864136224</v>
      </c>
      <c r="M1103" s="92">
        <v>7.7181291362219503E-2</v>
      </c>
      <c r="N1103" s="92">
        <v>-9.1997466121331278E-2</v>
      </c>
      <c r="O1103" s="92">
        <v>3.3776180144601126E-3</v>
      </c>
      <c r="P1103" s="92">
        <v>2.6385960350200398E-4</v>
      </c>
      <c r="Q1103" s="92">
        <v>-1.8557718163661424E-3</v>
      </c>
      <c r="R1103" s="92">
        <v>2.7896292372875544E-4</v>
      </c>
      <c r="S1103" s="92">
        <v>-186.70573984837</v>
      </c>
      <c r="T1103" s="92">
        <v>-9.5907493297782409</v>
      </c>
      <c r="U1103" s="92">
        <v>15.271551517520844</v>
      </c>
      <c r="V1103" s="92">
        <v>-0.12692763035218843</v>
      </c>
      <c r="W1103" s="92">
        <v>0.33457716283153643</v>
      </c>
      <c r="X1103" s="92">
        <v>-0.180135339298471</v>
      </c>
      <c r="Y1103" s="92">
        <v>-2.1495805131999503E-4</v>
      </c>
      <c r="Z1103" s="92">
        <v>2.1918157250931055E-3</v>
      </c>
      <c r="AA1103" s="92">
        <v>-1.3137231921509058E-3</v>
      </c>
      <c r="AB1103" s="92">
        <v>8.318546029554071E-4</v>
      </c>
      <c r="AC1103" s="119"/>
      <c r="AD1103" s="119"/>
      <c r="AE1103" s="120"/>
      <c r="AF1103" s="119"/>
      <c r="AG1103" s="119"/>
      <c r="AH1103" s="120"/>
      <c r="AI1103" s="121"/>
      <c r="AJ1103" s="121"/>
      <c r="AK1103" s="121"/>
      <c r="AL1103" s="121"/>
      <c r="AM1103" s="122"/>
      <c r="AN1103" s="121"/>
      <c r="AP1103" s="87"/>
    </row>
    <row r="1104" spans="1:42">
      <c r="A1104" s="71" t="s">
        <v>43</v>
      </c>
      <c r="B1104" s="72" t="s">
        <v>100</v>
      </c>
      <c r="C1104" s="71" t="s">
        <v>45</v>
      </c>
      <c r="D1104" s="72" t="s">
        <v>109</v>
      </c>
      <c r="E1104" s="71" t="s">
        <v>102</v>
      </c>
      <c r="F1104" s="72" t="s">
        <v>574</v>
      </c>
      <c r="G1104" s="77"/>
      <c r="H1104" s="72" t="str">
        <f t="shared" si="24"/>
        <v xml:space="preserve">Embraco R134a 50 Hz 220V EGZS80   </v>
      </c>
      <c r="I1104" s="91">
        <v>832.32767053837983</v>
      </c>
      <c r="J1104" s="92">
        <v>27.132676296147697</v>
      </c>
      <c r="K1104" s="92">
        <v>0.16441664520842256</v>
      </c>
      <c r="L1104" s="92">
        <v>0.40517396864136224</v>
      </c>
      <c r="M1104" s="92">
        <v>7.7181291362219503E-2</v>
      </c>
      <c r="N1104" s="92">
        <v>-9.1997466121331278E-2</v>
      </c>
      <c r="O1104" s="92">
        <v>3.3776180144601126E-3</v>
      </c>
      <c r="P1104" s="92">
        <v>2.6385960350200398E-4</v>
      </c>
      <c r="Q1104" s="92">
        <v>-1.8557718163661424E-3</v>
      </c>
      <c r="R1104" s="92">
        <v>2.7896292372875544E-4</v>
      </c>
      <c r="S1104" s="92">
        <v>-186.70573984837</v>
      </c>
      <c r="T1104" s="92">
        <v>-9.5907493297782409</v>
      </c>
      <c r="U1104" s="92">
        <v>15.271551517520844</v>
      </c>
      <c r="V1104" s="92">
        <v>-0.12692763035218843</v>
      </c>
      <c r="W1104" s="92">
        <v>0.33457716283153643</v>
      </c>
      <c r="X1104" s="92">
        <v>-0.180135339298471</v>
      </c>
      <c r="Y1104" s="92">
        <v>-2.1495805131999503E-4</v>
      </c>
      <c r="Z1104" s="92">
        <v>2.1918157250931055E-3</v>
      </c>
      <c r="AA1104" s="92">
        <v>-1.3137231921509058E-3</v>
      </c>
      <c r="AB1104" s="92">
        <v>8.318546029554071E-4</v>
      </c>
      <c r="AC1104" s="119"/>
      <c r="AD1104" s="119"/>
      <c r="AE1104" s="120"/>
      <c r="AF1104" s="119"/>
      <c r="AG1104" s="119"/>
      <c r="AH1104" s="120"/>
      <c r="AI1104" s="121"/>
      <c r="AJ1104" s="121"/>
      <c r="AK1104" s="121"/>
      <c r="AL1104" s="121"/>
      <c r="AM1104" s="122"/>
      <c r="AN1104" s="121"/>
      <c r="AP1104" s="87"/>
    </row>
    <row r="1105" spans="1:42">
      <c r="A1105" s="71" t="s">
        <v>43</v>
      </c>
      <c r="B1105" s="72" t="s">
        <v>100</v>
      </c>
      <c r="C1105" s="71" t="s">
        <v>105</v>
      </c>
      <c r="D1105" s="71" t="s">
        <v>106</v>
      </c>
      <c r="E1105" s="71" t="s">
        <v>102</v>
      </c>
      <c r="F1105" s="72" t="s">
        <v>574</v>
      </c>
      <c r="G1105" s="77"/>
      <c r="H1105" s="72" t="str">
        <f t="shared" si="24"/>
        <v xml:space="preserve">Embraco R134a 60 Hz 127V EGZS80   </v>
      </c>
      <c r="I1105" s="91">
        <v>832.32803040609986</v>
      </c>
      <c r="J1105" s="92">
        <v>27.132652146919078</v>
      </c>
      <c r="K1105" s="92">
        <v>0.16441664993093966</v>
      </c>
      <c r="L1105" s="92">
        <v>0.40517394247430716</v>
      </c>
      <c r="M1105" s="92">
        <v>7.7181293285384783E-2</v>
      </c>
      <c r="N1105" s="92">
        <v>-9.1997678100536495E-2</v>
      </c>
      <c r="O1105" s="92">
        <v>3.3776187017535795E-3</v>
      </c>
      <c r="P1105" s="92">
        <v>2.6385831366925025E-4</v>
      </c>
      <c r="Q1105" s="92">
        <v>-1.8557673798457477E-3</v>
      </c>
      <c r="R1105" s="92">
        <v>2.7896281765857437E-4</v>
      </c>
      <c r="S1105" s="92">
        <v>-108.07352104845812</v>
      </c>
      <c r="T1105" s="92">
        <v>-9.9521633558893505</v>
      </c>
      <c r="U1105" s="92">
        <v>11.122423754359827</v>
      </c>
      <c r="V1105" s="92">
        <v>-0.14017167347364939</v>
      </c>
      <c r="W1105" s="92">
        <v>0.3415988998903392</v>
      </c>
      <c r="X1105" s="92">
        <v>-0.10672597689826334</v>
      </c>
      <c r="Y1105" s="92">
        <v>-5.006007413392951E-4</v>
      </c>
      <c r="Z1105" s="92">
        <v>2.0629154958295959E-3</v>
      </c>
      <c r="AA1105" s="92">
        <v>-1.4354588064396387E-3</v>
      </c>
      <c r="AB1105" s="92">
        <v>4.0594816781746885E-4</v>
      </c>
      <c r="AC1105" s="119"/>
      <c r="AD1105" s="119"/>
      <c r="AE1105" s="120"/>
      <c r="AF1105" s="119"/>
      <c r="AG1105" s="119"/>
      <c r="AH1105" s="120"/>
      <c r="AI1105" s="121"/>
      <c r="AJ1105" s="121"/>
      <c r="AK1105" s="121"/>
      <c r="AL1105" s="121"/>
      <c r="AM1105" s="122"/>
      <c r="AN1105" s="121"/>
      <c r="AP1105" s="87"/>
    </row>
    <row r="1106" spans="1:42">
      <c r="A1106" s="71" t="s">
        <v>43</v>
      </c>
      <c r="B1106" s="72" t="s">
        <v>100</v>
      </c>
      <c r="C1106" s="71" t="s">
        <v>105</v>
      </c>
      <c r="D1106" s="72" t="s">
        <v>109</v>
      </c>
      <c r="E1106" s="71" t="s">
        <v>102</v>
      </c>
      <c r="F1106" s="72" t="s">
        <v>575</v>
      </c>
      <c r="G1106" s="77"/>
      <c r="H1106" s="72" t="str">
        <f t="shared" si="24"/>
        <v>Embraco R134a 60 Hz 220V EGZS80HLC - PTCSCR</v>
      </c>
      <c r="I1106" s="91">
        <v>932.88330588344161</v>
      </c>
      <c r="J1106" s="92">
        <v>26.006015861570653</v>
      </c>
      <c r="K1106" s="92">
        <v>-5.8065762482993941</v>
      </c>
      <c r="L1106" s="92">
        <v>0.38773064348094693</v>
      </c>
      <c r="M1106" s="92">
        <v>0.10447611197005402</v>
      </c>
      <c r="N1106" s="92">
        <v>2.1707678464039069E-2</v>
      </c>
      <c r="O1106" s="92">
        <v>3.326889097218776E-3</v>
      </c>
      <c r="P1106" s="92">
        <v>5.186154242392821E-4</v>
      </c>
      <c r="Q1106" s="92">
        <v>-2.0013760272050048E-3</v>
      </c>
      <c r="R1106" s="92">
        <v>-4.2166323177079273E-4</v>
      </c>
      <c r="S1106" s="92">
        <v>14.924217352792036</v>
      </c>
      <c r="T1106" s="92">
        <v>-9.768730165131787</v>
      </c>
      <c r="U1106" s="92">
        <v>4.1307971646841146</v>
      </c>
      <c r="V1106" s="92">
        <v>-0.11071428537070838</v>
      </c>
      <c r="W1106" s="92">
        <v>0.35671428620482226</v>
      </c>
      <c r="X1106" s="92">
        <v>2.4181126652102879E-2</v>
      </c>
      <c r="Y1106" s="92">
        <v>-2.2222221600193474E-4</v>
      </c>
      <c r="Z1106" s="92">
        <v>1.8571428585240177E-3</v>
      </c>
      <c r="AA1106" s="92">
        <v>-1.6857142895748722E-3</v>
      </c>
      <c r="AB1106" s="92">
        <v>-4.2187695866177606E-4</v>
      </c>
      <c r="AC1106" s="119">
        <v>5.6469733841323526E-2</v>
      </c>
      <c r="AD1106" s="119" t="s">
        <v>549</v>
      </c>
      <c r="AE1106" s="120" t="s">
        <v>549</v>
      </c>
      <c r="AF1106" s="119">
        <v>6.039393107337112E-2</v>
      </c>
      <c r="AG1106" s="119" t="s">
        <v>549</v>
      </c>
      <c r="AH1106" s="120"/>
      <c r="AI1106" s="121"/>
      <c r="AJ1106" s="121"/>
      <c r="AK1106" s="121"/>
      <c r="AL1106" s="121"/>
      <c r="AM1106" s="122"/>
      <c r="AN1106" s="121"/>
      <c r="AP1106" s="87"/>
    </row>
    <row r="1107" spans="1:42">
      <c r="A1107" s="71" t="s">
        <v>43</v>
      </c>
      <c r="B1107" s="72" t="s">
        <v>100</v>
      </c>
      <c r="C1107" s="71" t="s">
        <v>105</v>
      </c>
      <c r="D1107" s="71" t="s">
        <v>106</v>
      </c>
      <c r="E1107" s="71" t="s">
        <v>102</v>
      </c>
      <c r="F1107" s="72" t="s">
        <v>576</v>
      </c>
      <c r="G1107" s="77"/>
      <c r="H1107" s="72" t="str">
        <f t="shared" si="24"/>
        <v>Embraco R134a 60 Hz 127V EGZS80HLP - PTCSCR</v>
      </c>
      <c r="I1107" s="91">
        <v>932.88330588344161</v>
      </c>
      <c r="J1107" s="92">
        <v>26.006015861570653</v>
      </c>
      <c r="K1107" s="92">
        <v>-5.8065762482993941</v>
      </c>
      <c r="L1107" s="92">
        <v>0.38773064348094693</v>
      </c>
      <c r="M1107" s="92">
        <v>0.10447611197005402</v>
      </c>
      <c r="N1107" s="92">
        <v>2.1707678464039069E-2</v>
      </c>
      <c r="O1107" s="92">
        <v>3.326889097218776E-3</v>
      </c>
      <c r="P1107" s="92">
        <v>5.186154242392821E-4</v>
      </c>
      <c r="Q1107" s="92">
        <v>-2.0013760272050048E-3</v>
      </c>
      <c r="R1107" s="92">
        <v>-4.2166323177079273E-4</v>
      </c>
      <c r="S1107" s="92">
        <v>12.744505862871456</v>
      </c>
      <c r="T1107" s="92">
        <v>-11.441699738515178</v>
      </c>
      <c r="U1107" s="92">
        <v>3.8682993839245383</v>
      </c>
      <c r="V1107" s="92">
        <v>-0.13220238126314993</v>
      </c>
      <c r="W1107" s="92">
        <v>0.40317857132482104</v>
      </c>
      <c r="X1107" s="92">
        <v>3.8626436511336529E-2</v>
      </c>
      <c r="Y1107" s="92">
        <v>-2.9629630027771419E-4</v>
      </c>
      <c r="Z1107" s="92">
        <v>2.178571429615605E-3</v>
      </c>
      <c r="AA1107" s="92">
        <v>-1.9428571415822226E-3</v>
      </c>
      <c r="AB1107" s="92">
        <v>-5.3943872012276605E-4</v>
      </c>
      <c r="AC1107" s="119">
        <v>5.6469733841323526E-2</v>
      </c>
      <c r="AD1107" s="119" t="s">
        <v>549</v>
      </c>
      <c r="AE1107" s="120" t="s">
        <v>549</v>
      </c>
      <c r="AF1107" s="119">
        <v>2.7445092309219415E-2</v>
      </c>
      <c r="AG1107" s="119" t="s">
        <v>549</v>
      </c>
      <c r="AH1107" s="120"/>
      <c r="AI1107" s="121"/>
      <c r="AJ1107" s="121"/>
      <c r="AK1107" s="121"/>
      <c r="AL1107" s="121"/>
      <c r="AM1107" s="122"/>
      <c r="AN1107" s="121"/>
      <c r="AP1107" s="87"/>
    </row>
    <row r="1108" spans="1:42">
      <c r="A1108" s="71" t="s">
        <v>43</v>
      </c>
      <c r="B1108" s="72" t="s">
        <v>100</v>
      </c>
      <c r="C1108" s="71" t="s">
        <v>45</v>
      </c>
      <c r="D1108" s="72" t="s">
        <v>46</v>
      </c>
      <c r="E1108" s="71" t="s">
        <v>102</v>
      </c>
      <c r="F1108" s="72" t="s">
        <v>577</v>
      </c>
      <c r="G1108" s="77"/>
      <c r="H1108" s="72" t="str">
        <f t="shared" si="24"/>
        <v xml:space="preserve">Embraco R134a 50 Hz 230V EGZS90HLC - RSIR </v>
      </c>
      <c r="I1108" s="91">
        <v>834.64987845962776</v>
      </c>
      <c r="J1108" s="92">
        <v>37.167246534786678</v>
      </c>
      <c r="K1108" s="92">
        <v>0.13192772281340837</v>
      </c>
      <c r="L1108" s="92">
        <v>0.68787291145584484</v>
      </c>
      <c r="M1108" s="92">
        <v>-0.14076088527551173</v>
      </c>
      <c r="N1108" s="92">
        <v>-0.11923266827971032</v>
      </c>
      <c r="O1108" s="92">
        <v>4.6667694980616747E-3</v>
      </c>
      <c r="P1108" s="92">
        <v>-3.6133710723457754E-3</v>
      </c>
      <c r="Q1108" s="92">
        <v>-1.3738337154407781E-3</v>
      </c>
      <c r="R1108" s="92">
        <v>5.0177976625976424E-4</v>
      </c>
      <c r="S1108" s="92">
        <v>136.59993406948806</v>
      </c>
      <c r="T1108" s="92">
        <v>-0.16029779424211346</v>
      </c>
      <c r="U1108" s="92">
        <v>2.8673462855596452E-2</v>
      </c>
      <c r="V1108" s="92">
        <v>-5.432487439079834E-2</v>
      </c>
      <c r="W1108" s="92">
        <v>5.1834358099500759E-2</v>
      </c>
      <c r="X1108" s="92">
        <v>5.6977979805184133E-2</v>
      </c>
      <c r="Y1108" s="92">
        <v>-3.3375821815429207E-4</v>
      </c>
      <c r="Z1108" s="92">
        <v>8.5262366636353005E-4</v>
      </c>
      <c r="AA1108" s="92">
        <v>6.7843550717715056E-4</v>
      </c>
      <c r="AB1108" s="92">
        <v>-3.8671655375907148E-4</v>
      </c>
      <c r="AC1108" s="119">
        <v>7.5999999999999998E-2</v>
      </c>
      <c r="AD1108" s="119" t="s">
        <v>549</v>
      </c>
      <c r="AE1108" s="120" t="s">
        <v>549</v>
      </c>
      <c r="AF1108" s="119">
        <v>6.9000000000000006E-2</v>
      </c>
      <c r="AG1108" s="119" t="s">
        <v>549</v>
      </c>
      <c r="AH1108" s="120"/>
      <c r="AI1108" s="121"/>
      <c r="AJ1108" s="121"/>
      <c r="AK1108" s="121"/>
      <c r="AL1108" s="121"/>
      <c r="AM1108" s="122"/>
      <c r="AN1108" s="121"/>
      <c r="AP1108" s="87"/>
    </row>
    <row r="1109" spans="1:42">
      <c r="A1109" s="71" t="s">
        <v>43</v>
      </c>
      <c r="B1109" s="72" t="s">
        <v>100</v>
      </c>
      <c r="C1109" s="71" t="s">
        <v>105</v>
      </c>
      <c r="D1109" s="72" t="s">
        <v>101</v>
      </c>
      <c r="E1109" s="71" t="s">
        <v>102</v>
      </c>
      <c r="F1109" s="72" t="s">
        <v>578</v>
      </c>
      <c r="G1109" s="77"/>
      <c r="H1109" s="72" t="str">
        <f t="shared" si="24"/>
        <v>Embraco R134a 60 Hz 115V EM 3Z60HLT</v>
      </c>
      <c r="I1109" s="91">
        <v>820.53598570552208</v>
      </c>
      <c r="J1109" s="92">
        <v>32.992790081036439</v>
      </c>
      <c r="K1109" s="92">
        <v>-6.6027150280836118</v>
      </c>
      <c r="L1109" s="92">
        <v>0.49953711119307059</v>
      </c>
      <c r="M1109" s="92">
        <v>-0.29467842971037994</v>
      </c>
      <c r="N1109" s="92">
        <v>-7.4619724423159338E-3</v>
      </c>
      <c r="O1109" s="92">
        <v>3.1302745188149612E-3</v>
      </c>
      <c r="P1109" s="92">
        <v>-3.0428793748005106E-3</v>
      </c>
      <c r="Q1109" s="92">
        <v>6.9055226822110438E-4</v>
      </c>
      <c r="R1109" s="92">
        <v>8.7459249043674698E-5</v>
      </c>
      <c r="S1109" s="92">
        <v>111.31472239518666</v>
      </c>
      <c r="T1109" s="92">
        <v>2.3836845310572428</v>
      </c>
      <c r="U1109" s="92">
        <v>0.48780477601727484</v>
      </c>
      <c r="V1109" s="92">
        <v>3.0376384241433092E-2</v>
      </c>
      <c r="W1109" s="92">
        <v>-1.6083232865422868E-2</v>
      </c>
      <c r="X1109" s="92">
        <v>2.4707507496150981E-2</v>
      </c>
      <c r="Y1109" s="92">
        <v>5.0395626618344894E-4</v>
      </c>
      <c r="Z1109" s="92">
        <v>1.0889250269364451E-4</v>
      </c>
      <c r="AA1109" s="92">
        <v>9.094115113845965E-4</v>
      </c>
      <c r="AB1109" s="92">
        <v>-1.2785262650778656E-4</v>
      </c>
      <c r="AC1109" s="119">
        <v>0.14419831868303329</v>
      </c>
      <c r="AD1109" s="119">
        <v>4.9739151170403906</v>
      </c>
      <c r="AE1109" s="120">
        <v>1.8249736980266575E-2</v>
      </c>
      <c r="AF1109" s="119">
        <v>3.6649524647949863E-2</v>
      </c>
      <c r="AG1109" s="119">
        <v>1.9292209833334215</v>
      </c>
      <c r="AH1109" s="120">
        <v>4.6437217964448892E-3</v>
      </c>
      <c r="AI1109" s="121">
        <v>-35</v>
      </c>
      <c r="AJ1109" s="121">
        <v>-5</v>
      </c>
      <c r="AK1109" s="121">
        <v>35</v>
      </c>
      <c r="AL1109" s="121">
        <v>65</v>
      </c>
      <c r="AM1109" s="122">
        <v>41912</v>
      </c>
      <c r="AN1109" s="121" t="s">
        <v>504</v>
      </c>
      <c r="AP1109" s="87"/>
    </row>
    <row r="1110" spans="1:42">
      <c r="A1110" s="71" t="s">
        <v>43</v>
      </c>
      <c r="B1110" s="72" t="s">
        <v>100</v>
      </c>
      <c r="C1110" s="71" t="s">
        <v>105</v>
      </c>
      <c r="D1110" s="72" t="s">
        <v>101</v>
      </c>
      <c r="E1110" s="71" t="s">
        <v>102</v>
      </c>
      <c r="F1110" s="72" t="s">
        <v>579</v>
      </c>
      <c r="G1110" s="77"/>
      <c r="H1110" s="72" t="str">
        <f t="shared" si="24"/>
        <v xml:space="preserve">Embraco R134a 60 Hz 115V EM20HHR   </v>
      </c>
      <c r="I1110" s="91">
        <v>236.594565948856</v>
      </c>
      <c r="J1110" s="92">
        <v>11.384498654104981</v>
      </c>
      <c r="K1110" s="92">
        <v>4.775099091520862</v>
      </c>
      <c r="L1110" s="92">
        <v>6.6173204912516825E-2</v>
      </c>
      <c r="M1110" s="92">
        <v>-7.1467025572005377E-2</v>
      </c>
      <c r="N1110" s="92">
        <v>-0.18535767160161506</v>
      </c>
      <c r="O1110" s="92">
        <v>-4.4115403768506061E-4</v>
      </c>
      <c r="P1110" s="92">
        <v>-4.8135423956931367E-15</v>
      </c>
      <c r="Q1110" s="92">
        <v>-1.9851951547779275E-4</v>
      </c>
      <c r="R1110" s="92">
        <v>1.3656653768506057E-3</v>
      </c>
      <c r="S1110" s="92">
        <v>117.96625172890735</v>
      </c>
      <c r="T1110" s="92">
        <v>1.5890613185799911</v>
      </c>
      <c r="U1110" s="92">
        <v>-2.0224075610880594</v>
      </c>
      <c r="V1110" s="92">
        <v>8.114338404794838E-2</v>
      </c>
      <c r="W1110" s="92">
        <v>4.057169202397419E-2</v>
      </c>
      <c r="X1110" s="92">
        <v>7.4510723835869083E-2</v>
      </c>
      <c r="Y1110" s="92">
        <v>1.3523863531581376E-3</v>
      </c>
      <c r="Z1110" s="92">
        <v>1.983681881051176E-14</v>
      </c>
      <c r="AA1110" s="92">
        <v>-4.6930493314891664E-16</v>
      </c>
      <c r="AB1110" s="92">
        <v>-6.2706390041493778E-4</v>
      </c>
      <c r="AC1110" s="119"/>
      <c r="AD1110" s="119"/>
      <c r="AE1110" s="120"/>
      <c r="AF1110" s="119"/>
      <c r="AG1110" s="119"/>
      <c r="AH1110" s="120"/>
      <c r="AI1110" s="121"/>
      <c r="AJ1110" s="121"/>
      <c r="AK1110" s="121"/>
      <c r="AL1110" s="121"/>
      <c r="AM1110" s="122"/>
      <c r="AN1110" s="121"/>
      <c r="AP1110" s="87"/>
    </row>
    <row r="1111" spans="1:42">
      <c r="A1111" s="93" t="s">
        <v>43</v>
      </c>
      <c r="B1111" s="94" t="s">
        <v>100</v>
      </c>
      <c r="C1111" s="93" t="s">
        <v>105</v>
      </c>
      <c r="D1111" s="94" t="s">
        <v>109</v>
      </c>
      <c r="E1111" s="93" t="s">
        <v>102</v>
      </c>
      <c r="F1111" s="94" t="s">
        <v>580</v>
      </c>
      <c r="G1111" s="95"/>
      <c r="H1111" s="94" t="str">
        <f t="shared" si="24"/>
        <v>Embraco R134a 60 Hz 220V EM2S80HLR  - RSIR</v>
      </c>
      <c r="I1111" s="97">
        <v>1180.5687857886926</v>
      </c>
      <c r="J1111" s="97">
        <v>50.090023895117433</v>
      </c>
      <c r="K1111" s="96">
        <v>-13.49983318057061</v>
      </c>
      <c r="L1111" s="96">
        <v>0.73434103974524345</v>
      </c>
      <c r="M1111" s="96">
        <v>-0.55477407156801584</v>
      </c>
      <c r="N1111" s="96">
        <v>4.4082652082874305E-2</v>
      </c>
      <c r="O1111" s="96">
        <v>3.4197753331339275E-3</v>
      </c>
      <c r="P1111" s="96">
        <v>-5.6633142581630118E-3</v>
      </c>
      <c r="Q1111" s="96">
        <v>1.6769803669151569E-3</v>
      </c>
      <c r="R1111" s="96">
        <v>-2.2862106912516887E-5</v>
      </c>
      <c r="S1111" s="96">
        <v>205.49724371326397</v>
      </c>
      <c r="T1111" s="96">
        <v>7.6330927927129997</v>
      </c>
      <c r="U1111" s="96">
        <v>-0.25887963744184134</v>
      </c>
      <c r="V1111" s="96">
        <v>8.2881099838803832E-2</v>
      </c>
      <c r="W1111" s="96">
        <v>-0.12478523871172234</v>
      </c>
      <c r="X1111" s="96">
        <v>2.3658580241374686E-2</v>
      </c>
      <c r="Y1111" s="96">
        <v>3.2850081628156813E-4</v>
      </c>
      <c r="Z1111" s="96">
        <v>-7.1736541389971645E-4</v>
      </c>
      <c r="AA1111" s="96">
        <v>1.7507222782263126E-3</v>
      </c>
      <c r="AB1111" s="96">
        <v>1.2746477113212543E-5</v>
      </c>
      <c r="AC1111" s="119">
        <v>0.12337630922609343</v>
      </c>
      <c r="AD1111" s="119">
        <v>4.1936213595216918</v>
      </c>
      <c r="AE1111" s="120">
        <v>1.1322643465300279E-2</v>
      </c>
      <c r="AF1111" s="119">
        <v>3.9248115616930847E-2</v>
      </c>
      <c r="AG1111" s="119">
        <v>2.0347006988442677</v>
      </c>
      <c r="AH1111" s="120">
        <v>3.6604653845405009E-3</v>
      </c>
      <c r="AI1111" s="121">
        <v>-35</v>
      </c>
      <c r="AJ1111" s="121">
        <v>-10</v>
      </c>
      <c r="AK1111" s="121">
        <v>35</v>
      </c>
      <c r="AL1111" s="121">
        <v>65</v>
      </c>
      <c r="AM1111" s="122">
        <v>42921</v>
      </c>
      <c r="AN1111" s="121" t="s">
        <v>542</v>
      </c>
      <c r="AP1111" s="87"/>
    </row>
    <row r="1112" spans="1:42">
      <c r="A1112" s="93" t="s">
        <v>43</v>
      </c>
      <c r="B1112" s="94" t="s">
        <v>100</v>
      </c>
      <c r="C1112" s="93" t="s">
        <v>105</v>
      </c>
      <c r="D1112" s="94" t="s">
        <v>106</v>
      </c>
      <c r="E1112" s="93" t="s">
        <v>102</v>
      </c>
      <c r="F1112" s="94" t="s">
        <v>581</v>
      </c>
      <c r="G1112" s="95"/>
      <c r="H1112" s="94" t="str">
        <f t="shared" si="24"/>
        <v>Embraco R134a 60 Hz 127V EM2S80HLR - RSIR</v>
      </c>
      <c r="I1112" s="97">
        <v>1033.9089679090271</v>
      </c>
      <c r="J1112" s="97">
        <v>42.408171852129634</v>
      </c>
      <c r="K1112" s="96">
        <v>-8.312547187953804</v>
      </c>
      <c r="L1112" s="96">
        <v>0.50343997187676814</v>
      </c>
      <c r="M1112" s="96">
        <v>-0.45876394269857174</v>
      </c>
      <c r="N1112" s="96">
        <v>-2.7063975328412381E-2</v>
      </c>
      <c r="O1112" s="96">
        <v>1.564201295094055E-3</v>
      </c>
      <c r="P1112" s="96">
        <v>-3.6903273358487899E-3</v>
      </c>
      <c r="Q1112" s="96">
        <v>1.7065846224450191E-3</v>
      </c>
      <c r="R1112" s="96">
        <v>3.7698197045066679E-4</v>
      </c>
      <c r="S1112" s="96">
        <v>137.55637302345613</v>
      </c>
      <c r="T1112" s="96">
        <v>3.8132937321481788</v>
      </c>
      <c r="U1112" s="96">
        <v>2.2702122419803508</v>
      </c>
      <c r="V1112" s="96">
        <v>-9.8131096520897507E-3</v>
      </c>
      <c r="W1112" s="96">
        <v>-6.0313162864855892E-2</v>
      </c>
      <c r="X1112" s="96">
        <v>-1.0235469574333357E-2</v>
      </c>
      <c r="Y1112" s="96">
        <v>-4.1396499633095888E-4</v>
      </c>
      <c r="Z1112" s="96">
        <v>-7.0053648113097087E-5</v>
      </c>
      <c r="AA1112" s="96">
        <v>1.4049945039931581E-3</v>
      </c>
      <c r="AB1112" s="96">
        <v>1.4830000236006792E-4</v>
      </c>
      <c r="AC1112" s="119">
        <v>2.1614035415613821E-2</v>
      </c>
      <c r="AD1112" s="119">
        <v>1.051796871223392</v>
      </c>
      <c r="AE1112" s="120">
        <v>4.4987800860493412E-3</v>
      </c>
      <c r="AF1112" s="119">
        <v>4.9974826483992596E-2</v>
      </c>
      <c r="AG1112" s="119">
        <v>1.6814481340775513</v>
      </c>
      <c r="AH1112" s="120">
        <v>3.3502661918768215E-3</v>
      </c>
      <c r="AI1112" s="121">
        <v>-35</v>
      </c>
      <c r="AJ1112" s="121">
        <v>-10</v>
      </c>
      <c r="AK1112" s="121">
        <v>35</v>
      </c>
      <c r="AL1112" s="121">
        <v>65</v>
      </c>
      <c r="AM1112" s="122">
        <v>43168</v>
      </c>
      <c r="AN1112" s="121" t="s">
        <v>515</v>
      </c>
      <c r="AP1112" s="87"/>
    </row>
    <row r="1113" spans="1:42">
      <c r="A1113" s="71" t="s">
        <v>43</v>
      </c>
      <c r="B1113" s="72" t="s">
        <v>100</v>
      </c>
      <c r="C1113" s="71" t="s">
        <v>105</v>
      </c>
      <c r="D1113" s="72" t="s">
        <v>109</v>
      </c>
      <c r="E1113" s="71" t="s">
        <v>102</v>
      </c>
      <c r="F1113" s="72" t="s">
        <v>582</v>
      </c>
      <c r="G1113" s="77"/>
      <c r="H1113" s="72" t="str">
        <f t="shared" si="24"/>
        <v>Embraco R134a 60 Hz 220V EM2U60HLP - PTCSCR</v>
      </c>
      <c r="I1113" s="91">
        <v>1118.9621110265343</v>
      </c>
      <c r="J1113" s="92">
        <v>44.317467008919301</v>
      </c>
      <c r="K1113" s="92">
        <v>-17.616702256958792</v>
      </c>
      <c r="L1113" s="92">
        <v>0.66358263753406954</v>
      </c>
      <c r="M1113" s="92">
        <v>-0.54632074622275362</v>
      </c>
      <c r="N1113" s="92">
        <v>0.12106225196303902</v>
      </c>
      <c r="O1113" s="92">
        <v>4.8404204271237294E-3</v>
      </c>
      <c r="P1113" s="92">
        <v>-3.3278762706173736E-3</v>
      </c>
      <c r="Q1113" s="92">
        <v>2.73364184313121E-3</v>
      </c>
      <c r="R1113" s="92">
        <v>-2.1567184429808158E-4</v>
      </c>
      <c r="S1113" s="92">
        <v>-0.15349341773246389</v>
      </c>
      <c r="T1113" s="92">
        <v>-6.0669166380053561</v>
      </c>
      <c r="U1113" s="92">
        <v>6.08411096751923</v>
      </c>
      <c r="V1113" s="92">
        <v>-7.0498851860123751E-2</v>
      </c>
      <c r="W1113" s="92">
        <v>0.30868651145110526</v>
      </c>
      <c r="X1113" s="92">
        <v>-3.3437434248282528E-2</v>
      </c>
      <c r="Y1113" s="92">
        <v>5.4222102938894208E-4</v>
      </c>
      <c r="Z1113" s="92">
        <v>2.878947283491405E-3</v>
      </c>
      <c r="AA1113" s="92">
        <v>-1.3578096951197311E-3</v>
      </c>
      <c r="AB1113" s="92">
        <v>4.2440509721474729E-6</v>
      </c>
      <c r="AC1113" s="119">
        <v>0.14509607040059261</v>
      </c>
      <c r="AD1113" s="119" t="s">
        <v>549</v>
      </c>
      <c r="AE1113" s="120" t="s">
        <v>549</v>
      </c>
      <c r="AF1113" s="119">
        <v>5.0756416662571649E-2</v>
      </c>
      <c r="AG1113" s="119" t="s">
        <v>549</v>
      </c>
      <c r="AH1113" s="120"/>
      <c r="AI1113" s="121"/>
      <c r="AJ1113" s="121"/>
      <c r="AK1113" s="121"/>
      <c r="AL1113" s="121"/>
      <c r="AM1113" s="122"/>
      <c r="AN1113" s="121"/>
      <c r="AP1113" s="87"/>
    </row>
    <row r="1114" spans="1:42">
      <c r="A1114" s="71" t="s">
        <v>43</v>
      </c>
      <c r="B1114" s="72" t="s">
        <v>100</v>
      </c>
      <c r="C1114" s="71" t="s">
        <v>105</v>
      </c>
      <c r="D1114" s="71" t="s">
        <v>106</v>
      </c>
      <c r="E1114" s="71" t="s">
        <v>102</v>
      </c>
      <c r="F1114" s="72" t="s">
        <v>582</v>
      </c>
      <c r="G1114" s="77"/>
      <c r="H1114" s="72" t="str">
        <f t="shared" si="24"/>
        <v>Embraco R134a 60 Hz 127V EM2U60HLP - PTCSCR</v>
      </c>
      <c r="I1114" s="91">
        <v>1118.9621110265343</v>
      </c>
      <c r="J1114" s="92">
        <v>44.317467008919301</v>
      </c>
      <c r="K1114" s="92">
        <v>-17.616702256958792</v>
      </c>
      <c r="L1114" s="92">
        <v>0.66358263753406954</v>
      </c>
      <c r="M1114" s="92">
        <v>-0.54632074622275362</v>
      </c>
      <c r="N1114" s="92">
        <v>0.12106225196303902</v>
      </c>
      <c r="O1114" s="92">
        <v>4.8404204271237294E-3</v>
      </c>
      <c r="P1114" s="92">
        <v>-3.3278762706173736E-3</v>
      </c>
      <c r="Q1114" s="92">
        <v>2.73364184313121E-3</v>
      </c>
      <c r="R1114" s="92">
        <v>-2.1567184429808158E-4</v>
      </c>
      <c r="S1114" s="92">
        <v>-0.21738332542758176</v>
      </c>
      <c r="T1114" s="92">
        <v>1.003177899728666</v>
      </c>
      <c r="U1114" s="92">
        <v>6.3966012470970091</v>
      </c>
      <c r="V1114" s="92">
        <v>0.18387416763886114</v>
      </c>
      <c r="W1114" s="92">
        <v>0.156568552505435</v>
      </c>
      <c r="X1114" s="92">
        <v>-4.5822251826319396E-2</v>
      </c>
      <c r="Y1114" s="92">
        <v>2.987704649960927E-3</v>
      </c>
      <c r="Z1114" s="92">
        <v>-1.6001118036601512E-4</v>
      </c>
      <c r="AA1114" s="92">
        <v>-1.0785351946802438E-3</v>
      </c>
      <c r="AB1114" s="92">
        <v>-1.0302607140703788E-5</v>
      </c>
      <c r="AC1114" s="119">
        <v>0.14509607040059261</v>
      </c>
      <c r="AD1114" s="119" t="s">
        <v>549</v>
      </c>
      <c r="AE1114" s="120" t="s">
        <v>549</v>
      </c>
      <c r="AF1114" s="119">
        <v>4.7706375677004344E-2</v>
      </c>
      <c r="AG1114" s="119" t="s">
        <v>549</v>
      </c>
      <c r="AH1114" s="120"/>
      <c r="AI1114" s="121"/>
      <c r="AJ1114" s="121"/>
      <c r="AK1114" s="121"/>
      <c r="AL1114" s="121"/>
      <c r="AM1114" s="122"/>
      <c r="AN1114" s="121"/>
      <c r="AP1114" s="87"/>
    </row>
    <row r="1115" spans="1:42">
      <c r="A1115" s="71" t="s">
        <v>43</v>
      </c>
      <c r="B1115" s="72" t="s">
        <v>100</v>
      </c>
      <c r="C1115" s="71" t="s">
        <v>45</v>
      </c>
      <c r="D1115" s="72" t="s">
        <v>109</v>
      </c>
      <c r="E1115" s="71" t="s">
        <v>102</v>
      </c>
      <c r="F1115" s="72" t="s">
        <v>583</v>
      </c>
      <c r="G1115" s="77"/>
      <c r="H1115" s="72" t="str">
        <f t="shared" si="24"/>
        <v>Embraco R134a 50 Hz 220V EM2U60HLP - PTCSIR</v>
      </c>
      <c r="I1115" s="91">
        <v>664.84999570522859</v>
      </c>
      <c r="J1115" s="92">
        <v>22.504999165133682</v>
      </c>
      <c r="K1115" s="92">
        <v>-2.128951290727878</v>
      </c>
      <c r="L1115" s="92">
        <v>0.24429319490977858</v>
      </c>
      <c r="M1115" s="92">
        <v>-3.877624338997334E-2</v>
      </c>
      <c r="N1115" s="92">
        <v>-5.1984181849822821E-2</v>
      </c>
      <c r="O1115" s="92">
        <v>-3.4532230761517396E-4</v>
      </c>
      <c r="P1115" s="92">
        <v>-1.7299257938511638E-3</v>
      </c>
      <c r="Q1115" s="92">
        <v>-1.4932037204578514E-3</v>
      </c>
      <c r="R1115" s="92">
        <v>1.376516597320298E-4</v>
      </c>
      <c r="S1115" s="92">
        <v>0.41223514313005372</v>
      </c>
      <c r="T1115" s="92">
        <v>-3.9541001589708151</v>
      </c>
      <c r="U1115" s="92">
        <v>4.1819649322266272</v>
      </c>
      <c r="V1115" s="92">
        <v>-0.12557702428618145</v>
      </c>
      <c r="W1115" s="92">
        <v>0.12887015970645774</v>
      </c>
      <c r="X1115" s="92">
        <v>-1.0469391186419775E-2</v>
      </c>
      <c r="Y1115" s="92">
        <v>-5.0092824213941495E-4</v>
      </c>
      <c r="Z1115" s="92">
        <v>1.9094040825121635E-3</v>
      </c>
      <c r="AA1115" s="92">
        <v>-5.8387241651510277E-6</v>
      </c>
      <c r="AB1115" s="92">
        <v>-1.1339737753598321E-4</v>
      </c>
      <c r="AC1115" s="119">
        <v>1.5038400110834144E-2</v>
      </c>
      <c r="AD1115" s="119">
        <v>0.72908330176168556</v>
      </c>
      <c r="AE1115" s="120">
        <v>3.8297695450175899E-3</v>
      </c>
      <c r="AF1115" s="119">
        <v>5.7359249971205228E-2</v>
      </c>
      <c r="AG1115" s="119">
        <v>1.5358075033242</v>
      </c>
      <c r="AH1115" s="120">
        <v>5.9672946299517858E-3</v>
      </c>
      <c r="AI1115" s="121">
        <v>-35</v>
      </c>
      <c r="AJ1115" s="121">
        <v>-10</v>
      </c>
      <c r="AK1115" s="121">
        <v>35</v>
      </c>
      <c r="AL1115" s="121">
        <v>65</v>
      </c>
      <c r="AM1115" s="122">
        <v>42033</v>
      </c>
      <c r="AN1115" s="121" t="s">
        <v>481</v>
      </c>
      <c r="AP1115" s="87"/>
    </row>
    <row r="1116" spans="1:42">
      <c r="A1116" s="71" t="s">
        <v>43</v>
      </c>
      <c r="B1116" s="72" t="s">
        <v>100</v>
      </c>
      <c r="C1116" s="71" t="s">
        <v>105</v>
      </c>
      <c r="D1116" s="72" t="s">
        <v>109</v>
      </c>
      <c r="E1116" s="71" t="s">
        <v>102</v>
      </c>
      <c r="F1116" s="72" t="s">
        <v>583</v>
      </c>
      <c r="G1116" s="77"/>
      <c r="H1116" s="72" t="str">
        <f t="shared" si="24"/>
        <v>Embraco R134a 60 Hz 220V EM2U60HLP - PTCSIR</v>
      </c>
      <c r="I1116" s="91">
        <v>1118.9621110265343</v>
      </c>
      <c r="J1116" s="92">
        <v>44.317467008919301</v>
      </c>
      <c r="K1116" s="92">
        <v>-17.616702256958792</v>
      </c>
      <c r="L1116" s="92">
        <v>0.66358263753406954</v>
      </c>
      <c r="M1116" s="92">
        <v>-0.54632074622275362</v>
      </c>
      <c r="N1116" s="92">
        <v>0.12106225196303902</v>
      </c>
      <c r="O1116" s="92">
        <v>4.8404204271237294E-3</v>
      </c>
      <c r="P1116" s="92">
        <v>-3.3278762706173736E-3</v>
      </c>
      <c r="Q1116" s="92">
        <v>2.73364184313121E-3</v>
      </c>
      <c r="R1116" s="92">
        <v>-2.1567184429808158E-4</v>
      </c>
      <c r="S1116" s="92">
        <v>-5.868306963736571</v>
      </c>
      <c r="T1116" s="92">
        <v>-8.2018738655983174</v>
      </c>
      <c r="U1116" s="92">
        <v>6.6816697236139539</v>
      </c>
      <c r="V1116" s="92">
        <v>-0.16685464299297836</v>
      </c>
      <c r="W1116" s="92">
        <v>0.33814426255480695</v>
      </c>
      <c r="X1116" s="92">
        <v>-4.293163184516266E-2</v>
      </c>
      <c r="Y1116" s="92">
        <v>-1.0240907035465447E-3</v>
      </c>
      <c r="Z1116" s="92">
        <v>2.9397337093438032E-3</v>
      </c>
      <c r="AA1116" s="92">
        <v>-1.578691311531083E-3</v>
      </c>
      <c r="AB1116" s="92">
        <v>7.5967744164277197E-5</v>
      </c>
      <c r="AC1116" s="119">
        <v>0.14509607040059261</v>
      </c>
      <c r="AD1116" s="119" t="s">
        <v>549</v>
      </c>
      <c r="AE1116" s="120" t="s">
        <v>549</v>
      </c>
      <c r="AF1116" s="119">
        <v>3.5319526543973072E-2</v>
      </c>
      <c r="AG1116" s="119" t="s">
        <v>549</v>
      </c>
      <c r="AH1116" s="120"/>
      <c r="AI1116" s="121"/>
      <c r="AJ1116" s="121"/>
      <c r="AK1116" s="121"/>
      <c r="AL1116" s="121"/>
      <c r="AM1116" s="122"/>
      <c r="AN1116" s="121"/>
      <c r="AP1116" s="87"/>
    </row>
    <row r="1117" spans="1:42">
      <c r="A1117" s="71" t="s">
        <v>43</v>
      </c>
      <c r="B1117" s="72" t="s">
        <v>100</v>
      </c>
      <c r="C1117" s="71" t="s">
        <v>105</v>
      </c>
      <c r="D1117" s="71" t="s">
        <v>106</v>
      </c>
      <c r="E1117" s="71" t="s">
        <v>102</v>
      </c>
      <c r="F1117" s="72" t="s">
        <v>583</v>
      </c>
      <c r="G1117" s="77"/>
      <c r="H1117" s="72" t="str">
        <f t="shared" si="24"/>
        <v>Embraco R134a 60 Hz 127V EM2U60HLP - PTCSIR</v>
      </c>
      <c r="I1117" s="91">
        <v>1118.9621110265343</v>
      </c>
      <c r="J1117" s="92">
        <v>44.317467008919301</v>
      </c>
      <c r="K1117" s="92">
        <v>-17.616702256958792</v>
      </c>
      <c r="L1117" s="92">
        <v>0.66358263753406954</v>
      </c>
      <c r="M1117" s="92">
        <v>-0.54632074622275362</v>
      </c>
      <c r="N1117" s="92">
        <v>0.12106225196303902</v>
      </c>
      <c r="O1117" s="92">
        <v>4.8404204271237294E-3</v>
      </c>
      <c r="P1117" s="92">
        <v>-3.3278762706173736E-3</v>
      </c>
      <c r="Q1117" s="92">
        <v>2.73364184313121E-3</v>
      </c>
      <c r="R1117" s="92">
        <v>-2.1567184429808158E-4</v>
      </c>
      <c r="S1117" s="92">
        <v>29.163137296539578</v>
      </c>
      <c r="T1117" s="92">
        <v>-2.239805418385084</v>
      </c>
      <c r="U1117" s="92">
        <v>4.5789430802218067</v>
      </c>
      <c r="V1117" s="92">
        <v>1.9059680421438548E-4</v>
      </c>
      <c r="W1117" s="92">
        <v>0.17660173844322291</v>
      </c>
      <c r="X1117" s="92">
        <v>-4.9665394290075091E-3</v>
      </c>
      <c r="Y1117" s="92">
        <v>1.5640508005003404E-4</v>
      </c>
      <c r="Z1117" s="92">
        <v>1.1125331199945508E-4</v>
      </c>
      <c r="AA1117" s="92">
        <v>-1.2604608990098123E-3</v>
      </c>
      <c r="AB1117" s="92">
        <v>-3.3391271338844994E-4</v>
      </c>
      <c r="AC1117" s="119">
        <v>0.14509607040059261</v>
      </c>
      <c r="AD1117" s="119" t="s">
        <v>549</v>
      </c>
      <c r="AE1117" s="120" t="s">
        <v>549</v>
      </c>
      <c r="AF1117" s="119">
        <v>9.1274235443600513E-2</v>
      </c>
      <c r="AG1117" s="119" t="s">
        <v>549</v>
      </c>
      <c r="AH1117" s="120"/>
      <c r="AI1117" s="121"/>
      <c r="AJ1117" s="121"/>
      <c r="AK1117" s="121"/>
      <c r="AL1117" s="121"/>
      <c r="AM1117" s="122"/>
      <c r="AN1117" s="121"/>
      <c r="AP1117" s="87"/>
    </row>
    <row r="1118" spans="1:42">
      <c r="A1118" s="71" t="s">
        <v>43</v>
      </c>
      <c r="B1118" s="72" t="s">
        <v>100</v>
      </c>
      <c r="C1118" s="71" t="s">
        <v>45</v>
      </c>
      <c r="D1118" s="72" t="s">
        <v>46</v>
      </c>
      <c r="E1118" s="71" t="s">
        <v>102</v>
      </c>
      <c r="F1118" s="72" t="s">
        <v>584</v>
      </c>
      <c r="G1118" s="77"/>
      <c r="H1118" s="72" t="str">
        <f t="shared" si="24"/>
        <v>Embraco R134a 50 Hz 230V EM2Y80HLP - RSIR</v>
      </c>
      <c r="I1118" s="91">
        <v>721.16621266367326</v>
      </c>
      <c r="J1118" s="92">
        <v>21.68828959017257</v>
      </c>
      <c r="K1118" s="92">
        <v>-2.4618577221866996E-2</v>
      </c>
      <c r="L1118" s="92">
        <v>7.8515667811292655E-2</v>
      </c>
      <c r="M1118" s="92">
        <v>-7.9379554208417764E-3</v>
      </c>
      <c r="N1118" s="92">
        <v>-8.882499134790417E-2</v>
      </c>
      <c r="O1118" s="92">
        <v>-2.0439361711965883E-3</v>
      </c>
      <c r="P1118" s="92">
        <v>-3.1359338206725303E-4</v>
      </c>
      <c r="Q1118" s="92">
        <v>-1.5455465608412108E-3</v>
      </c>
      <c r="R1118" s="92">
        <v>2.4129621567746038E-4</v>
      </c>
      <c r="S1118" s="92">
        <v>99.895097043547381</v>
      </c>
      <c r="T1118" s="92">
        <v>-3.5755697242515816</v>
      </c>
      <c r="U1118" s="92">
        <v>0.10349896489472397</v>
      </c>
      <c r="V1118" s="92">
        <v>-0.18196080278868068</v>
      </c>
      <c r="W1118" s="92">
        <v>9.4137616290000892E-2</v>
      </c>
      <c r="X1118" s="92">
        <v>6.4085814100620045E-2</v>
      </c>
      <c r="Y1118" s="92">
        <v>-7.9890598949847245E-4</v>
      </c>
      <c r="Z1118" s="92">
        <v>2.7104194102611692E-3</v>
      </c>
      <c r="AA1118" s="92">
        <v>7.8014476381603763E-4</v>
      </c>
      <c r="AB1118" s="92">
        <v>-4.7134879770114522E-4</v>
      </c>
      <c r="AC1118" s="119">
        <v>0.04</v>
      </c>
      <c r="AD1118" s="119" t="s">
        <v>549</v>
      </c>
      <c r="AE1118" s="120" t="s">
        <v>549</v>
      </c>
      <c r="AF1118" s="119">
        <v>5.1999999999999998E-2</v>
      </c>
      <c r="AG1118" s="119" t="s">
        <v>549</v>
      </c>
      <c r="AH1118" s="120"/>
      <c r="AI1118" s="121"/>
      <c r="AJ1118" s="121"/>
      <c r="AK1118" s="121"/>
      <c r="AL1118" s="121"/>
      <c r="AM1118" s="122"/>
      <c r="AN1118" s="121"/>
      <c r="AP1118" s="87"/>
    </row>
    <row r="1119" spans="1:42">
      <c r="A1119" s="71" t="s">
        <v>43</v>
      </c>
      <c r="B1119" s="72" t="s">
        <v>100</v>
      </c>
      <c r="C1119" s="71" t="s">
        <v>105</v>
      </c>
      <c r="D1119" s="72" t="s">
        <v>101</v>
      </c>
      <c r="E1119" s="71" t="s">
        <v>102</v>
      </c>
      <c r="F1119" s="72" t="s">
        <v>585</v>
      </c>
      <c r="G1119" s="77"/>
      <c r="H1119" s="72" t="str">
        <f t="shared" si="24"/>
        <v>Embraco R134a 60 Hz 115V EM2Z60HTL</v>
      </c>
      <c r="I1119" s="91">
        <v>945.22033878737648</v>
      </c>
      <c r="J1119" s="92">
        <v>36.517670028447881</v>
      </c>
      <c r="K1119" s="92">
        <v>-9.5441508835439564</v>
      </c>
      <c r="L1119" s="92">
        <v>0.34805358733235786</v>
      </c>
      <c r="M1119" s="92">
        <v>-0.41308891844950241</v>
      </c>
      <c r="N1119" s="92">
        <v>4.6132641337118399E-3</v>
      </c>
      <c r="O1119" s="92">
        <v>-1.4173330521766228E-3</v>
      </c>
      <c r="P1119" s="92">
        <v>-4.6425183511667918E-3</v>
      </c>
      <c r="Q1119" s="92">
        <v>5.9008558453029999E-4</v>
      </c>
      <c r="R1119" s="92">
        <v>1.0168086578930437E-4</v>
      </c>
      <c r="S1119" s="92">
        <v>151.94837142148529</v>
      </c>
      <c r="T1119" s="92">
        <v>3.3191996956094676</v>
      </c>
      <c r="U1119" s="92">
        <v>0.83661912479224299</v>
      </c>
      <c r="V1119" s="92">
        <v>-1.7298857999510139E-2</v>
      </c>
      <c r="W1119" s="92">
        <v>-6.963363547870873E-3</v>
      </c>
      <c r="X1119" s="92">
        <v>-3.0865193600333746E-4</v>
      </c>
      <c r="Y1119" s="92">
        <v>-1.0835287601255303E-3</v>
      </c>
      <c r="Z1119" s="92">
        <v>-3.9033878099000449E-4</v>
      </c>
      <c r="AA1119" s="92">
        <v>1.1864583723970073E-4</v>
      </c>
      <c r="AB1119" s="92">
        <v>2.4404255756249474E-5</v>
      </c>
      <c r="AC1119" s="119"/>
      <c r="AD1119" s="119"/>
      <c r="AE1119" s="120"/>
      <c r="AF1119" s="119"/>
      <c r="AG1119" s="119"/>
      <c r="AH1119" s="120"/>
      <c r="AI1119" s="121"/>
      <c r="AJ1119" s="121"/>
      <c r="AK1119" s="121"/>
      <c r="AL1119" s="121"/>
      <c r="AM1119" s="122"/>
      <c r="AN1119" s="121"/>
      <c r="AP1119" s="87"/>
    </row>
    <row r="1120" spans="1:42">
      <c r="A1120" s="72" t="s">
        <v>43</v>
      </c>
      <c r="B1120" s="72" t="s">
        <v>100</v>
      </c>
      <c r="C1120" s="71" t="s">
        <v>105</v>
      </c>
      <c r="D1120" s="71" t="s">
        <v>106</v>
      </c>
      <c r="E1120" s="71" t="s">
        <v>102</v>
      </c>
      <c r="F1120" s="72" t="s">
        <v>586</v>
      </c>
      <c r="G1120" s="77"/>
      <c r="H1120" s="72" t="str">
        <f t="shared" si="24"/>
        <v>Embraco R134a 60 Hz 127V EM3D60HLT_TSD+RC,ISO10</v>
      </c>
      <c r="I1120" s="91">
        <v>819.91220525832307</v>
      </c>
      <c r="J1120" s="92">
        <v>36.130833109200033</v>
      </c>
      <c r="K1120" s="92">
        <v>-6.043243807124159</v>
      </c>
      <c r="L1120" s="92">
        <v>0.54144598769270968</v>
      </c>
      <c r="M1120" s="92">
        <v>-0.38145394469963179</v>
      </c>
      <c r="N1120" s="92">
        <v>-2.2752096684925414E-2</v>
      </c>
      <c r="O1120" s="92">
        <v>3.2751553888764103E-3</v>
      </c>
      <c r="P1120" s="92">
        <v>-3.716637517556149E-3</v>
      </c>
      <c r="Q1120" s="92">
        <v>1.2445611096184154E-3</v>
      </c>
      <c r="R1120" s="92">
        <v>2.0543721280963571E-4</v>
      </c>
      <c r="S1120" s="92">
        <v>81.501708797464673</v>
      </c>
      <c r="T1120" s="92">
        <v>4.8534440418649263</v>
      </c>
      <c r="U1120" s="92">
        <v>2.2962393968327062</v>
      </c>
      <c r="V1120" s="92">
        <v>0.11071692531433169</v>
      </c>
      <c r="W1120" s="92">
        <v>-6.3235097597728163E-2</v>
      </c>
      <c r="X1120" s="92">
        <v>-1.3828036553346317E-2</v>
      </c>
      <c r="Y1120" s="92">
        <v>1.3887228264418052E-3</v>
      </c>
      <c r="Z1120" s="92">
        <v>-5.4197227393360946E-4</v>
      </c>
      <c r="AA1120" s="92">
        <v>1.051748956626611E-3</v>
      </c>
      <c r="AB1120" s="92">
        <v>1.0033696177728403E-4</v>
      </c>
      <c r="AC1120" s="119">
        <v>0.14983144300436146</v>
      </c>
      <c r="AD1120" s="119">
        <v>5.9628554658762809</v>
      </c>
      <c r="AE1120" s="120">
        <v>1.9043791218400299E-2</v>
      </c>
      <c r="AF1120" s="119">
        <v>4.7979025844596124E-2</v>
      </c>
      <c r="AG1120" s="119">
        <v>2.411872192404886</v>
      </c>
      <c r="AH1120" s="120">
        <v>6.4448030307648176E-3</v>
      </c>
      <c r="AI1120" s="121">
        <v>-35</v>
      </c>
      <c r="AJ1120" s="121">
        <v>-5</v>
      </c>
      <c r="AK1120" s="121">
        <v>35</v>
      </c>
      <c r="AL1120" s="121">
        <v>65</v>
      </c>
      <c r="AM1120" s="122">
        <v>41393</v>
      </c>
      <c r="AN1120" s="121" t="s">
        <v>504</v>
      </c>
      <c r="AP1120" s="87"/>
    </row>
    <row r="1121" spans="1:42">
      <c r="A1121" s="71" t="s">
        <v>43</v>
      </c>
      <c r="B1121" s="72" t="s">
        <v>100</v>
      </c>
      <c r="C1121" s="71" t="s">
        <v>105</v>
      </c>
      <c r="D1121" s="71" t="s">
        <v>106</v>
      </c>
      <c r="E1121" s="71" t="s">
        <v>102</v>
      </c>
      <c r="F1121" s="71" t="s">
        <v>587</v>
      </c>
      <c r="G1121" s="77"/>
      <c r="H1121" s="72" t="str">
        <f t="shared" si="24"/>
        <v>Embraco R134a 60 Hz 127V EM3D70HLT_TSD+RC,ISO10</v>
      </c>
      <c r="I1121" s="98">
        <v>911.65783901637633</v>
      </c>
      <c r="J1121" s="99">
        <v>36.848826683759945</v>
      </c>
      <c r="K1121" s="99">
        <v>-6.6144402651860723</v>
      </c>
      <c r="L1121" s="99">
        <v>0.51482248212331627</v>
      </c>
      <c r="M1121" s="99">
        <v>-0.33591956214197111</v>
      </c>
      <c r="N1121" s="99">
        <v>-1.7151441340434233E-2</v>
      </c>
      <c r="O1121" s="99">
        <v>2.3319108695963658E-3</v>
      </c>
      <c r="P1121" s="99">
        <v>-3.8644949580707456E-3</v>
      </c>
      <c r="Q1121" s="99">
        <v>5.7065165285559362E-4</v>
      </c>
      <c r="R1121" s="99">
        <v>1.1275527392165185E-4</v>
      </c>
      <c r="S1121" s="99">
        <v>130.80798187844201</v>
      </c>
      <c r="T1121" s="99">
        <v>2.6282410686233737</v>
      </c>
      <c r="U1121" s="99">
        <v>0.73941261924033186</v>
      </c>
      <c r="V1121" s="99">
        <v>-2.643536706882897E-3</v>
      </c>
      <c r="W1121" s="99">
        <v>-2.1459801158654833E-2</v>
      </c>
      <c r="X1121" s="99">
        <v>1.8544925823131692E-2</v>
      </c>
      <c r="Y1121" s="99">
        <v>-2.4655629942564692E-4</v>
      </c>
      <c r="Z1121" s="99">
        <v>-1.8815438339392245E-5</v>
      </c>
      <c r="AA1121" s="99">
        <v>8.9012229886456171E-4</v>
      </c>
      <c r="AB1121" s="99">
        <v>-6.5365074761149266E-5</v>
      </c>
      <c r="AC1121" s="119"/>
      <c r="AD1121" s="119"/>
      <c r="AE1121" s="120"/>
      <c r="AF1121" s="119"/>
      <c r="AG1121" s="119"/>
      <c r="AH1121" s="120"/>
      <c r="AI1121" s="121"/>
      <c r="AJ1121" s="121"/>
      <c r="AK1121" s="121"/>
      <c r="AL1121" s="121"/>
      <c r="AM1121" s="122"/>
      <c r="AN1121" s="121"/>
      <c r="AP1121" s="87"/>
    </row>
    <row r="1122" spans="1:42">
      <c r="A1122" s="71" t="s">
        <v>43</v>
      </c>
      <c r="B1122" s="72" t="s">
        <v>100</v>
      </c>
      <c r="C1122" s="71" t="s">
        <v>105</v>
      </c>
      <c r="D1122" s="72" t="s">
        <v>101</v>
      </c>
      <c r="E1122" s="71" t="s">
        <v>102</v>
      </c>
      <c r="F1122" s="72" t="s">
        <v>588</v>
      </c>
      <c r="G1122" s="77"/>
      <c r="H1122" s="72" t="str">
        <f t="shared" si="24"/>
        <v>Embraco R134a 60 Hz 115V EM3Z60HLT_TSD+RC,ISO10</v>
      </c>
      <c r="I1122" s="98">
        <v>818.29738289171064</v>
      </c>
      <c r="J1122" s="99">
        <v>33.051628067286018</v>
      </c>
      <c r="K1122" s="99">
        <v>-6.4009519170988938</v>
      </c>
      <c r="L1122" s="99">
        <v>0.49931276483619663</v>
      </c>
      <c r="M1122" s="99">
        <v>-0.29726708777804717</v>
      </c>
      <c r="N1122" s="99">
        <v>-1.2945998035969875E-2</v>
      </c>
      <c r="O1122" s="99">
        <v>3.1257081679766656E-3</v>
      </c>
      <c r="P1122" s="99">
        <v>-3.044161655569214E-3</v>
      </c>
      <c r="Q1122" s="99">
        <v>7.1273797457992063E-4</v>
      </c>
      <c r="R1122" s="99">
        <v>1.3073511980770698E-4</v>
      </c>
      <c r="S1122" s="99">
        <v>98.43841842771711</v>
      </c>
      <c r="T1122" s="99">
        <v>2.4300916313619254</v>
      </c>
      <c r="U1122" s="99">
        <v>1.3266844370314825</v>
      </c>
      <c r="V1122" s="99">
        <v>2.5439647664890333E-2</v>
      </c>
      <c r="W1122" s="99">
        <v>-2.1202213076707228E-2</v>
      </c>
      <c r="X1122" s="99">
        <v>6.5246606108144171E-3</v>
      </c>
      <c r="Y1122" s="99">
        <v>3.8943522992204678E-4</v>
      </c>
      <c r="Z1122" s="99">
        <v>7.9130779300710534E-5</v>
      </c>
      <c r="AA1122" s="99">
        <v>9.4968465328365873E-4</v>
      </c>
      <c r="AB1122" s="99">
        <v>-1.7547020507538787E-6</v>
      </c>
      <c r="AC1122" s="119"/>
      <c r="AD1122" s="119"/>
      <c r="AE1122" s="120"/>
      <c r="AF1122" s="119"/>
      <c r="AG1122" s="119"/>
      <c r="AH1122" s="120"/>
      <c r="AI1122" s="121"/>
      <c r="AJ1122" s="121"/>
      <c r="AK1122" s="121"/>
      <c r="AL1122" s="121"/>
      <c r="AM1122" s="122"/>
      <c r="AN1122" s="121"/>
      <c r="AP1122" s="87"/>
    </row>
    <row r="1123" spans="1:42">
      <c r="A1123" s="71" t="s">
        <v>43</v>
      </c>
      <c r="B1123" s="72" t="s">
        <v>100</v>
      </c>
      <c r="C1123" s="71" t="s">
        <v>105</v>
      </c>
      <c r="D1123" s="72" t="s">
        <v>101</v>
      </c>
      <c r="E1123" s="71" t="s">
        <v>102</v>
      </c>
      <c r="F1123" s="71" t="s">
        <v>589</v>
      </c>
      <c r="G1123" s="77"/>
      <c r="H1123" s="72" t="str">
        <f t="shared" si="24"/>
        <v>Embraco R134a 60 Hz 115V EM3Z70HLT_TSD+RC,ISO10</v>
      </c>
      <c r="I1123" s="91">
        <v>771.4655643289683</v>
      </c>
      <c r="J1123" s="92">
        <v>34.810782341105011</v>
      </c>
      <c r="K1123" s="92">
        <v>-8.5123455357584477E-2</v>
      </c>
      <c r="L1123" s="92">
        <v>0.54873860025080523</v>
      </c>
      <c r="M1123" s="92">
        <v>-0.24780475983862316</v>
      </c>
      <c r="N1123" s="92">
        <v>-0.11109566064807759</v>
      </c>
      <c r="O1123" s="92">
        <v>3.757644425193839E-3</v>
      </c>
      <c r="P1123" s="92">
        <v>-2.9774243590231864E-3</v>
      </c>
      <c r="Q1123" s="92">
        <v>1.5013146827748202E-4</v>
      </c>
      <c r="R1123" s="92">
        <v>5.3835843814538928E-4</v>
      </c>
      <c r="S1123" s="92">
        <v>71.389325900539646</v>
      </c>
      <c r="T1123" s="92">
        <v>4.1291738004969272</v>
      </c>
      <c r="U1123" s="92">
        <v>3.8864759866364467</v>
      </c>
      <c r="V1123" s="92">
        <v>9.4954062147385609E-2</v>
      </c>
      <c r="W1123" s="92">
        <v>-3.1125970171755862E-2</v>
      </c>
      <c r="X1123" s="92">
        <v>-2.8304454753836569E-2</v>
      </c>
      <c r="Y1123" s="92">
        <v>1.3821565692713645E-3</v>
      </c>
      <c r="Z1123" s="92">
        <v>-2.5682728292978518E-4</v>
      </c>
      <c r="AA1123" s="92">
        <v>9.4172920329683226E-4</v>
      </c>
      <c r="AB1123" s="92">
        <v>1.3368267704835562E-4</v>
      </c>
      <c r="AC1123" s="119"/>
      <c r="AD1123" s="119"/>
      <c r="AE1123" s="120"/>
      <c r="AF1123" s="119"/>
      <c r="AG1123" s="119"/>
      <c r="AH1123" s="120"/>
      <c r="AI1123" s="121"/>
      <c r="AJ1123" s="121"/>
      <c r="AK1123" s="121"/>
      <c r="AL1123" s="121"/>
      <c r="AM1123" s="122"/>
      <c r="AN1123" s="121"/>
      <c r="AP1123" s="87"/>
    </row>
    <row r="1124" spans="1:42">
      <c r="A1124" s="71" t="s">
        <v>43</v>
      </c>
      <c r="B1124" s="72" t="s">
        <v>100</v>
      </c>
      <c r="C1124" s="71" t="s">
        <v>105</v>
      </c>
      <c r="D1124" s="72" t="s">
        <v>101</v>
      </c>
      <c r="E1124" s="71" t="s">
        <v>102</v>
      </c>
      <c r="F1124" s="72" t="s">
        <v>590</v>
      </c>
      <c r="G1124" s="77"/>
      <c r="H1124" s="72" t="str">
        <f t="shared" si="24"/>
        <v xml:space="preserve">Embraco R134a 60 Hz 115V EMI30HER   </v>
      </c>
      <c r="I1124" s="91">
        <v>393.23602941176472</v>
      </c>
      <c r="J1124" s="92">
        <v>15.210287532923617</v>
      </c>
      <c r="K1124" s="92">
        <v>1.3079053994732219</v>
      </c>
      <c r="L1124" s="92">
        <v>0.17833599648814749</v>
      </c>
      <c r="M1124" s="92">
        <v>-6.5784791483757682E-2</v>
      </c>
      <c r="N1124" s="92">
        <v>-0.12278132133450397</v>
      </c>
      <c r="O1124" s="92">
        <v>8.6820808823529416E-4</v>
      </c>
      <c r="P1124" s="92">
        <v>5.2272458296751532E-4</v>
      </c>
      <c r="Q1124" s="92">
        <v>2.8143222124670761E-4</v>
      </c>
      <c r="R1124" s="92">
        <v>9.990132791922741E-4</v>
      </c>
      <c r="S1124" s="92">
        <v>92.174270032930849</v>
      </c>
      <c r="T1124" s="92">
        <v>-1.7073042810098793</v>
      </c>
      <c r="U1124" s="92">
        <v>-0.792334489571899</v>
      </c>
      <c r="V1124" s="92">
        <v>-4.2019571899012072E-2</v>
      </c>
      <c r="W1124" s="92">
        <v>9.858976948408342E-2</v>
      </c>
      <c r="X1124" s="92">
        <v>5.53643468715697E-2</v>
      </c>
      <c r="Y1124" s="92">
        <v>-1.2635723380900111E-4</v>
      </c>
      <c r="Z1124" s="92">
        <v>9.9393940724478596E-4</v>
      </c>
      <c r="AA1124" s="92">
        <v>-2.3405119648737651E-4</v>
      </c>
      <c r="AB1124" s="92">
        <v>-4.8455378704720088E-4</v>
      </c>
      <c r="AC1124" s="119"/>
      <c r="AD1124" s="119"/>
      <c r="AE1124" s="120"/>
      <c r="AF1124" s="119"/>
      <c r="AG1124" s="119"/>
      <c r="AH1124" s="120"/>
      <c r="AI1124" s="121"/>
      <c r="AJ1124" s="121"/>
      <c r="AK1124" s="121"/>
      <c r="AL1124" s="121"/>
      <c r="AM1124" s="122"/>
      <c r="AN1124" s="121"/>
      <c r="AP1124" s="87"/>
    </row>
    <row r="1125" spans="1:42">
      <c r="A1125" s="71" t="s">
        <v>43</v>
      </c>
      <c r="B1125" s="72" t="s">
        <v>100</v>
      </c>
      <c r="C1125" s="71" t="s">
        <v>45</v>
      </c>
      <c r="D1125" s="72" t="s">
        <v>46</v>
      </c>
      <c r="E1125" s="71" t="s">
        <v>102</v>
      </c>
      <c r="F1125" s="72" t="s">
        <v>591</v>
      </c>
      <c r="G1125" s="77"/>
      <c r="H1125" s="72" t="str">
        <f t="shared" si="24"/>
        <v>Embraco R134a 50 Hz 230V EMT6160Z</v>
      </c>
      <c r="I1125" s="91">
        <v>5.9982101130028505E-2</v>
      </c>
      <c r="J1125" s="92">
        <v>37.280275089533497</v>
      </c>
      <c r="K1125" s="92">
        <v>64.494662806348828</v>
      </c>
      <c r="L1125" s="92">
        <v>0.49665342739411011</v>
      </c>
      <c r="M1125" s="92">
        <v>-0.24654121667037379</v>
      </c>
      <c r="N1125" s="92">
        <v>-1.7393627968444092</v>
      </c>
      <c r="O1125" s="92">
        <v>1.5902067080246428E-4</v>
      </c>
      <c r="P1125" s="92">
        <v>-4.9601163106620582E-3</v>
      </c>
      <c r="Q1125" s="92">
        <v>-1.9667845269764309E-3</v>
      </c>
      <c r="R1125" s="92">
        <v>1.2986806501189467E-2</v>
      </c>
      <c r="S1125" s="92">
        <v>2.292231189344442E-2</v>
      </c>
      <c r="T1125" s="92">
        <v>4.7202276195416903</v>
      </c>
      <c r="U1125" s="92">
        <v>12.998202322407275</v>
      </c>
      <c r="V1125" s="92">
        <v>4.7290181226587721E-2</v>
      </c>
      <c r="W1125" s="92">
        <v>-7.0316164985033389E-2</v>
      </c>
      <c r="X1125" s="92">
        <v>-0.25624973986295246</v>
      </c>
      <c r="Y1125" s="92">
        <v>1.7710513532648525E-4</v>
      </c>
      <c r="Z1125" s="92">
        <v>-3.612824354396515E-4</v>
      </c>
      <c r="AA1125" s="92">
        <v>1.4064036755669618E-3</v>
      </c>
      <c r="AB1125" s="92">
        <v>1.9413935514752548E-3</v>
      </c>
      <c r="AC1125" s="119">
        <v>2.7615965247202782E-2</v>
      </c>
      <c r="AD1125" s="119">
        <v>0.86020007217572736</v>
      </c>
      <c r="AE1125" s="120">
        <v>1.2039810736843499E-3</v>
      </c>
      <c r="AF1125" s="119">
        <v>2.9293226011292941E-2</v>
      </c>
      <c r="AG1125" s="119">
        <v>0.91780744780414791</v>
      </c>
      <c r="AH1125" s="120">
        <v>1.4800693321268361E-3</v>
      </c>
      <c r="AI1125" s="121">
        <v>-15</v>
      </c>
      <c r="AJ1125" s="121">
        <v>10</v>
      </c>
      <c r="AK1125" s="121">
        <v>35</v>
      </c>
      <c r="AL1125" s="121">
        <v>55</v>
      </c>
      <c r="AM1125" s="122">
        <v>41717</v>
      </c>
      <c r="AN1125" s="121" t="s">
        <v>504</v>
      </c>
      <c r="AP1125" s="87"/>
    </row>
    <row r="1126" spans="1:42">
      <c r="A1126" s="71" t="s">
        <v>43</v>
      </c>
      <c r="B1126" s="72" t="s">
        <v>100</v>
      </c>
      <c r="C1126" s="71" t="s">
        <v>105</v>
      </c>
      <c r="D1126" s="72" t="s">
        <v>101</v>
      </c>
      <c r="E1126" s="71" t="s">
        <v>102</v>
      </c>
      <c r="F1126" s="72" t="s">
        <v>592</v>
      </c>
      <c r="G1126" s="77"/>
      <c r="H1126" s="72" t="str">
        <f t="shared" si="24"/>
        <v xml:space="preserve">Embraco R134a 60 Hz 115V EMU30HSC   </v>
      </c>
      <c r="I1126" s="91">
        <v>424.724043956044</v>
      </c>
      <c r="J1126" s="92">
        <v>16.428237362637361</v>
      </c>
      <c r="K1126" s="92">
        <v>1.4126347252747253</v>
      </c>
      <c r="L1126" s="92">
        <v>0.19261608791208792</v>
      </c>
      <c r="M1126" s="92">
        <v>-7.1052448351648353E-2</v>
      </c>
      <c r="N1126" s="92">
        <v>-0.1326129230769231</v>
      </c>
      <c r="O1126" s="92">
        <v>9.3772905494505501E-4</v>
      </c>
      <c r="P1126" s="92">
        <v>5.6458127472527474E-4</v>
      </c>
      <c r="Q1126" s="92">
        <v>3.0396764835164834E-4</v>
      </c>
      <c r="R1126" s="92">
        <v>1.0790083516483517E-3</v>
      </c>
      <c r="S1126" s="92">
        <v>83.54679120879122</v>
      </c>
      <c r="T1126" s="92">
        <v>-1.547501208791209</v>
      </c>
      <c r="U1126" s="92">
        <v>-0.71817226373626375</v>
      </c>
      <c r="V1126" s="92">
        <v>-3.8086554945054946E-2</v>
      </c>
      <c r="W1126" s="92">
        <v>8.9361802197802195E-2</v>
      </c>
      <c r="X1126" s="92">
        <v>5.0182263736263735E-2</v>
      </c>
      <c r="Y1126" s="92">
        <v>-1.1453024175824177E-4</v>
      </c>
      <c r="Z1126" s="92">
        <v>9.0090703296703291E-4</v>
      </c>
      <c r="AA1126" s="92">
        <v>-2.1214408791208792E-4</v>
      </c>
      <c r="AB1126" s="92">
        <v>-4.3919972527472529E-4</v>
      </c>
      <c r="AC1126" s="119"/>
      <c r="AD1126" s="119"/>
      <c r="AE1126" s="120"/>
      <c r="AF1126" s="119"/>
      <c r="AG1126" s="119"/>
      <c r="AH1126" s="120"/>
      <c r="AI1126" s="121"/>
      <c r="AJ1126" s="121"/>
      <c r="AK1126" s="121"/>
      <c r="AL1126" s="121"/>
      <c r="AM1126" s="122"/>
      <c r="AN1126" s="121"/>
      <c r="AP1126" s="87"/>
    </row>
    <row r="1127" spans="1:42">
      <c r="A1127" s="71" t="s">
        <v>43</v>
      </c>
      <c r="B1127" s="72" t="s">
        <v>100</v>
      </c>
      <c r="C1127" s="71" t="s">
        <v>105</v>
      </c>
      <c r="D1127" s="71" t="s">
        <v>106</v>
      </c>
      <c r="E1127" s="71" t="s">
        <v>102</v>
      </c>
      <c r="F1127" s="72" t="s">
        <v>530</v>
      </c>
      <c r="G1127" s="77"/>
      <c r="H1127" s="72" t="str">
        <f t="shared" si="24"/>
        <v>Embraco R134a 60 Hz 127V EMX20CLC</v>
      </c>
      <c r="I1127" s="91">
        <v>294.91029158557268</v>
      </c>
      <c r="J1127" s="92">
        <v>14.413973675137182</v>
      </c>
      <c r="K1127" s="92">
        <v>-4.7946513176263507E-2</v>
      </c>
      <c r="L1127" s="92">
        <v>0.29561270864971995</v>
      </c>
      <c r="M1127" s="92">
        <v>-6.4794500995832505E-2</v>
      </c>
      <c r="N1127" s="92">
        <v>-3.7178784075172826E-2</v>
      </c>
      <c r="O1127" s="92">
        <v>2.4761371590094252E-3</v>
      </c>
      <c r="P1127" s="92">
        <v>-1.2965209317911711E-3</v>
      </c>
      <c r="Q1127" s="92">
        <v>-3.6478098096085756E-4</v>
      </c>
      <c r="R1127" s="92">
        <v>1.1140013637752338E-4</v>
      </c>
      <c r="S1127" s="92">
        <v>52.074886878277184</v>
      </c>
      <c r="T1127" s="92">
        <v>0.10297087334018051</v>
      </c>
      <c r="U1127" s="92">
        <v>9.7744864301006831E-2</v>
      </c>
      <c r="V1127" s="92">
        <v>-7.9056281930015484E-3</v>
      </c>
      <c r="W1127" s="92">
        <v>1.6878590743792721E-2</v>
      </c>
      <c r="X1127" s="92">
        <v>1.0163984936900485E-2</v>
      </c>
      <c r="Y1127" s="92">
        <v>7.7338664795743544E-5</v>
      </c>
      <c r="Z1127" s="92">
        <v>3.40995542619575E-4</v>
      </c>
      <c r="AA1127" s="92">
        <v>1.8231270823384303E-4</v>
      </c>
      <c r="AB1127" s="92">
        <v>-5.1278265955038211E-5</v>
      </c>
      <c r="AC1127" s="119">
        <v>7.0000000000000007E-2</v>
      </c>
      <c r="AD1127" s="119" t="s">
        <v>549</v>
      </c>
      <c r="AE1127" s="120" t="s">
        <v>549</v>
      </c>
      <c r="AF1127" s="119">
        <v>5.0999999999999997E-2</v>
      </c>
      <c r="AG1127" s="119" t="s">
        <v>549</v>
      </c>
      <c r="AH1127" s="120"/>
      <c r="AI1127" s="121"/>
      <c r="AJ1127" s="121"/>
      <c r="AK1127" s="121"/>
      <c r="AL1127" s="121"/>
      <c r="AM1127" s="122"/>
      <c r="AN1127" s="121"/>
      <c r="AP1127" s="87"/>
    </row>
    <row r="1128" spans="1:42">
      <c r="A1128" s="71" t="s">
        <v>43</v>
      </c>
      <c r="B1128" s="72" t="s">
        <v>100</v>
      </c>
      <c r="C1128" s="71" t="s">
        <v>105</v>
      </c>
      <c r="D1128" s="72" t="s">
        <v>101</v>
      </c>
      <c r="E1128" s="71" t="s">
        <v>102</v>
      </c>
      <c r="F1128" s="72" t="s">
        <v>593</v>
      </c>
      <c r="G1128" s="77"/>
      <c r="H1128" s="72" t="str">
        <f t="shared" si="24"/>
        <v>Embraco R134a 60 Hz 115V EMY45HSC</v>
      </c>
      <c r="I1128" s="91">
        <v>402.21513043478262</v>
      </c>
      <c r="J1128" s="92">
        <v>17.415771739130435</v>
      </c>
      <c r="K1128" s="92">
        <v>7.8826305072463763</v>
      </c>
      <c r="L1128" s="92">
        <v>0.14875086231884058</v>
      </c>
      <c r="M1128" s="92">
        <v>-6.8772854347826082E-2</v>
      </c>
      <c r="N1128" s="92">
        <v>-0.27231364492753624</v>
      </c>
      <c r="O1128" s="92">
        <v>1.2850209420289853E-4</v>
      </c>
      <c r="P1128" s="92">
        <v>2.6394621014492754E-4</v>
      </c>
      <c r="Q1128" s="92">
        <v>8.16753E-5</v>
      </c>
      <c r="R1128" s="92">
        <v>2.0002043478260867E-3</v>
      </c>
      <c r="S1128" s="92">
        <v>122.65835433070866</v>
      </c>
      <c r="T1128" s="92">
        <v>2.0541522047244096</v>
      </c>
      <c r="U1128" s="92">
        <v>5.2319128346456689E-2</v>
      </c>
      <c r="V1128" s="92">
        <v>3.0617355118110236E-2</v>
      </c>
      <c r="W1128" s="92">
        <v>3.4653538582677161E-2</v>
      </c>
      <c r="X1128" s="92">
        <v>2.4114002362204724E-2</v>
      </c>
      <c r="Y1128" s="92">
        <v>4.5669314173228346E-5</v>
      </c>
      <c r="Z1128" s="92">
        <v>-1.2220554330708662E-4</v>
      </c>
      <c r="AA1128" s="92">
        <v>-1.277194251968504E-4</v>
      </c>
      <c r="AB1128" s="92">
        <v>-2.4312663779527558E-4</v>
      </c>
      <c r="AC1128" s="119"/>
      <c r="AD1128" s="119"/>
      <c r="AE1128" s="120"/>
      <c r="AF1128" s="119"/>
      <c r="AG1128" s="119"/>
      <c r="AH1128" s="120"/>
      <c r="AI1128" s="121"/>
      <c r="AJ1128" s="121"/>
      <c r="AK1128" s="121"/>
      <c r="AL1128" s="121"/>
      <c r="AM1128" s="122"/>
      <c r="AN1128" s="121"/>
      <c r="AP1128" s="87"/>
    </row>
    <row r="1129" spans="1:42">
      <c r="A1129" s="71" t="s">
        <v>43</v>
      </c>
      <c r="B1129" s="72" t="s">
        <v>100</v>
      </c>
      <c r="C1129" s="71" t="s">
        <v>45</v>
      </c>
      <c r="D1129" s="72" t="s">
        <v>46</v>
      </c>
      <c r="E1129" s="71" t="s">
        <v>102</v>
      </c>
      <c r="F1129" s="72" t="s">
        <v>594</v>
      </c>
      <c r="G1129" s="77"/>
      <c r="H1129" s="72" t="str">
        <f t="shared" si="24"/>
        <v>Embraco R134a 50 Hz 230V EMY55HLC</v>
      </c>
      <c r="I1129" s="91">
        <v>875.60048861859366</v>
      </c>
      <c r="J1129" s="92">
        <v>33.86269075062777</v>
      </c>
      <c r="K1129" s="92">
        <v>-10.693721138754935</v>
      </c>
      <c r="L1129" s="92">
        <v>0.35659575400477894</v>
      </c>
      <c r="M1129" s="92">
        <v>-0.49003985626863089</v>
      </c>
      <c r="N1129" s="92">
        <v>-1.9613380731448573E-3</v>
      </c>
      <c r="O1129" s="92">
        <v>2.3588106242650002E-3</v>
      </c>
      <c r="P1129" s="92">
        <v>-1.4138831151939775E-3</v>
      </c>
      <c r="Q1129" s="92">
        <v>2.9448380886609908E-3</v>
      </c>
      <c r="R1129" s="92">
        <v>5.6128467265417422E-4</v>
      </c>
      <c r="S1129" s="92">
        <v>122.93154755514327</v>
      </c>
      <c r="T1129" s="92">
        <v>2.3019853640929329</v>
      </c>
      <c r="U1129" s="92">
        <v>-2.6099911551886526E-2</v>
      </c>
      <c r="V1129" s="92">
        <v>2.2539499291396179E-2</v>
      </c>
      <c r="W1129" s="92">
        <v>-3.5200002697342344E-5</v>
      </c>
      <c r="X1129" s="92">
        <v>2.5444335306229183E-2</v>
      </c>
      <c r="Y1129" s="92">
        <v>4.9302990241704709E-4</v>
      </c>
      <c r="Z1129" s="92">
        <v>4.2151120112165786E-4</v>
      </c>
      <c r="AA1129" s="92">
        <v>6.1626492877516793E-4</v>
      </c>
      <c r="AB1129" s="92">
        <v>-1.2182169639613573E-4</v>
      </c>
      <c r="AC1129" s="119"/>
      <c r="AD1129" s="119"/>
      <c r="AE1129" s="120"/>
      <c r="AF1129" s="119"/>
      <c r="AG1129" s="119"/>
      <c r="AH1129" s="120"/>
      <c r="AI1129" s="121"/>
      <c r="AJ1129" s="121"/>
      <c r="AK1129" s="121"/>
      <c r="AL1129" s="121"/>
      <c r="AM1129" s="122"/>
      <c r="AN1129" s="121"/>
      <c r="AP1129" s="87"/>
    </row>
    <row r="1130" spans="1:42">
      <c r="A1130" s="71" t="s">
        <v>43</v>
      </c>
      <c r="B1130" s="72" t="s">
        <v>100</v>
      </c>
      <c r="C1130" s="71" t="s">
        <v>105</v>
      </c>
      <c r="D1130" s="72" t="s">
        <v>101</v>
      </c>
      <c r="E1130" s="71" t="s">
        <v>102</v>
      </c>
      <c r="F1130" s="72" t="s">
        <v>595</v>
      </c>
      <c r="G1130" s="77"/>
      <c r="H1130" s="72" t="str">
        <f t="shared" si="24"/>
        <v>Embraco R134a 60 Hz 115V EMY60HSC</v>
      </c>
      <c r="I1130" s="91">
        <v>922.36114786577161</v>
      </c>
      <c r="J1130" s="92">
        <v>33.776675864096212</v>
      </c>
      <c r="K1130" s="92">
        <v>-12.428502412807328</v>
      </c>
      <c r="L1130" s="92">
        <v>0.4072701384001729</v>
      </c>
      <c r="M1130" s="92">
        <v>-0.34248330752992645</v>
      </c>
      <c r="N1130" s="92">
        <v>0.11542608187589011</v>
      </c>
      <c r="O1130" s="92">
        <v>1.6180360437067171E-3</v>
      </c>
      <c r="P1130" s="92">
        <v>-2.802359840487414E-3</v>
      </c>
      <c r="Q1130" s="92">
        <v>8.9185080928962785E-4</v>
      </c>
      <c r="R1130" s="92">
        <v>-8.8903079324511853E-4</v>
      </c>
      <c r="S1130" s="92">
        <v>200.26292986768721</v>
      </c>
      <c r="T1130" s="92">
        <v>5.4467932334235014</v>
      </c>
      <c r="U1130" s="92">
        <v>-2.89900495663812</v>
      </c>
      <c r="V1130" s="92">
        <v>7.3552403204269798E-2</v>
      </c>
      <c r="W1130" s="92">
        <v>-6.4450448216671563E-2</v>
      </c>
      <c r="X1130" s="92">
        <v>9.1429553337427499E-2</v>
      </c>
      <c r="Y1130" s="92">
        <v>6.0638052382602553E-4</v>
      </c>
      <c r="Z1130" s="92">
        <v>-4.8825100133503688E-4</v>
      </c>
      <c r="AA1130" s="92">
        <v>9.1859622353619144E-4</v>
      </c>
      <c r="AB1130" s="92">
        <v>-6.6608976577821344E-4</v>
      </c>
      <c r="AC1130" s="119"/>
      <c r="AD1130" s="119"/>
      <c r="AE1130" s="120"/>
      <c r="AF1130" s="119"/>
      <c r="AG1130" s="119"/>
      <c r="AH1130" s="120"/>
      <c r="AI1130" s="121"/>
      <c r="AJ1130" s="121"/>
      <c r="AK1130" s="121"/>
      <c r="AL1130" s="121"/>
      <c r="AM1130" s="122"/>
      <c r="AN1130" s="121"/>
      <c r="AP1130" s="87"/>
    </row>
    <row r="1131" spans="1:42">
      <c r="A1131" s="71" t="s">
        <v>43</v>
      </c>
      <c r="B1131" s="72" t="s">
        <v>100</v>
      </c>
      <c r="C1131" s="71" t="s">
        <v>45</v>
      </c>
      <c r="D1131" s="72" t="s">
        <v>46</v>
      </c>
      <c r="E1131" s="71" t="s">
        <v>102</v>
      </c>
      <c r="F1131" s="72" t="s">
        <v>596</v>
      </c>
      <c r="G1131" s="77"/>
      <c r="H1131" s="72" t="str">
        <f t="shared" si="24"/>
        <v>Embraco R134a 50 Hz 230V EMY65HLC</v>
      </c>
      <c r="I1131" s="91">
        <v>984.71545219900861</v>
      </c>
      <c r="J1131" s="92">
        <v>33.829468411474991</v>
      </c>
      <c r="K1131" s="92">
        <v>-11.603544322974711</v>
      </c>
      <c r="L1131" s="92">
        <v>0.30557835886670487</v>
      </c>
      <c r="M1131" s="92">
        <v>-0.39758165283294511</v>
      </c>
      <c r="N1131" s="92">
        <v>1.4783613702580823E-2</v>
      </c>
      <c r="O1131" s="92">
        <v>1.7937617204728845E-3</v>
      </c>
      <c r="P1131" s="92">
        <v>2.7527173596046882E-5</v>
      </c>
      <c r="Q1131" s="92">
        <v>2.6394939449320932E-3</v>
      </c>
      <c r="R1131" s="92">
        <v>4.492738764446034E-4</v>
      </c>
      <c r="S1131" s="92">
        <v>140.91831799986997</v>
      </c>
      <c r="T1131" s="92">
        <v>1.9149616675104209</v>
      </c>
      <c r="U1131" s="92">
        <v>-3.4384057858759538E-2</v>
      </c>
      <c r="V1131" s="92">
        <v>-7.988347289400323E-3</v>
      </c>
      <c r="W1131" s="92">
        <v>-3.6220324840232284E-5</v>
      </c>
      <c r="X1131" s="92">
        <v>2.2373162871112309E-2</v>
      </c>
      <c r="Y1131" s="92">
        <v>1.7093207006410371E-4</v>
      </c>
      <c r="Z1131" s="92">
        <v>7.3955004019171904E-4</v>
      </c>
      <c r="AA1131" s="92">
        <v>8.5755204880988238E-4</v>
      </c>
      <c r="AB1131" s="92">
        <v>-3.6095850263304235E-5</v>
      </c>
      <c r="AC1131" s="119"/>
      <c r="AD1131" s="119"/>
      <c r="AE1131" s="120"/>
      <c r="AF1131" s="119"/>
      <c r="AG1131" s="119"/>
      <c r="AH1131" s="120"/>
      <c r="AI1131" s="121"/>
      <c r="AJ1131" s="121"/>
      <c r="AK1131" s="121"/>
      <c r="AL1131" s="121"/>
      <c r="AM1131" s="122"/>
      <c r="AN1131" s="121"/>
      <c r="AP1131" s="87"/>
    </row>
    <row r="1132" spans="1:42">
      <c r="A1132" s="71" t="s">
        <v>43</v>
      </c>
      <c r="B1132" s="72" t="s">
        <v>100</v>
      </c>
      <c r="C1132" s="71" t="s">
        <v>105</v>
      </c>
      <c r="D1132" s="72" t="s">
        <v>101</v>
      </c>
      <c r="E1132" s="71" t="s">
        <v>102</v>
      </c>
      <c r="F1132" s="72" t="s">
        <v>597</v>
      </c>
      <c r="G1132" s="77"/>
      <c r="H1132" s="72" t="str">
        <f t="shared" si="24"/>
        <v>Embraco R134a 60 Hz 115V EMY70HER</v>
      </c>
      <c r="I1132" s="91">
        <v>920.12588107560305</v>
      </c>
      <c r="J1132" s="92">
        <v>22.760480143024903</v>
      </c>
      <c r="K1132" s="92">
        <v>-12.048570331478231</v>
      </c>
      <c r="L1132" s="92">
        <v>0.25623245472168188</v>
      </c>
      <c r="M1132" s="92">
        <v>7.8955167348174881E-3</v>
      </c>
      <c r="N1132" s="92">
        <v>0.1265652326181454</v>
      </c>
      <c r="O1132" s="92">
        <v>4.414591634979611E-4</v>
      </c>
      <c r="P1132" s="92">
        <v>-6.6797158580983701E-4</v>
      </c>
      <c r="Q1132" s="92">
        <v>-1.4001870665926962E-3</v>
      </c>
      <c r="R1132" s="92">
        <v>-9.0890382933746239E-4</v>
      </c>
      <c r="S1132" s="92">
        <v>257.51380641460378</v>
      </c>
      <c r="T1132" s="92">
        <v>2.9444890586445052</v>
      </c>
      <c r="U1132" s="92">
        <v>-3.9103739789928382</v>
      </c>
      <c r="V1132" s="92">
        <v>-6.3958463918594485E-2</v>
      </c>
      <c r="W1132" s="92">
        <v>-3.2133152233311132E-2</v>
      </c>
      <c r="X1132" s="92">
        <v>9.9282250082612225E-2</v>
      </c>
      <c r="Y1132" s="92">
        <v>-5.6055526894687477E-4</v>
      </c>
      <c r="Z1132" s="92">
        <v>1.2036677128850234E-3</v>
      </c>
      <c r="AA1132" s="92">
        <v>1.4031694177011895E-3</v>
      </c>
      <c r="AB1132" s="92">
        <v>-4.9920268927362214E-4</v>
      </c>
      <c r="AC1132" s="119"/>
      <c r="AD1132" s="119"/>
      <c r="AE1132" s="120"/>
      <c r="AF1132" s="119"/>
      <c r="AG1132" s="119"/>
      <c r="AH1132" s="120"/>
      <c r="AI1132" s="121"/>
      <c r="AJ1132" s="121"/>
      <c r="AK1132" s="121"/>
      <c r="AL1132" s="121"/>
      <c r="AM1132" s="122"/>
      <c r="AN1132" s="121"/>
      <c r="AP1132" s="87"/>
    </row>
    <row r="1133" spans="1:42">
      <c r="A1133" s="71" t="s">
        <v>43</v>
      </c>
      <c r="B1133" s="72" t="s">
        <v>100</v>
      </c>
      <c r="C1133" s="71" t="s">
        <v>105</v>
      </c>
      <c r="D1133" s="72" t="s">
        <v>101</v>
      </c>
      <c r="E1133" s="71" t="s">
        <v>102</v>
      </c>
      <c r="F1133" s="72" t="s">
        <v>598</v>
      </c>
      <c r="G1133" s="77"/>
      <c r="H1133" s="72" t="str">
        <f t="shared" si="24"/>
        <v>Embraco R134a 60 Hz 115V EMY70HSC</v>
      </c>
      <c r="I1133" s="91">
        <v>920.12588107560305</v>
      </c>
      <c r="J1133" s="92">
        <v>22.760480143024903</v>
      </c>
      <c r="K1133" s="92">
        <v>-12.048570331478231</v>
      </c>
      <c r="L1133" s="92">
        <v>0.25623245472168188</v>
      </c>
      <c r="M1133" s="92">
        <v>7.8955167348174881E-3</v>
      </c>
      <c r="N1133" s="92">
        <v>0.1265652326181454</v>
      </c>
      <c r="O1133" s="92">
        <v>4.414591634979611E-4</v>
      </c>
      <c r="P1133" s="92">
        <v>-6.6797158580983701E-4</v>
      </c>
      <c r="Q1133" s="92">
        <v>-1.4001870665926962E-3</v>
      </c>
      <c r="R1133" s="92">
        <v>-9.0890382933746239E-4</v>
      </c>
      <c r="S1133" s="92">
        <v>194.89260020907028</v>
      </c>
      <c r="T1133" s="92">
        <v>-3.0026442454062074</v>
      </c>
      <c r="U1133" s="92">
        <v>-2.5461690488232058</v>
      </c>
      <c r="V1133" s="92">
        <v>-6.1908521016105091E-2</v>
      </c>
      <c r="W1133" s="92">
        <v>0.18102657660374757</v>
      </c>
      <c r="X1133" s="92">
        <v>9.6041205572519286E-2</v>
      </c>
      <c r="Y1133" s="92">
        <v>2.664049727845069E-4</v>
      </c>
      <c r="Z1133" s="92">
        <v>1.9981721945688045E-3</v>
      </c>
      <c r="AA1133" s="92">
        <v>-3.7371483156222889E-4</v>
      </c>
      <c r="AB1133" s="92">
        <v>-6.1789217846976803E-4</v>
      </c>
      <c r="AC1133" s="119"/>
      <c r="AD1133" s="119"/>
      <c r="AE1133" s="120"/>
      <c r="AF1133" s="119"/>
      <c r="AG1133" s="119"/>
      <c r="AH1133" s="120"/>
      <c r="AI1133" s="121"/>
      <c r="AJ1133" s="121"/>
      <c r="AK1133" s="121"/>
      <c r="AL1133" s="121"/>
      <c r="AM1133" s="122"/>
      <c r="AN1133" s="121"/>
      <c r="AP1133" s="87"/>
    </row>
    <row r="1134" spans="1:42">
      <c r="A1134" s="71" t="s">
        <v>43</v>
      </c>
      <c r="B1134" s="72" t="s">
        <v>100</v>
      </c>
      <c r="C1134" s="71" t="s">
        <v>105</v>
      </c>
      <c r="D1134" s="72" t="s">
        <v>109</v>
      </c>
      <c r="E1134" s="71" t="s">
        <v>102</v>
      </c>
      <c r="F1134" s="72" t="s">
        <v>599</v>
      </c>
      <c r="G1134" s="77"/>
      <c r="H1134" s="72" t="str">
        <f t="shared" si="24"/>
        <v>Embraco R134a 60 Hz 220V EMYe70HEP - PTCSIR</v>
      </c>
      <c r="I1134" s="91">
        <v>10.716391286886608</v>
      </c>
      <c r="J1134" s="92">
        <v>38.918438296877447</v>
      </c>
      <c r="K1134" s="92">
        <v>40.089771588833379</v>
      </c>
      <c r="L1134" s="92">
        <v>0.80677589513920478</v>
      </c>
      <c r="M1134" s="92">
        <v>-0.24039689985522675</v>
      </c>
      <c r="N1134" s="92">
        <v>-0.83951567453638187</v>
      </c>
      <c r="O1134" s="92">
        <v>4.9618943405969488E-3</v>
      </c>
      <c r="P1134" s="92">
        <v>-5.8419835700572829E-3</v>
      </c>
      <c r="Q1134" s="92">
        <v>-1.0849337414197335E-3</v>
      </c>
      <c r="R1134" s="92">
        <v>4.8494424425906341E-3</v>
      </c>
      <c r="S1134" s="92">
        <v>0.40812098041648143</v>
      </c>
      <c r="T1134" s="92">
        <v>10.915818059925662</v>
      </c>
      <c r="U1134" s="92">
        <v>11.290801449868257</v>
      </c>
      <c r="V1134" s="92">
        <v>0.18476779316611408</v>
      </c>
      <c r="W1134" s="92">
        <v>-0.1595091732290787</v>
      </c>
      <c r="X1134" s="92">
        <v>-0.19430390625403801</v>
      </c>
      <c r="Y1134" s="92">
        <v>7.3935038519781912E-4</v>
      </c>
      <c r="Z1134" s="92">
        <v>-2.1116792056884801E-3</v>
      </c>
      <c r="AA1134" s="92">
        <v>1.2054603218020308E-3</v>
      </c>
      <c r="AB1134" s="92">
        <v>1.231791438354969E-3</v>
      </c>
      <c r="AC1134" s="119">
        <v>5.7659977185980822E-2</v>
      </c>
      <c r="AD1134" s="119">
        <v>2.8830943340852868</v>
      </c>
      <c r="AE1134" s="120">
        <v>7.7318255768799114E-3</v>
      </c>
      <c r="AF1134" s="119">
        <v>2.9363798999598623E-2</v>
      </c>
      <c r="AG1134" s="119">
        <v>1.2972979117930823</v>
      </c>
      <c r="AH1134" s="120">
        <v>3.5467277122019814E-3</v>
      </c>
      <c r="AI1134" s="121">
        <v>-35</v>
      </c>
      <c r="AJ1134" s="121">
        <v>-10</v>
      </c>
      <c r="AK1134" s="121">
        <v>35</v>
      </c>
      <c r="AL1134" s="121">
        <v>65</v>
      </c>
      <c r="AM1134" s="122">
        <v>42111</v>
      </c>
      <c r="AN1134" s="121" t="s">
        <v>481</v>
      </c>
      <c r="AP1134" s="87"/>
    </row>
    <row r="1135" spans="1:42">
      <c r="A1135" s="71" t="s">
        <v>43</v>
      </c>
      <c r="B1135" s="72" t="s">
        <v>100</v>
      </c>
      <c r="C1135" s="71" t="s">
        <v>105</v>
      </c>
      <c r="D1135" s="72" t="s">
        <v>101</v>
      </c>
      <c r="E1135" s="71" t="s">
        <v>102</v>
      </c>
      <c r="F1135" s="72" t="s">
        <v>599</v>
      </c>
      <c r="G1135" s="77"/>
      <c r="H1135" s="72" t="str">
        <f t="shared" ref="H1135:H1166" si="25">CONCATENATE(A1135," ",B1135," ",C1135," ",D1135," ",F1135)</f>
        <v>Embraco R134a 60 Hz 115V EMYe70HEP - PTCSIR</v>
      </c>
      <c r="I1135" s="91">
        <v>1.6836612764499541</v>
      </c>
      <c r="J1135" s="92">
        <v>40.092874743310389</v>
      </c>
      <c r="K1135" s="92">
        <v>42.304378159498874</v>
      </c>
      <c r="L1135" s="92">
        <v>0.63396083931277369</v>
      </c>
      <c r="M1135" s="92">
        <v>-0.38178128521404769</v>
      </c>
      <c r="N1135" s="92">
        <v>-0.9145689643149556</v>
      </c>
      <c r="O1135" s="92">
        <v>2.4092591806157233E-3</v>
      </c>
      <c r="P1135" s="92">
        <v>-5.6283800206097011E-3</v>
      </c>
      <c r="Q1135" s="92">
        <v>1.7131186563829764E-4</v>
      </c>
      <c r="R1135" s="92">
        <v>5.4732659711085171E-3</v>
      </c>
      <c r="S1135" s="92">
        <v>0.44618642915976031</v>
      </c>
      <c r="T1135" s="92">
        <v>10.227597779970282</v>
      </c>
      <c r="U1135" s="92">
        <v>11.61292091502732</v>
      </c>
      <c r="V1135" s="92">
        <v>0.13614690099359694</v>
      </c>
      <c r="W1135" s="92">
        <v>-0.16703515220128748</v>
      </c>
      <c r="X1135" s="92">
        <v>-0.20906381900679236</v>
      </c>
      <c r="Y1135" s="92">
        <v>7.2114186007585202E-4</v>
      </c>
      <c r="Z1135" s="92">
        <v>-1.16575457338392E-3</v>
      </c>
      <c r="AA1135" s="92">
        <v>1.6042424297016832E-3</v>
      </c>
      <c r="AB1135" s="92">
        <v>1.3942712626794445E-3</v>
      </c>
      <c r="AC1135" s="119">
        <v>4.6103054637884264E-2</v>
      </c>
      <c r="AD1135" s="119">
        <v>1.4037202433048741</v>
      </c>
      <c r="AE1135" s="120">
        <v>5.820313134312298E-3</v>
      </c>
      <c r="AF1135" s="119">
        <v>2.9736377751918421E-2</v>
      </c>
      <c r="AG1135" s="119">
        <v>1.0619068735914883</v>
      </c>
      <c r="AH1135" s="120">
        <v>3.1006705647892469E-3</v>
      </c>
      <c r="AI1135" s="121">
        <v>-35</v>
      </c>
      <c r="AJ1135" s="121">
        <v>-10</v>
      </c>
      <c r="AK1135" s="121">
        <v>35</v>
      </c>
      <c r="AL1135" s="121">
        <v>65</v>
      </c>
      <c r="AM1135" s="122">
        <v>42111</v>
      </c>
      <c r="AN1135" s="121" t="s">
        <v>481</v>
      </c>
      <c r="AP1135" s="87"/>
    </row>
    <row r="1136" spans="1:42">
      <c r="A1136" s="71" t="s">
        <v>43</v>
      </c>
      <c r="B1136" s="72" t="s">
        <v>100</v>
      </c>
      <c r="C1136" s="71" t="s">
        <v>105</v>
      </c>
      <c r="D1136" s="72" t="s">
        <v>101</v>
      </c>
      <c r="E1136" s="71" t="s">
        <v>102</v>
      </c>
      <c r="F1136" s="72" t="s">
        <v>600</v>
      </c>
      <c r="G1136" s="77"/>
      <c r="H1136" s="72" t="str">
        <f t="shared" si="25"/>
        <v>Embraco R134a 60 Hz 115V EMYS60HEP</v>
      </c>
      <c r="I1136" s="91">
        <v>914.98694182480972</v>
      </c>
      <c r="J1136" s="92">
        <v>33.695029201430145</v>
      </c>
      <c r="K1136" s="92">
        <v>-13.340374338641288</v>
      </c>
      <c r="L1136" s="92">
        <v>0.38465331361877747</v>
      </c>
      <c r="M1136" s="92">
        <v>-0.38338353179157808</v>
      </c>
      <c r="N1136" s="92">
        <v>0.12198045736906232</v>
      </c>
      <c r="O1136" s="92">
        <v>6.9687078439273505E-4</v>
      </c>
      <c r="P1136" s="92">
        <v>-3.6054479957905866E-3</v>
      </c>
      <c r="Q1136" s="92">
        <v>1.0079051946919248E-3</v>
      </c>
      <c r="R1136" s="92">
        <v>-8.1366441990488264E-4</v>
      </c>
      <c r="S1136" s="92">
        <v>202.82871941224005</v>
      </c>
      <c r="T1136" s="92">
        <v>4.7120165224052215</v>
      </c>
      <c r="U1136" s="92">
        <v>-3.3361174664325386</v>
      </c>
      <c r="V1136" s="92">
        <v>3.8978649101701915E-2</v>
      </c>
      <c r="W1136" s="92">
        <v>-7.9692085294747875E-2</v>
      </c>
      <c r="X1136" s="92">
        <v>8.999722144865481E-2</v>
      </c>
      <c r="Y1136" s="92">
        <v>1.1577419942114833E-4</v>
      </c>
      <c r="Z1136" s="92">
        <v>-4.1488792196266194E-4</v>
      </c>
      <c r="AA1136" s="92">
        <v>1.1635105809253683E-3</v>
      </c>
      <c r="AB1136" s="92">
        <v>-5.4612480742697407E-4</v>
      </c>
      <c r="AC1136" s="119"/>
      <c r="AD1136" s="119"/>
      <c r="AE1136" s="120"/>
      <c r="AF1136" s="119"/>
      <c r="AG1136" s="119"/>
      <c r="AH1136" s="120"/>
      <c r="AI1136" s="121"/>
      <c r="AJ1136" s="121"/>
      <c r="AK1136" s="121"/>
      <c r="AL1136" s="121"/>
      <c r="AM1136" s="122"/>
      <c r="AN1136" s="121"/>
      <c r="AP1136" s="87"/>
    </row>
    <row r="1137" spans="1:42">
      <c r="A1137" s="71" t="s">
        <v>112</v>
      </c>
      <c r="B1137" s="72" t="s">
        <v>100</v>
      </c>
      <c r="C1137" s="71" t="s">
        <v>45</v>
      </c>
      <c r="D1137" s="72" t="s">
        <v>109</v>
      </c>
      <c r="E1137" s="71" t="s">
        <v>102</v>
      </c>
      <c r="F1137" s="72" t="s">
        <v>601</v>
      </c>
      <c r="G1137" s="77"/>
      <c r="H1137" s="72" t="str">
        <f t="shared" si="25"/>
        <v>Huayi R134a 50 Hz 220V HYE69YS</v>
      </c>
      <c r="I1137" s="91">
        <v>-85.57859344304029</v>
      </c>
      <c r="J1137" s="92">
        <v>18.179035586514033</v>
      </c>
      <c r="K1137" s="92">
        <v>44.916537322880345</v>
      </c>
      <c r="L1137" s="92">
        <v>0.39773154087791662</v>
      </c>
      <c r="M1137" s="92">
        <v>0.34567634684193566</v>
      </c>
      <c r="N1137" s="92">
        <v>-0.90782561785889615</v>
      </c>
      <c r="O1137" s="92">
        <v>1.5256907257472226E-3</v>
      </c>
      <c r="P1137" s="92">
        <v>-1.7779645586965206E-3</v>
      </c>
      <c r="Q1137" s="92">
        <v>-5.5414846548595218E-3</v>
      </c>
      <c r="R1137" s="92">
        <v>5.1543625486249571E-3</v>
      </c>
      <c r="S1137" s="92">
        <v>-4.7629037532625169</v>
      </c>
      <c r="T1137" s="92">
        <v>-75.21093059228582</v>
      </c>
      <c r="U1137" s="92">
        <v>-25.19870404912562</v>
      </c>
      <c r="V1137" s="92">
        <v>-1.8603096539375821</v>
      </c>
      <c r="W1137" s="92">
        <v>1.478563453120423</v>
      </c>
      <c r="X1137" s="92">
        <v>0.87363542340346922</v>
      </c>
      <c r="Y1137" s="92">
        <v>-1.5796357126480025E-2</v>
      </c>
      <c r="Z1137" s="92">
        <v>1.6354021030791879E-2</v>
      </c>
      <c r="AA1137" s="92">
        <v>-6.6233191843457478E-3</v>
      </c>
      <c r="AB1137" s="92">
        <v>-6.7948483237321089E-3</v>
      </c>
      <c r="AC1137" s="119">
        <v>4.4569308289215105E-2</v>
      </c>
      <c r="AD1137" s="119">
        <v>3.9192716454016683</v>
      </c>
      <c r="AE1137" s="120">
        <v>5.8783579715403983E-3</v>
      </c>
      <c r="AF1137" s="119">
        <v>2.0891867144358236</v>
      </c>
      <c r="AG1137" s="119">
        <v>134.55674995532337</v>
      </c>
      <c r="AH1137" s="120">
        <v>4.4719196408920678E-2</v>
      </c>
      <c r="AI1137" s="121">
        <v>-35</v>
      </c>
      <c r="AJ1137" s="121">
        <v>-10</v>
      </c>
      <c r="AK1137" s="121" t="s">
        <v>602</v>
      </c>
      <c r="AL1137" s="121">
        <v>63</v>
      </c>
      <c r="AM1137" s="122">
        <v>42640</v>
      </c>
      <c r="AN1137" s="121" t="s">
        <v>603</v>
      </c>
      <c r="AP1137" s="87"/>
    </row>
    <row r="1138" spans="1:42">
      <c r="A1138" s="71" t="s">
        <v>115</v>
      </c>
      <c r="B1138" s="72" t="s">
        <v>44</v>
      </c>
      <c r="C1138" s="71" t="s">
        <v>45</v>
      </c>
      <c r="D1138" s="72" t="s">
        <v>46</v>
      </c>
      <c r="E1138" s="71" t="s">
        <v>102</v>
      </c>
      <c r="F1138" s="72" t="s">
        <v>604</v>
      </c>
      <c r="G1138" s="77"/>
      <c r="H1138" s="72" t="str">
        <f t="shared" si="25"/>
        <v>Jiaxipera Isobutane 50 Hz 230V BM1112CY</v>
      </c>
      <c r="I1138" s="91">
        <v>557.49053199411856</v>
      </c>
      <c r="J1138" s="92">
        <v>20.21057187529631</v>
      </c>
      <c r="K1138" s="92">
        <v>-3.0859401156902311</v>
      </c>
      <c r="L1138" s="92">
        <v>0.26188030499219894</v>
      </c>
      <c r="M1138" s="92">
        <v>-0.11870504918694495</v>
      </c>
      <c r="N1138" s="92">
        <v>-2.3328576086089011E-2</v>
      </c>
      <c r="O1138" s="92">
        <v>1.0452764108777044E-3</v>
      </c>
      <c r="P1138" s="92">
        <v>-1.3076612238073721E-3</v>
      </c>
      <c r="Q1138" s="92">
        <v>-2.1235716521914581E-4</v>
      </c>
      <c r="R1138" s="92">
        <v>7.6808433281257742E-5</v>
      </c>
      <c r="S1138" s="92">
        <v>86.12032468136141</v>
      </c>
      <c r="T1138" s="92">
        <v>1.117964162822489</v>
      </c>
      <c r="U1138" s="92">
        <v>1.7509625816345216</v>
      </c>
      <c r="V1138" s="92">
        <v>1.3152390047907829E-2</v>
      </c>
      <c r="W1138" s="92">
        <v>3.1525445356965068E-2</v>
      </c>
      <c r="X1138" s="92">
        <v>3.8203487265855074E-3</v>
      </c>
      <c r="Y1138" s="92">
        <v>1.6072854021331295E-4</v>
      </c>
      <c r="Z1138" s="92">
        <v>1.9871538388542833E-4</v>
      </c>
      <c r="AA1138" s="92">
        <v>2.236604961217381E-4</v>
      </c>
      <c r="AB1138" s="92">
        <v>-7.669094338780269E-5</v>
      </c>
      <c r="AC1138" s="119"/>
      <c r="AD1138" s="119"/>
      <c r="AE1138" s="120"/>
      <c r="AF1138" s="119"/>
      <c r="AG1138" s="119"/>
      <c r="AH1138" s="120"/>
      <c r="AI1138" s="121"/>
      <c r="AJ1138" s="121"/>
      <c r="AK1138" s="121"/>
      <c r="AL1138" s="121"/>
      <c r="AM1138" s="122"/>
      <c r="AN1138" s="121"/>
      <c r="AP1138" s="87"/>
    </row>
    <row r="1139" spans="1:42">
      <c r="A1139" s="71" t="s">
        <v>115</v>
      </c>
      <c r="B1139" s="72" t="s">
        <v>44</v>
      </c>
      <c r="C1139" s="71" t="s">
        <v>105</v>
      </c>
      <c r="D1139" s="72" t="s">
        <v>101</v>
      </c>
      <c r="E1139" s="71" t="s">
        <v>102</v>
      </c>
      <c r="F1139" s="72" t="s">
        <v>605</v>
      </c>
      <c r="G1139" s="77"/>
      <c r="H1139" s="72" t="str">
        <f t="shared" si="25"/>
        <v>Jiaxipera Isobutane 60 Hz 115V NB1114HY - ePTCSCR</v>
      </c>
      <c r="I1139" s="91">
        <v>1.9632374619390873</v>
      </c>
      <c r="J1139" s="92">
        <v>29.414778207476655</v>
      </c>
      <c r="K1139" s="92">
        <v>43.555680474216366</v>
      </c>
      <c r="L1139" s="92">
        <v>0.61250388465868155</v>
      </c>
      <c r="M1139" s="92">
        <v>-8.3032027842861331E-2</v>
      </c>
      <c r="N1139" s="92">
        <v>-1.0874710528002891</v>
      </c>
      <c r="O1139" s="92">
        <v>5.7017624072333763E-3</v>
      </c>
      <c r="P1139" s="92">
        <v>-1.3907155983630412E-3</v>
      </c>
      <c r="Q1139" s="92">
        <v>-9.1863345511746419E-4</v>
      </c>
      <c r="R1139" s="92">
        <v>7.926824189029456E-3</v>
      </c>
      <c r="S1139" s="92">
        <v>0.4154655268627937</v>
      </c>
      <c r="T1139" s="92">
        <v>-0.88088645167159352</v>
      </c>
      <c r="U1139" s="92">
        <v>6.7959359274516862</v>
      </c>
      <c r="V1139" s="92">
        <v>-7.0421950580993903E-2</v>
      </c>
      <c r="W1139" s="92">
        <v>7.5010622730534021E-2</v>
      </c>
      <c r="X1139" s="92">
        <v>-0.11419063526743665</v>
      </c>
      <c r="Y1139" s="92">
        <v>-1.0091815352170639E-3</v>
      </c>
      <c r="Z1139" s="92">
        <v>5.2500394404116351E-4</v>
      </c>
      <c r="AA1139" s="92">
        <v>-2.1354026936791059E-4</v>
      </c>
      <c r="AB1139" s="92">
        <v>7.9049855017120768E-4</v>
      </c>
      <c r="AC1139" s="119">
        <v>3.8694233203735061E-4</v>
      </c>
      <c r="AD1139" s="119">
        <v>8.4496549977714046E-3</v>
      </c>
      <c r="AE1139" s="120">
        <v>5.1941111341520128E-4</v>
      </c>
      <c r="AF1139" s="119">
        <v>2.0414833585573217E-6</v>
      </c>
      <c r="AG1139" s="119">
        <v>3.7899539219907377E-5</v>
      </c>
      <c r="AH1139" s="120">
        <v>4.4422609714688198E-5</v>
      </c>
      <c r="AI1139" s="121">
        <v>-35</v>
      </c>
      <c r="AJ1139" s="121">
        <v>-10</v>
      </c>
      <c r="AK1139" s="121">
        <v>35</v>
      </c>
      <c r="AL1139" s="121">
        <v>55</v>
      </c>
      <c r="AM1139" s="122">
        <v>42653</v>
      </c>
      <c r="AN1139" s="121" t="s">
        <v>481</v>
      </c>
      <c r="AP1139" s="87"/>
    </row>
    <row r="1140" spans="1:42">
      <c r="A1140" s="71" t="s">
        <v>115</v>
      </c>
      <c r="B1140" s="72" t="s">
        <v>44</v>
      </c>
      <c r="C1140" s="71" t="s">
        <v>105</v>
      </c>
      <c r="D1140" s="72" t="s">
        <v>101</v>
      </c>
      <c r="E1140" s="71" t="s">
        <v>102</v>
      </c>
      <c r="F1140" s="72" t="s">
        <v>606</v>
      </c>
      <c r="G1140" s="77"/>
      <c r="H1140" s="72" t="str">
        <f t="shared" si="25"/>
        <v>Jiaxipera Isobutane 60 Hz 115V NB1116HY - ePTCSCR</v>
      </c>
      <c r="I1140" s="91">
        <v>722.70772407127527</v>
      </c>
      <c r="J1140" s="92">
        <v>20.417624463667654</v>
      </c>
      <c r="K1140" s="92">
        <v>-7.3275305226892771</v>
      </c>
      <c r="L1140" s="92">
        <v>0.10805390356637352</v>
      </c>
      <c r="M1140" s="92">
        <v>-0.1163659436925132</v>
      </c>
      <c r="N1140" s="92">
        <v>5.2508953042746907E-2</v>
      </c>
      <c r="O1140" s="92">
        <v>-1.854704262413508E-3</v>
      </c>
      <c r="P1140" s="92">
        <v>-1.5643197528858691E-3</v>
      </c>
      <c r="Q1140" s="92">
        <v>-4.6345496850845597E-4</v>
      </c>
      <c r="R1140" s="92">
        <v>-4.1371781006642661E-4</v>
      </c>
      <c r="S1140" s="92">
        <v>-50.384409953636499</v>
      </c>
      <c r="T1140" s="92">
        <v>-5.0922339467483528E-2</v>
      </c>
      <c r="U1140" s="92">
        <v>10.91239766128785</v>
      </c>
      <c r="V1140" s="92">
        <v>-5.4507535402318043E-2</v>
      </c>
      <c r="W1140" s="92">
        <v>4.4651232886264575E-2</v>
      </c>
      <c r="X1140" s="92">
        <v>-0.20543335700996762</v>
      </c>
      <c r="Y1140" s="92">
        <v>-8.9734140742050961E-4</v>
      </c>
      <c r="Z1140" s="92">
        <v>2.2620738454530095E-4</v>
      </c>
      <c r="AA1140" s="92">
        <v>3.4641611923122446E-5</v>
      </c>
      <c r="AB1140" s="92">
        <v>1.4608987075778496E-3</v>
      </c>
      <c r="AC1140" s="119">
        <v>1.7140751020984418E-5</v>
      </c>
      <c r="AD1140" s="119">
        <v>5.4342363347985832E-4</v>
      </c>
      <c r="AE1140" s="120">
        <v>1.1677757198645696E-4</v>
      </c>
      <c r="AF1140" s="119">
        <v>1.447615323250054E-4</v>
      </c>
      <c r="AG1140" s="119">
        <v>8.2368913119926987E-3</v>
      </c>
      <c r="AH1140" s="120">
        <v>4.48429915743466E-4</v>
      </c>
      <c r="AI1140" s="121">
        <v>-35</v>
      </c>
      <c r="AJ1140" s="121">
        <v>-10</v>
      </c>
      <c r="AK1140" s="121">
        <v>35</v>
      </c>
      <c r="AL1140" s="121">
        <v>60</v>
      </c>
      <c r="AM1140" s="122">
        <v>42577</v>
      </c>
      <c r="AN1140" s="121" t="s">
        <v>481</v>
      </c>
      <c r="AP1140" s="87"/>
    </row>
    <row r="1141" spans="1:42">
      <c r="A1141" s="71" t="s">
        <v>115</v>
      </c>
      <c r="B1141" s="72" t="s">
        <v>44</v>
      </c>
      <c r="C1141" s="71" t="s">
        <v>45</v>
      </c>
      <c r="D1141" s="72" t="s">
        <v>109</v>
      </c>
      <c r="E1141" s="71" t="s">
        <v>102</v>
      </c>
      <c r="F1141" s="72" t="s">
        <v>607</v>
      </c>
      <c r="G1141" s="77"/>
      <c r="H1141" s="72" t="str">
        <f t="shared" si="25"/>
        <v>Jiaxipera Isobutane 50 Hz 220V NB1116Y - PTCSCR</v>
      </c>
      <c r="I1141" s="91">
        <v>383.37746454228352</v>
      </c>
      <c r="J1141" s="92">
        <v>21.208466602802964</v>
      </c>
      <c r="K1141" s="92">
        <v>14.621601516636497</v>
      </c>
      <c r="L1141" s="92">
        <v>0.23109761693235795</v>
      </c>
      <c r="M1141" s="92">
        <v>-9.5335843184259014E-2</v>
      </c>
      <c r="N1141" s="92">
        <v>-0.41495234433785549</v>
      </c>
      <c r="O1141" s="92">
        <v>2.0000913702299447E-4</v>
      </c>
      <c r="P1141" s="92">
        <v>-1.5853623561284311E-3</v>
      </c>
      <c r="Q1141" s="92">
        <v>-5.458827177251299E-4</v>
      </c>
      <c r="R1141" s="92">
        <v>2.8756900526833349E-3</v>
      </c>
      <c r="S1141" s="92">
        <v>-576.28317869238901</v>
      </c>
      <c r="T1141" s="92">
        <v>0.74725624846312189</v>
      </c>
      <c r="U1141" s="92">
        <v>47.61815308349496</v>
      </c>
      <c r="V1141" s="92">
        <v>-0.13398725151312618</v>
      </c>
      <c r="W1141" s="92">
        <v>-7.961129840777835E-2</v>
      </c>
      <c r="X1141" s="92">
        <v>-1.0543293899453148</v>
      </c>
      <c r="Y1141" s="92">
        <v>-2.2356596543469196E-3</v>
      </c>
      <c r="Z1141" s="92">
        <v>-3.2426030994338301E-4</v>
      </c>
      <c r="AA1141" s="92">
        <v>1.1567960612957509E-3</v>
      </c>
      <c r="AB1141" s="92">
        <v>7.79776403446579E-3</v>
      </c>
      <c r="AC1141" s="119">
        <v>1.2354630862702844E-5</v>
      </c>
      <c r="AD1141" s="119">
        <v>2.0707363726082679E-4</v>
      </c>
      <c r="AE1141" s="120">
        <v>6.3790311171180021E-5</v>
      </c>
      <c r="AF1141" s="119">
        <v>2.2086250022722953E-3</v>
      </c>
      <c r="AG1141" s="119">
        <v>0.11857967297588652</v>
      </c>
      <c r="AH1141" s="120">
        <v>1.6572509012560534E-3</v>
      </c>
      <c r="AI1141" s="121">
        <v>-35</v>
      </c>
      <c r="AJ1141" s="121">
        <v>-10</v>
      </c>
      <c r="AK1141" s="121">
        <v>35</v>
      </c>
      <c r="AL1141" s="121">
        <v>60</v>
      </c>
      <c r="AM1141" s="122">
        <v>42566</v>
      </c>
      <c r="AN1141" s="121" t="s">
        <v>481</v>
      </c>
      <c r="AP1141" s="87"/>
    </row>
    <row r="1142" spans="1:42">
      <c r="A1142" s="71" t="s">
        <v>115</v>
      </c>
      <c r="B1142" s="72" t="s">
        <v>44</v>
      </c>
      <c r="C1142" s="71" t="s">
        <v>45</v>
      </c>
      <c r="D1142" s="72" t="s">
        <v>46</v>
      </c>
      <c r="E1142" s="71" t="s">
        <v>102</v>
      </c>
      <c r="F1142" s="72" t="s">
        <v>608</v>
      </c>
      <c r="G1142" s="77"/>
      <c r="H1142" s="72" t="str">
        <f t="shared" si="25"/>
        <v>Jiaxipera Isobutane 50 Hz 230V ND1114Y</v>
      </c>
      <c r="I1142" s="91">
        <v>658.412759769167</v>
      </c>
      <c r="J1142" s="92">
        <v>29.12496245462728</v>
      </c>
      <c r="K1142" s="92">
        <v>-2.3918303018771003</v>
      </c>
      <c r="L1142" s="92">
        <v>0.56876777519021615</v>
      </c>
      <c r="M1142" s="92">
        <v>-0.12132195553393792</v>
      </c>
      <c r="N1142" s="92">
        <v>-4.2388146810515837E-2</v>
      </c>
      <c r="O1142" s="92">
        <v>4.0604336984792454E-3</v>
      </c>
      <c r="P1142" s="92">
        <v>-2.7048142509411553E-3</v>
      </c>
      <c r="Q1142" s="92">
        <v>-9.3076785431711335E-4</v>
      </c>
      <c r="R1142" s="92">
        <v>1.4183167778579811E-4</v>
      </c>
      <c r="S1142" s="92">
        <v>-20.365833767645459</v>
      </c>
      <c r="T1142" s="92">
        <v>6.440590959567789</v>
      </c>
      <c r="U1142" s="92">
        <v>10.726716300346789</v>
      </c>
      <c r="V1142" s="92">
        <v>0.25053405807667789</v>
      </c>
      <c r="W1142" s="92">
        <v>2.8315504134150529E-2</v>
      </c>
      <c r="X1142" s="92">
        <v>-0.21056451495488196</v>
      </c>
      <c r="Y1142" s="92">
        <v>3.2386367842298686E-3</v>
      </c>
      <c r="Z1142" s="92">
        <v>-3.5287138477634532E-4</v>
      </c>
      <c r="AA1142" s="92">
        <v>-1.5417719597151432E-4</v>
      </c>
      <c r="AB1142" s="92">
        <v>1.4825074283021501E-3</v>
      </c>
      <c r="AC1142" s="119">
        <v>3.1262556243453113E-5</v>
      </c>
      <c r="AD1142" s="119">
        <v>5.7139507033144514E-4</v>
      </c>
      <c r="AE1142" s="120">
        <v>8.9239221597815121E-5</v>
      </c>
      <c r="AF1142" s="119">
        <v>1.4525768865404202E-6</v>
      </c>
      <c r="AG1142" s="119">
        <v>3.4359778314437348E-5</v>
      </c>
      <c r="AH1142" s="120">
        <v>3.4464336928829503E-5</v>
      </c>
      <c r="AI1142" s="121">
        <v>-35</v>
      </c>
      <c r="AJ1142" s="121">
        <v>-10</v>
      </c>
      <c r="AK1142" s="121">
        <v>35</v>
      </c>
      <c r="AL1142" s="121">
        <v>60</v>
      </c>
      <c r="AM1142" s="122">
        <v>42900</v>
      </c>
      <c r="AN1142" s="121" t="s">
        <v>504</v>
      </c>
      <c r="AP1142" s="87"/>
    </row>
    <row r="1143" spans="1:42">
      <c r="A1143" s="71" t="s">
        <v>115</v>
      </c>
      <c r="B1143" s="72" t="s">
        <v>44</v>
      </c>
      <c r="C1143" s="71" t="s">
        <v>105</v>
      </c>
      <c r="D1143" s="72" t="s">
        <v>101</v>
      </c>
      <c r="E1143" s="71" t="s">
        <v>102</v>
      </c>
      <c r="F1143" s="72" t="s">
        <v>609</v>
      </c>
      <c r="G1143" s="77"/>
      <c r="H1143" s="72" t="str">
        <f t="shared" si="25"/>
        <v>Jiaxipera Isobutane 60 Hz 115V TH1114HY (Al) - PTCSCR</v>
      </c>
      <c r="I1143" s="91">
        <v>706.78143282331087</v>
      </c>
      <c r="J1143" s="92">
        <v>15.703087274785441</v>
      </c>
      <c r="K1143" s="92">
        <v>-10.503609049528132</v>
      </c>
      <c r="L1143" s="92">
        <v>-0.16418470572183158</v>
      </c>
      <c r="M1143" s="92">
        <v>-0.24377235227730082</v>
      </c>
      <c r="N1143" s="92">
        <v>8.4459947527051979E-2</v>
      </c>
      <c r="O1143" s="92">
        <v>-4.4618701823077329E-3</v>
      </c>
      <c r="P1143" s="92">
        <v>-2.1359595137639877E-4</v>
      </c>
      <c r="Q1143" s="92">
        <v>1.5660952821412038E-3</v>
      </c>
      <c r="R1143" s="92">
        <v>-2.7226137822333518E-4</v>
      </c>
      <c r="S1143" s="92">
        <v>-8.6679927713084464</v>
      </c>
      <c r="T1143" s="92">
        <v>-3.1966871370479271</v>
      </c>
      <c r="U1143" s="92">
        <v>6.6393556566271181</v>
      </c>
      <c r="V1143" s="92">
        <v>-0.1731731252724043</v>
      </c>
      <c r="W1143" s="92">
        <v>5.7537462241400286E-2</v>
      </c>
      <c r="X1143" s="92">
        <v>-0.11461753595295637</v>
      </c>
      <c r="Y1143" s="92">
        <v>-1.5442664552646958E-3</v>
      </c>
      <c r="Z1143" s="92">
        <v>1.7066619561783539E-3</v>
      </c>
      <c r="AA1143" s="92">
        <v>6.4065046413579489E-4</v>
      </c>
      <c r="AB1143" s="92">
        <v>9.2167815417000586E-4</v>
      </c>
      <c r="AC1143" s="119">
        <v>1.0159039371148398E-5</v>
      </c>
      <c r="AD1143" s="119">
        <v>2.6379604910753114E-4</v>
      </c>
      <c r="AE1143" s="120">
        <v>9.7866188009804774E-5</v>
      </c>
      <c r="AF1143" s="119">
        <v>4.3225728561420549E-7</v>
      </c>
      <c r="AG1143" s="119">
        <v>6.7057050141426994E-6</v>
      </c>
      <c r="AH1143" s="120">
        <v>1.3353107406008789E-5</v>
      </c>
      <c r="AI1143" s="121">
        <v>-35</v>
      </c>
      <c r="AJ1143" s="121">
        <v>-10</v>
      </c>
      <c r="AK1143" s="121">
        <v>35</v>
      </c>
      <c r="AL1143" s="121">
        <v>60</v>
      </c>
      <c r="AM1143" s="122">
        <v>42851</v>
      </c>
      <c r="AN1143" s="121" t="s">
        <v>481</v>
      </c>
      <c r="AP1143" s="87"/>
    </row>
    <row r="1144" spans="1:42">
      <c r="A1144" s="71" t="s">
        <v>115</v>
      </c>
      <c r="B1144" s="72" t="s">
        <v>44</v>
      </c>
      <c r="C1144" s="71" t="s">
        <v>45</v>
      </c>
      <c r="D1144" s="72" t="s">
        <v>109</v>
      </c>
      <c r="E1144" s="71" t="s">
        <v>102</v>
      </c>
      <c r="F1144" s="72" t="s">
        <v>610</v>
      </c>
      <c r="G1144" s="77"/>
      <c r="H1144" s="72" t="str">
        <f t="shared" si="25"/>
        <v>Jiaxipera Isobutane 50 Hz 220V TH1116Y (Al) - PTCSCR</v>
      </c>
      <c r="I1144" s="91">
        <v>301.10463646265168</v>
      </c>
      <c r="J1144" s="92">
        <v>21.584566694963211</v>
      </c>
      <c r="K1144" s="92">
        <v>21.762009029142664</v>
      </c>
      <c r="L1144" s="92">
        <v>7.4430073203949426E-2</v>
      </c>
      <c r="M1144" s="92">
        <v>-0.22934469388966039</v>
      </c>
      <c r="N1144" s="92">
        <v>-0.61508222780782396</v>
      </c>
      <c r="O1144" s="92">
        <v>-2.0380880016241938E-3</v>
      </c>
      <c r="P1144" s="92">
        <v>-1.2766186737080958E-3</v>
      </c>
      <c r="Q1144" s="92">
        <v>9.4346663289037445E-4</v>
      </c>
      <c r="R1144" s="92">
        <v>4.585555806156205E-3</v>
      </c>
      <c r="S1144" s="92">
        <v>23.411981535770018</v>
      </c>
      <c r="T1144" s="92">
        <v>1.5398017078842292</v>
      </c>
      <c r="U1144" s="92">
        <v>8.4399800755311016</v>
      </c>
      <c r="V1144" s="92">
        <v>-0.13405519370569963</v>
      </c>
      <c r="W1144" s="92">
        <v>-7.3502909166344998E-2</v>
      </c>
      <c r="X1144" s="92">
        <v>-0.19375156262261084</v>
      </c>
      <c r="Y1144" s="92">
        <v>-2.5400702365919237E-3</v>
      </c>
      <c r="Z1144" s="92">
        <v>-3.9935380424242968E-4</v>
      </c>
      <c r="AA1144" s="92">
        <v>9.2702391494568954E-4</v>
      </c>
      <c r="AB1144" s="92">
        <v>1.5956617989216339E-3</v>
      </c>
      <c r="AC1144" s="119">
        <v>6.3086287915382162E-4</v>
      </c>
      <c r="AD1144" s="119">
        <v>2.2303432103280809E-2</v>
      </c>
      <c r="AE1144" s="120">
        <v>7.1337709380354074E-4</v>
      </c>
      <c r="AF1144" s="119">
        <v>3.7846067661435811E-5</v>
      </c>
      <c r="AG1144" s="119">
        <v>5.0394956121666305E-3</v>
      </c>
      <c r="AH1144" s="120">
        <v>3.1395505951366769E-4</v>
      </c>
      <c r="AI1144" s="121">
        <v>-35</v>
      </c>
      <c r="AJ1144" s="121">
        <v>-10</v>
      </c>
      <c r="AK1144" s="121">
        <v>35</v>
      </c>
      <c r="AL1144" s="121">
        <v>60</v>
      </c>
      <c r="AM1144" s="122">
        <v>42565</v>
      </c>
      <c r="AN1144" s="121" t="s">
        <v>481</v>
      </c>
      <c r="AP1144" s="87"/>
    </row>
    <row r="1145" spans="1:42">
      <c r="A1145" s="71" t="s">
        <v>118</v>
      </c>
      <c r="B1145" s="72" t="s">
        <v>100</v>
      </c>
      <c r="C1145" s="71" t="s">
        <v>105</v>
      </c>
      <c r="D1145" s="72" t="s">
        <v>101</v>
      </c>
      <c r="E1145" s="71" t="s">
        <v>102</v>
      </c>
      <c r="F1145" s="72" t="s">
        <v>611</v>
      </c>
      <c r="G1145" s="77"/>
      <c r="H1145" s="72" t="str">
        <f t="shared" si="25"/>
        <v>Panasonic R134a 60 Hz 115V DHS51C73RAU</v>
      </c>
      <c r="I1145" s="91">
        <v>775.57724298449818</v>
      </c>
      <c r="J1145" s="92">
        <v>25.677605875630082</v>
      </c>
      <c r="K1145" s="92">
        <v>-5.0760517166377976</v>
      </c>
      <c r="L1145" s="92">
        <v>0.3598242250537258</v>
      </c>
      <c r="M1145" s="92">
        <v>-6.4911622676402297E-2</v>
      </c>
      <c r="N1145" s="92">
        <v>-3.718429275487066E-3</v>
      </c>
      <c r="O1145" s="92">
        <v>2.2896525102913817E-3</v>
      </c>
      <c r="P1145" s="92">
        <v>-6.8106855985108526E-4</v>
      </c>
      <c r="Q1145" s="92">
        <v>-5.8747868178634884E-4</v>
      </c>
      <c r="R1145" s="92">
        <v>-2.7745040007054238E-5</v>
      </c>
      <c r="S1145" s="92">
        <v>24.622675041122896</v>
      </c>
      <c r="T1145" s="92">
        <v>-5.2936362787937652</v>
      </c>
      <c r="U1145" s="92">
        <v>3.4414768320927673</v>
      </c>
      <c r="V1145" s="92">
        <v>-0.17302882474084935</v>
      </c>
      <c r="W1145" s="92">
        <v>0.13783478086932882</v>
      </c>
      <c r="X1145" s="92">
        <v>-6.0454394683515068E-4</v>
      </c>
      <c r="Y1145" s="92">
        <v>-1.717387166363279E-3</v>
      </c>
      <c r="Z1145" s="92">
        <v>1.3745082363324284E-3</v>
      </c>
      <c r="AA1145" s="92">
        <v>5.3258745778718698E-5</v>
      </c>
      <c r="AB1145" s="92">
        <v>-6.2539914680932279E-5</v>
      </c>
      <c r="AC1145" s="119"/>
      <c r="AD1145" s="119"/>
      <c r="AE1145" s="120"/>
      <c r="AF1145" s="119"/>
      <c r="AG1145" s="119"/>
      <c r="AH1145" s="120"/>
      <c r="AI1145" s="121"/>
      <c r="AJ1145" s="121"/>
      <c r="AK1145" s="121"/>
      <c r="AL1145" s="121"/>
      <c r="AM1145" s="122"/>
      <c r="AN1145" s="121"/>
      <c r="AP1145" s="87"/>
    </row>
    <row r="1146" spans="1:42">
      <c r="A1146" s="71" t="s">
        <v>118</v>
      </c>
      <c r="B1146" s="72" t="s">
        <v>100</v>
      </c>
      <c r="C1146" s="71" t="s">
        <v>105</v>
      </c>
      <c r="D1146" s="72" t="s">
        <v>101</v>
      </c>
      <c r="E1146" s="71" t="s">
        <v>102</v>
      </c>
      <c r="F1146" s="72" t="s">
        <v>612</v>
      </c>
      <c r="G1146" s="77"/>
      <c r="H1146" s="72" t="str">
        <f t="shared" si="25"/>
        <v>Panasonic R134a 60 Hz 115V DHS57C85RAU</v>
      </c>
      <c r="I1146" s="91">
        <v>823.8772701279895</v>
      </c>
      <c r="J1146" s="92">
        <v>27.124428007509142</v>
      </c>
      <c r="K1146" s="92">
        <v>-5.0999316530421375</v>
      </c>
      <c r="L1146" s="92">
        <v>0.3709864862998275</v>
      </c>
      <c r="M1146" s="92">
        <v>-7.4905401753817893E-2</v>
      </c>
      <c r="N1146" s="92">
        <v>-4.7801327269727453E-3</v>
      </c>
      <c r="O1146" s="92">
        <v>2.2366205563583577E-3</v>
      </c>
      <c r="P1146" s="92">
        <v>-9.2096451900858353E-4</v>
      </c>
      <c r="Q1146" s="92">
        <v>-5.6097247079205505E-4</v>
      </c>
      <c r="R1146" s="92">
        <v>-3.5923180862053275E-5</v>
      </c>
      <c r="S1146" s="92">
        <v>32.262316548493857</v>
      </c>
      <c r="T1146" s="92">
        <v>-5.5632519157115254</v>
      </c>
      <c r="U1146" s="92">
        <v>3.592872237329976</v>
      </c>
      <c r="V1146" s="92">
        <v>-0.19043673469887926</v>
      </c>
      <c r="W1146" s="92">
        <v>0.13980842166185384</v>
      </c>
      <c r="X1146" s="92">
        <v>-6.1586481820816706E-4</v>
      </c>
      <c r="Y1146" s="92">
        <v>-1.9130640425180099E-3</v>
      </c>
      <c r="Z1146" s="92">
        <v>1.4355928425814129E-3</v>
      </c>
      <c r="AA1146" s="92">
        <v>5.4175149793711176E-5</v>
      </c>
      <c r="AB1146" s="92">
        <v>-7.4036181607218434E-5</v>
      </c>
      <c r="AC1146" s="119"/>
      <c r="AD1146" s="119"/>
      <c r="AE1146" s="120"/>
      <c r="AF1146" s="119"/>
      <c r="AG1146" s="119"/>
      <c r="AH1146" s="120"/>
      <c r="AI1146" s="121"/>
      <c r="AJ1146" s="121"/>
      <c r="AK1146" s="121"/>
      <c r="AL1146" s="121"/>
      <c r="AM1146" s="122"/>
      <c r="AN1146" s="121"/>
      <c r="AP1146" s="87"/>
    </row>
    <row r="1147" spans="1:42">
      <c r="A1147" s="71" t="s">
        <v>118</v>
      </c>
      <c r="B1147" s="72" t="s">
        <v>100</v>
      </c>
      <c r="C1147" s="71" t="s">
        <v>105</v>
      </c>
      <c r="D1147" s="72" t="s">
        <v>101</v>
      </c>
      <c r="E1147" s="71" t="s">
        <v>102</v>
      </c>
      <c r="F1147" s="72" t="s">
        <v>613</v>
      </c>
      <c r="G1147" s="77"/>
      <c r="H1147" s="72" t="str">
        <f t="shared" si="25"/>
        <v>Panasonic R134a 60 Hz 115V DHS66C10RBU</v>
      </c>
      <c r="I1147" s="91">
        <v>970.53310815366501</v>
      </c>
      <c r="J1147" s="92">
        <v>32.319090237790718</v>
      </c>
      <c r="K1147" s="92">
        <v>-6.5721284817516965</v>
      </c>
      <c r="L1147" s="92">
        <v>0.42505290868455359</v>
      </c>
      <c r="M1147" s="92">
        <v>-0.11303873234912866</v>
      </c>
      <c r="N1147" s="92">
        <v>-1.7202189455595841E-3</v>
      </c>
      <c r="O1147" s="92">
        <v>2.080059021153869E-3</v>
      </c>
      <c r="P1147" s="92">
        <v>-1.4510915976512658E-3</v>
      </c>
      <c r="Q1147" s="92">
        <v>-5.1568745242735071E-4</v>
      </c>
      <c r="R1147" s="92">
        <v>-1.2609589496100838E-5</v>
      </c>
      <c r="S1147" s="92">
        <v>37.14828158472762</v>
      </c>
      <c r="T1147" s="92">
        <v>-5.8141874897568071</v>
      </c>
      <c r="U1147" s="92">
        <v>3.9970196835071592</v>
      </c>
      <c r="V1147" s="92">
        <v>-0.19494919762333313</v>
      </c>
      <c r="W1147" s="92">
        <v>0.14711191141338134</v>
      </c>
      <c r="X1147" s="92">
        <v>-6.1843680510663543E-4</v>
      </c>
      <c r="Y1147" s="92">
        <v>-1.9920304485957514E-3</v>
      </c>
      <c r="Z1147" s="92">
        <v>1.3200189886115193E-3</v>
      </c>
      <c r="AA1147" s="92">
        <v>1.1342938971098848E-4</v>
      </c>
      <c r="AB1147" s="92">
        <v>-7.8101365803740885E-5</v>
      </c>
      <c r="AC1147" s="119"/>
      <c r="AD1147" s="119"/>
      <c r="AE1147" s="120"/>
      <c r="AF1147" s="119"/>
      <c r="AG1147" s="119"/>
      <c r="AH1147" s="120"/>
      <c r="AI1147" s="121"/>
      <c r="AJ1147" s="121"/>
      <c r="AK1147" s="121"/>
      <c r="AL1147" s="121"/>
      <c r="AM1147" s="122"/>
      <c r="AN1147" s="121"/>
      <c r="AP1147" s="87"/>
    </row>
    <row r="1148" spans="1:42">
      <c r="A1148" s="71" t="s">
        <v>118</v>
      </c>
      <c r="B1148" s="72" t="s">
        <v>100</v>
      </c>
      <c r="C1148" s="71" t="s">
        <v>105</v>
      </c>
      <c r="D1148" s="72" t="s">
        <v>101</v>
      </c>
      <c r="E1148" s="71" t="s">
        <v>102</v>
      </c>
      <c r="F1148" s="72" t="s">
        <v>614</v>
      </c>
      <c r="G1148" s="77"/>
      <c r="H1148" s="72" t="str">
        <f t="shared" si="25"/>
        <v>Panasonic R134a 60 Hz 115V DJJ51C71RAU stand. Relay</v>
      </c>
      <c r="I1148" s="91">
        <v>775.57724298449818</v>
      </c>
      <c r="J1148" s="92">
        <v>25.677605875630082</v>
      </c>
      <c r="K1148" s="92">
        <v>-5.0760517166377976</v>
      </c>
      <c r="L1148" s="92">
        <v>0.3598242250537258</v>
      </c>
      <c r="M1148" s="92">
        <v>-6.4911622676402297E-2</v>
      </c>
      <c r="N1148" s="92">
        <v>-3.718429275487066E-3</v>
      </c>
      <c r="O1148" s="92">
        <v>2.2896525102913817E-3</v>
      </c>
      <c r="P1148" s="92">
        <v>-6.8106855985108526E-4</v>
      </c>
      <c r="Q1148" s="92">
        <v>-5.8747868178634884E-4</v>
      </c>
      <c r="R1148" s="92">
        <v>-2.7745040007054238E-5</v>
      </c>
      <c r="S1148" s="92">
        <v>-0.53064698763890994</v>
      </c>
      <c r="T1148" s="92">
        <v>-6.9532432261482597</v>
      </c>
      <c r="U1148" s="92">
        <v>4.2161357999180007</v>
      </c>
      <c r="V1148" s="92">
        <v>-0.17191561425892721</v>
      </c>
      <c r="W1148" s="92">
        <v>0.21596891014374406</v>
      </c>
      <c r="X1148" s="92">
        <v>-6.3737335340350893E-4</v>
      </c>
      <c r="Y1148" s="92">
        <v>-3.4201776996922576E-4</v>
      </c>
      <c r="Z1148" s="92">
        <v>3.4299067451753567E-3</v>
      </c>
      <c r="AA1148" s="92">
        <v>3.8799487106129018E-5</v>
      </c>
      <c r="AB1148" s="92">
        <v>-9.3624455799361806E-5</v>
      </c>
      <c r="AC1148" s="119"/>
      <c r="AD1148" s="119"/>
      <c r="AE1148" s="120"/>
      <c r="AF1148" s="119"/>
      <c r="AG1148" s="119"/>
      <c r="AH1148" s="120"/>
      <c r="AI1148" s="121"/>
      <c r="AJ1148" s="121"/>
      <c r="AK1148" s="121"/>
      <c r="AL1148" s="121"/>
      <c r="AM1148" s="122"/>
      <c r="AN1148" s="121"/>
      <c r="AP1148" s="87"/>
    </row>
    <row r="1149" spans="1:42">
      <c r="A1149" s="71" t="s">
        <v>118</v>
      </c>
      <c r="B1149" s="72" t="s">
        <v>100</v>
      </c>
      <c r="C1149" s="71" t="s">
        <v>105</v>
      </c>
      <c r="D1149" s="72" t="s">
        <v>101</v>
      </c>
      <c r="E1149" s="71" t="s">
        <v>102</v>
      </c>
      <c r="F1149" s="72" t="s">
        <v>615</v>
      </c>
      <c r="G1149" s="77"/>
      <c r="H1149" s="72" t="str">
        <f t="shared" si="25"/>
        <v>Panasonic R134a 60 Hz 115V DJJ51C71RAU w PTHTM relay</v>
      </c>
      <c r="I1149" s="91">
        <v>775.57724298449818</v>
      </c>
      <c r="J1149" s="92">
        <v>25.677605875630082</v>
      </c>
      <c r="K1149" s="92">
        <v>-5.0760517166377976</v>
      </c>
      <c r="L1149" s="92">
        <v>0.3598242250537258</v>
      </c>
      <c r="M1149" s="92">
        <v>-6.4911622676402297E-2</v>
      </c>
      <c r="N1149" s="92">
        <v>-3.718429275487066E-3</v>
      </c>
      <c r="O1149" s="92">
        <v>2.2896525102913817E-3</v>
      </c>
      <c r="P1149" s="92">
        <v>-6.8106855985108526E-4</v>
      </c>
      <c r="Q1149" s="92">
        <v>-5.8747868178634884E-4</v>
      </c>
      <c r="R1149" s="92">
        <v>-2.7745040007054238E-5</v>
      </c>
      <c r="S1149" s="92">
        <v>-0.57692211914881408</v>
      </c>
      <c r="T1149" s="92">
        <v>-6.7596757100161078</v>
      </c>
      <c r="U1149" s="92">
        <v>4.1813213877574498</v>
      </c>
      <c r="V1149" s="92">
        <v>-0.16536107382972087</v>
      </c>
      <c r="W1149" s="92">
        <v>0.21370612811727513</v>
      </c>
      <c r="X1149" s="92">
        <v>-6.0125661728940936E-4</v>
      </c>
      <c r="Y1149" s="92">
        <v>-2.5425135368872359E-4</v>
      </c>
      <c r="Z1149" s="92">
        <v>3.4205788891435809E-3</v>
      </c>
      <c r="AA1149" s="92">
        <v>5.8428133438542026E-5</v>
      </c>
      <c r="AB1149" s="92">
        <v>-8.9480609196677428E-5</v>
      </c>
      <c r="AC1149" s="119"/>
      <c r="AD1149" s="119"/>
      <c r="AE1149" s="120"/>
      <c r="AF1149" s="119"/>
      <c r="AG1149" s="119"/>
      <c r="AH1149" s="120"/>
      <c r="AI1149" s="121"/>
      <c r="AJ1149" s="121"/>
      <c r="AK1149" s="121"/>
      <c r="AL1149" s="121"/>
      <c r="AM1149" s="122"/>
      <c r="AN1149" s="121"/>
      <c r="AP1149" s="87"/>
    </row>
    <row r="1150" spans="1:42">
      <c r="A1150" s="71" t="s">
        <v>118</v>
      </c>
      <c r="B1150" s="72" t="s">
        <v>100</v>
      </c>
      <c r="C1150" s="71" t="s">
        <v>105</v>
      </c>
      <c r="D1150" s="72" t="s">
        <v>101</v>
      </c>
      <c r="E1150" s="71" t="s">
        <v>102</v>
      </c>
      <c r="F1150" s="71" t="s">
        <v>616</v>
      </c>
      <c r="G1150" s="77"/>
      <c r="H1150" s="72" t="str">
        <f t="shared" si="25"/>
        <v xml:space="preserve">Panasonic R134a 60 Hz 115V DKK51C78RAU   </v>
      </c>
      <c r="I1150" s="91">
        <v>647.81337262236593</v>
      </c>
      <c r="J1150" s="92">
        <v>22.260239657872376</v>
      </c>
      <c r="K1150" s="92">
        <v>-7.6717486554203317E-3</v>
      </c>
      <c r="L1150" s="92">
        <v>-8.564231777793644E-3</v>
      </c>
      <c r="M1150" s="92">
        <v>-0.2967926760020983</v>
      </c>
      <c r="N1150" s="92">
        <v>-0.13733824913988124</v>
      </c>
      <c r="O1150" s="92">
        <v>-4.6414310043414236E-3</v>
      </c>
      <c r="P1150" s="92">
        <v>-3.6832782853918138E-3</v>
      </c>
      <c r="Q1150" s="92">
        <v>7.8205618894691524E-4</v>
      </c>
      <c r="R1150" s="92">
        <v>9.749099346421171E-4</v>
      </c>
      <c r="S1150" s="92">
        <v>88.178896587729739</v>
      </c>
      <c r="T1150" s="92">
        <v>-0.61389772166202072</v>
      </c>
      <c r="U1150" s="92">
        <v>0.14319433481969643</v>
      </c>
      <c r="V1150" s="92">
        <v>-4.1114703942622531E-2</v>
      </c>
      <c r="W1150" s="92">
        <v>3.4018527579869333E-2</v>
      </c>
      <c r="X1150" s="92">
        <v>5.4384883315058787E-2</v>
      </c>
      <c r="Y1150" s="92">
        <v>-7.0006962246135589E-4</v>
      </c>
      <c r="Z1150" s="92">
        <v>-2.565428144735786E-4</v>
      </c>
      <c r="AA1150" s="92">
        <v>4.5241418625241388E-4</v>
      </c>
      <c r="AB1150" s="92">
        <v>-4.6275717322148528E-4</v>
      </c>
      <c r="AC1150" s="119"/>
      <c r="AD1150" s="119"/>
      <c r="AE1150" s="120"/>
      <c r="AF1150" s="119"/>
      <c r="AG1150" s="119"/>
      <c r="AH1150" s="120"/>
      <c r="AI1150" s="121"/>
      <c r="AJ1150" s="121"/>
      <c r="AK1150" s="121"/>
      <c r="AL1150" s="121"/>
      <c r="AM1150" s="122"/>
      <c r="AN1150" s="121"/>
      <c r="AP1150" s="87"/>
    </row>
    <row r="1151" spans="1:42">
      <c r="A1151" s="71" t="s">
        <v>118</v>
      </c>
      <c r="B1151" s="72" t="s">
        <v>100</v>
      </c>
      <c r="C1151" s="71" t="s">
        <v>617</v>
      </c>
      <c r="D1151" s="72" t="s">
        <v>101</v>
      </c>
      <c r="E1151" s="71" t="s">
        <v>102</v>
      </c>
      <c r="F1151" s="71" t="s">
        <v>618</v>
      </c>
      <c r="G1151" s="77"/>
      <c r="H1151" s="72" t="str">
        <f t="shared" si="25"/>
        <v>Panasonic R134a 61 Hz 115V DKK51C78RAU   Kevin</v>
      </c>
      <c r="I1151" s="91">
        <v>647.81337262236593</v>
      </c>
      <c r="J1151" s="92">
        <v>22.260239657872376</v>
      </c>
      <c r="K1151" s="92">
        <v>-7.6717486554203317E-3</v>
      </c>
      <c r="L1151" s="92">
        <v>-8.564231777793644E-3</v>
      </c>
      <c r="M1151" s="92">
        <v>-0.2967926760020983</v>
      </c>
      <c r="N1151" s="92">
        <v>-0.13733824913988124</v>
      </c>
      <c r="O1151" s="92">
        <v>-4.6414310043414236E-3</v>
      </c>
      <c r="P1151" s="92">
        <v>-3.6832782853918138E-3</v>
      </c>
      <c r="Q1151" s="92">
        <v>7.8205618894691524E-4</v>
      </c>
      <c r="R1151" s="92">
        <v>9.749099346421171E-4</v>
      </c>
      <c r="S1151" s="92">
        <v>88.178896587729739</v>
      </c>
      <c r="T1151" s="92">
        <v>-0.61389772166202072</v>
      </c>
      <c r="U1151" s="92">
        <v>0.14319433481969643</v>
      </c>
      <c r="V1151" s="92">
        <v>-4.1114703942622531E-2</v>
      </c>
      <c r="W1151" s="92">
        <v>3.4018527579869333E-2</v>
      </c>
      <c r="X1151" s="92">
        <v>5.4384883315058787E-2</v>
      </c>
      <c r="Y1151" s="92">
        <v>-7.0006962246135589E-4</v>
      </c>
      <c r="Z1151" s="92">
        <v>-2.565428144735786E-4</v>
      </c>
      <c r="AA1151" s="92">
        <v>4.5241418625241388E-4</v>
      </c>
      <c r="AB1151" s="92">
        <v>-4.6275717322148528E-4</v>
      </c>
      <c r="AC1151" s="119"/>
      <c r="AD1151" s="119"/>
      <c r="AE1151" s="120"/>
      <c r="AF1151" s="119"/>
      <c r="AG1151" s="119"/>
      <c r="AH1151" s="120"/>
      <c r="AI1151" s="121"/>
      <c r="AJ1151" s="121"/>
      <c r="AK1151" s="121"/>
      <c r="AL1151" s="121"/>
      <c r="AM1151" s="122"/>
      <c r="AN1151" s="121"/>
      <c r="AP1151" s="87"/>
    </row>
    <row r="1152" spans="1:42">
      <c r="A1152" s="71" t="s">
        <v>118</v>
      </c>
      <c r="B1152" s="72" t="s">
        <v>100</v>
      </c>
      <c r="C1152" s="71" t="s">
        <v>105</v>
      </c>
      <c r="D1152" s="72" t="s">
        <v>101</v>
      </c>
      <c r="E1152" s="71" t="s">
        <v>102</v>
      </c>
      <c r="F1152" s="71" t="s">
        <v>619</v>
      </c>
      <c r="G1152" s="77"/>
      <c r="H1152" s="72" t="str">
        <f t="shared" si="25"/>
        <v>Panasonic R134a 60 Hz 115V DKK57C90RAU</v>
      </c>
      <c r="I1152" s="91">
        <v>797.17530752476785</v>
      </c>
      <c r="J1152" s="92">
        <v>29.435056656024262</v>
      </c>
      <c r="K1152" s="92">
        <v>-3.5822562406349654</v>
      </c>
      <c r="L1152" s="92">
        <v>0.43815987917192561</v>
      </c>
      <c r="M1152" s="92">
        <v>-0.11444506980894184</v>
      </c>
      <c r="N1152" s="92">
        <v>-2.2194116482391068E-2</v>
      </c>
      <c r="O1152" s="92">
        <v>2.038132043999703E-3</v>
      </c>
      <c r="P1152" s="92">
        <v>-2.9079070813917002E-3</v>
      </c>
      <c r="Q1152" s="92">
        <v>-1.062186379057843E-3</v>
      </c>
      <c r="R1152" s="92">
        <v>-1.7093940793082199E-4</v>
      </c>
      <c r="S1152" s="92">
        <v>31.900955128260804</v>
      </c>
      <c r="T1152" s="92">
        <v>-4.1978184150361582</v>
      </c>
      <c r="U1152" s="92">
        <v>2.9798582594116811</v>
      </c>
      <c r="V1152" s="92">
        <v>-0.18126969645907259</v>
      </c>
      <c r="W1152" s="92">
        <v>6.6552232815246748E-2</v>
      </c>
      <c r="X1152" s="92">
        <v>-6.2589048189896955E-4</v>
      </c>
      <c r="Y1152" s="92">
        <v>-2.319175799288514E-3</v>
      </c>
      <c r="Z1152" s="92">
        <v>2.6888887034492564E-4</v>
      </c>
      <c r="AA1152" s="92">
        <v>2.9407122677373821E-4</v>
      </c>
      <c r="AB1152" s="92">
        <v>-7.0134459120012804E-5</v>
      </c>
      <c r="AC1152" s="119"/>
      <c r="AD1152" s="119"/>
      <c r="AE1152" s="120"/>
      <c r="AF1152" s="119"/>
      <c r="AG1152" s="119"/>
      <c r="AH1152" s="120"/>
      <c r="AI1152" s="121"/>
      <c r="AJ1152" s="121"/>
      <c r="AK1152" s="121"/>
      <c r="AL1152" s="121"/>
      <c r="AM1152" s="122"/>
      <c r="AN1152" s="121"/>
      <c r="AP1152" s="87"/>
    </row>
    <row r="1153" spans="1:42">
      <c r="A1153" s="71" t="s">
        <v>118</v>
      </c>
      <c r="B1153" s="72" t="s">
        <v>100</v>
      </c>
      <c r="C1153" s="71" t="s">
        <v>105</v>
      </c>
      <c r="D1153" s="72" t="s">
        <v>101</v>
      </c>
      <c r="E1153" s="71" t="s">
        <v>102</v>
      </c>
      <c r="F1153" s="71" t="s">
        <v>620</v>
      </c>
      <c r="G1153" s="77"/>
      <c r="H1153" s="72" t="str">
        <f t="shared" si="25"/>
        <v>Panasonic R134a 60 Hz 115V DKK66C11RAU</v>
      </c>
      <c r="I1153" s="91">
        <v>1005.683301271528</v>
      </c>
      <c r="J1153" s="92">
        <v>37.928939404918978</v>
      </c>
      <c r="K1153" s="92">
        <v>-7.0325834886000607</v>
      </c>
      <c r="L1153" s="92">
        <v>0.51333508055457466</v>
      </c>
      <c r="M1153" s="92">
        <v>-0.29012824307761975</v>
      </c>
      <c r="N1153" s="92">
        <v>-7.8665437763819571E-3</v>
      </c>
      <c r="O1153" s="92">
        <v>1.8933672268113748E-3</v>
      </c>
      <c r="P1153" s="92">
        <v>-4.2404072042468025E-3</v>
      </c>
      <c r="Q1153" s="92">
        <v>1.3554260455257786E-4</v>
      </c>
      <c r="R1153" s="92">
        <v>-5.8886157953731737E-5</v>
      </c>
      <c r="S1153" s="92">
        <v>53.362521246735284</v>
      </c>
      <c r="T1153" s="92">
        <v>-3.4729821282370956</v>
      </c>
      <c r="U1153" s="92">
        <v>3.1477791834261679</v>
      </c>
      <c r="V1153" s="92">
        <v>-0.20076551983535165</v>
      </c>
      <c r="W1153" s="92">
        <v>3.0469762322034136E-2</v>
      </c>
      <c r="X1153" s="92">
        <v>-6.4255702075827702E-4</v>
      </c>
      <c r="Y1153" s="92">
        <v>-2.9301107221326611E-3</v>
      </c>
      <c r="Z1153" s="92">
        <v>-2.1987820340088805E-4</v>
      </c>
      <c r="AA1153" s="92">
        <v>6.2086103502236316E-4</v>
      </c>
      <c r="AB1153" s="92">
        <v>-7.4431873065832865E-5</v>
      </c>
      <c r="AC1153" s="119"/>
      <c r="AD1153" s="119"/>
      <c r="AE1153" s="120"/>
      <c r="AF1153" s="119"/>
      <c r="AG1153" s="119"/>
      <c r="AH1153" s="120"/>
      <c r="AI1153" s="121"/>
      <c r="AJ1153" s="121"/>
      <c r="AK1153" s="121"/>
      <c r="AL1153" s="121"/>
      <c r="AM1153" s="122"/>
      <c r="AN1153" s="121"/>
      <c r="AP1153" s="87"/>
    </row>
    <row r="1154" spans="1:42">
      <c r="A1154" s="71" t="s">
        <v>118</v>
      </c>
      <c r="B1154" s="72" t="s">
        <v>100</v>
      </c>
      <c r="C1154" s="71" t="s">
        <v>105</v>
      </c>
      <c r="D1154" s="72" t="s">
        <v>101</v>
      </c>
      <c r="E1154" s="71" t="s">
        <v>102</v>
      </c>
      <c r="F1154" s="72" t="s">
        <v>621</v>
      </c>
      <c r="G1154" s="77"/>
      <c r="H1154" s="72" t="str">
        <f t="shared" si="25"/>
        <v>Panasonic R134a 60 Hz 115V SF51C</v>
      </c>
      <c r="I1154" s="91">
        <v>2.9959278864903596E-3</v>
      </c>
      <c r="J1154" s="92">
        <v>-2.1981762100975115</v>
      </c>
      <c r="K1154" s="92">
        <v>29.317584743305641</v>
      </c>
      <c r="L1154" s="92">
        <v>-1.1304643389197016</v>
      </c>
      <c r="M1154" s="92">
        <v>-0.26610544150168841</v>
      </c>
      <c r="N1154" s="92">
        <v>-0.75009526496634216</v>
      </c>
      <c r="O1154" s="92">
        <v>-2.1971562483092663E-2</v>
      </c>
      <c r="P1154" s="92">
        <v>-5.055278538778846E-3</v>
      </c>
      <c r="Q1154" s="92">
        <v>-7.3187064339683703E-4</v>
      </c>
      <c r="R1154" s="92">
        <v>5.063428745485093E-3</v>
      </c>
      <c r="S1154" s="92">
        <v>1.0069592075046003E-3</v>
      </c>
      <c r="T1154" s="92">
        <v>-5.7621386819068504E-2</v>
      </c>
      <c r="U1154" s="92">
        <v>9.0940393818490506</v>
      </c>
      <c r="V1154" s="92">
        <v>-0.1050604613705135</v>
      </c>
      <c r="W1154" s="92">
        <v>2.4520444080827538E-2</v>
      </c>
      <c r="X1154" s="92">
        <v>-0.15919313792896539</v>
      </c>
      <c r="Y1154" s="92">
        <v>-3.1143259211710663E-3</v>
      </c>
      <c r="Z1154" s="92">
        <v>-1.8270400620012481E-3</v>
      </c>
      <c r="AA1154" s="92">
        <v>-6.655116459981761E-4</v>
      </c>
      <c r="AB1154" s="92">
        <v>9.5519630812730195E-4</v>
      </c>
      <c r="AC1154" s="119">
        <v>1.2017702184536625E-3</v>
      </c>
      <c r="AD1154" s="119">
        <v>5.2200813731811298E-2</v>
      </c>
      <c r="AE1154" s="120">
        <v>9.7711574375496904E-4</v>
      </c>
      <c r="AF1154" s="119">
        <v>1.2750652108990066E-4</v>
      </c>
      <c r="AG1154" s="119">
        <v>3.8412084993063977E-2</v>
      </c>
      <c r="AH1154" s="120">
        <v>7.7034193161643126E-4</v>
      </c>
      <c r="AI1154" s="121">
        <v>-34.4</v>
      </c>
      <c r="AJ1154" s="121">
        <v>-10</v>
      </c>
      <c r="AK1154" s="121">
        <v>43.3</v>
      </c>
      <c r="AL1154" s="121">
        <v>54.4</v>
      </c>
      <c r="AM1154" s="122">
        <v>41907</v>
      </c>
      <c r="AN1154" s="121" t="s">
        <v>504</v>
      </c>
      <c r="AP1154" s="87"/>
    </row>
    <row r="1155" spans="1:42">
      <c r="A1155" s="71" t="s">
        <v>118</v>
      </c>
      <c r="B1155" s="72" t="s">
        <v>100</v>
      </c>
      <c r="C1155" s="71" t="s">
        <v>105</v>
      </c>
      <c r="D1155" s="72" t="s">
        <v>101</v>
      </c>
      <c r="E1155" s="71" t="s">
        <v>102</v>
      </c>
      <c r="F1155" s="72" t="s">
        <v>622</v>
      </c>
      <c r="G1155" s="77"/>
      <c r="H1155" s="72" t="str">
        <f t="shared" si="25"/>
        <v>Panasonic R134a 60 Hz 115V SF51C97RAU6</v>
      </c>
      <c r="I1155" s="91">
        <v>761.02006336309478</v>
      </c>
      <c r="J1155" s="92">
        <v>30.817631228885102</v>
      </c>
      <c r="K1155" s="92">
        <v>-5.8669802654752212</v>
      </c>
      <c r="L1155" s="92">
        <v>0.47490185007293806</v>
      </c>
      <c r="M1155" s="92">
        <v>-0.21574224688758822</v>
      </c>
      <c r="N1155" s="92">
        <v>-4.1184192424307108E-3</v>
      </c>
      <c r="O1155" s="92">
        <v>1.968000170670343E-3</v>
      </c>
      <c r="P1155" s="92">
        <v>-3.7527399227601111E-3</v>
      </c>
      <c r="Q1155" s="92">
        <v>-6.0026504038793312E-4</v>
      </c>
      <c r="R1155" s="92">
        <v>-3.0606419810229438E-5</v>
      </c>
      <c r="S1155" s="92">
        <v>130.83769255640124</v>
      </c>
      <c r="T1155" s="92">
        <v>-2.5981727613579313</v>
      </c>
      <c r="U1155" s="92">
        <v>0.71785266228689193</v>
      </c>
      <c r="V1155" s="92">
        <v>-0.26643244379219982</v>
      </c>
      <c r="W1155" s="92">
        <v>-3.1277595543788292E-3</v>
      </c>
      <c r="X1155" s="92">
        <v>-6.4604844933336281E-4</v>
      </c>
      <c r="Y1155" s="92">
        <v>-4.6401982326156957E-3</v>
      </c>
      <c r="Z1155" s="92">
        <v>-7.7106563328948761E-4</v>
      </c>
      <c r="AA1155" s="92">
        <v>-3.2035726134697239E-5</v>
      </c>
      <c r="AB1155" s="92">
        <v>-2.6102709276406601E-5</v>
      </c>
      <c r="AC1155" s="119"/>
      <c r="AD1155" s="119"/>
      <c r="AE1155" s="120"/>
      <c r="AF1155" s="119"/>
      <c r="AG1155" s="119"/>
      <c r="AH1155" s="120"/>
      <c r="AI1155" s="121"/>
      <c r="AJ1155" s="121"/>
      <c r="AK1155" s="121"/>
      <c r="AL1155" s="121"/>
      <c r="AM1155" s="122"/>
      <c r="AN1155" s="121"/>
      <c r="AP1155" s="87"/>
    </row>
    <row r="1156" spans="1:42">
      <c r="A1156" s="71" t="s">
        <v>121</v>
      </c>
      <c r="B1156" s="72" t="s">
        <v>100</v>
      </c>
      <c r="C1156" s="71" t="s">
        <v>105</v>
      </c>
      <c r="D1156" s="72" t="s">
        <v>101</v>
      </c>
      <c r="E1156" s="71" t="s">
        <v>102</v>
      </c>
      <c r="F1156" s="71" t="s">
        <v>623</v>
      </c>
      <c r="G1156" s="77"/>
      <c r="H1156" s="72" t="str">
        <f t="shared" si="25"/>
        <v>Samsung R134a 60 Hz 115V MSE148CL1H w std relay</v>
      </c>
      <c r="I1156" s="91">
        <v>504.79970344706061</v>
      </c>
      <c r="J1156" s="92">
        <v>5.3592549203101028</v>
      </c>
      <c r="K1156" s="92">
        <v>-6.5082437485280671E-3</v>
      </c>
      <c r="L1156" s="92">
        <v>-0.16494722347263005</v>
      </c>
      <c r="M1156" s="92">
        <v>0.30210443261261627</v>
      </c>
      <c r="N1156" s="92">
        <v>2.4858467330557257E-2</v>
      </c>
      <c r="O1156" s="92">
        <v>-1.9410384950642031E-3</v>
      </c>
      <c r="P1156" s="92">
        <v>5.0392576642472207E-3</v>
      </c>
      <c r="Q1156" s="92">
        <v>-1.4710360302957871E-3</v>
      </c>
      <c r="R1156" s="92">
        <v>-6.8796121993072463E-4</v>
      </c>
      <c r="S1156" s="92">
        <v>36.549422797256703</v>
      </c>
      <c r="T1156" s="92">
        <v>-6.9351639024221603</v>
      </c>
      <c r="U1156" s="92">
        <v>-2.1606158165084908E-2</v>
      </c>
      <c r="V1156" s="92">
        <v>-0.15912274035166399</v>
      </c>
      <c r="W1156" s="92">
        <v>0.20027829713204331</v>
      </c>
      <c r="X1156" s="92">
        <v>0.10677280945185208</v>
      </c>
      <c r="Y1156" s="92">
        <v>-1.3439592905108567E-3</v>
      </c>
      <c r="Z1156" s="92">
        <v>1.6566152482394424E-3</v>
      </c>
      <c r="AA1156" s="92">
        <v>-4.923349363037693E-4</v>
      </c>
      <c r="AB1156" s="92">
        <v>-1.0603430753676187E-3</v>
      </c>
      <c r="AC1156" s="119"/>
      <c r="AD1156" s="119"/>
      <c r="AE1156" s="120"/>
      <c r="AF1156" s="119"/>
      <c r="AG1156" s="119"/>
      <c r="AH1156" s="120"/>
      <c r="AI1156" s="121"/>
      <c r="AJ1156" s="121"/>
      <c r="AK1156" s="121"/>
      <c r="AL1156" s="121"/>
      <c r="AM1156" s="122"/>
      <c r="AN1156" s="121"/>
      <c r="AP1156" s="87"/>
    </row>
    <row r="1157" spans="1:42">
      <c r="A1157" s="71" t="s">
        <v>121</v>
      </c>
      <c r="B1157" s="72" t="s">
        <v>100</v>
      </c>
      <c r="C1157" s="71" t="s">
        <v>105</v>
      </c>
      <c r="D1157" s="72" t="s">
        <v>101</v>
      </c>
      <c r="E1157" s="71" t="s">
        <v>102</v>
      </c>
      <c r="F1157" s="71" t="s">
        <v>624</v>
      </c>
      <c r="G1157" s="77"/>
      <c r="H1157" s="72" t="str">
        <f t="shared" si="25"/>
        <v>Samsung R134a 60 Hz 115V MSE148CL1U w std relay</v>
      </c>
      <c r="I1157" s="91">
        <v>671.0574828867293</v>
      </c>
      <c r="J1157" s="92">
        <v>26.03075654388606</v>
      </c>
      <c r="K1157" s="92">
        <v>-6.8774986723791611E-3</v>
      </c>
      <c r="L1157" s="92">
        <v>-4.5264311207830251E-3</v>
      </c>
      <c r="M1157" s="92">
        <v>-0.4572369386356096</v>
      </c>
      <c r="N1157" s="92">
        <v>-0.18533777021056147</v>
      </c>
      <c r="O1157" s="92">
        <v>-7.11554616960915E-3</v>
      </c>
      <c r="P1157" s="92">
        <v>-6.5789167536452397E-3</v>
      </c>
      <c r="Q1157" s="92">
        <v>1.0966393905125803E-3</v>
      </c>
      <c r="R1157" s="92">
        <v>1.3965331995665472E-3</v>
      </c>
      <c r="S1157" s="92">
        <v>102.05012293578264</v>
      </c>
      <c r="T1157" s="92">
        <v>1.7052262005012182</v>
      </c>
      <c r="U1157" s="92">
        <v>-2.1395283381376987E-2</v>
      </c>
      <c r="V1157" s="92">
        <v>-7.7144407433519857E-2</v>
      </c>
      <c r="W1157" s="92">
        <v>-9.7576650267410123E-2</v>
      </c>
      <c r="X1157" s="92">
        <v>2.6599147054115192E-2</v>
      </c>
      <c r="Y1157" s="92">
        <v>-3.0569314681461982E-3</v>
      </c>
      <c r="Z1157" s="92">
        <v>-2.6798677212474119E-3</v>
      </c>
      <c r="AA1157" s="92">
        <v>6.4986140589118043E-4</v>
      </c>
      <c r="AB1157" s="92">
        <v>-2.5085399462919004E-4</v>
      </c>
      <c r="AC1157" s="119"/>
      <c r="AD1157" s="119"/>
      <c r="AE1157" s="120"/>
      <c r="AF1157" s="119"/>
      <c r="AG1157" s="119"/>
      <c r="AH1157" s="120"/>
      <c r="AI1157" s="121"/>
      <c r="AJ1157" s="121"/>
      <c r="AK1157" s="121"/>
      <c r="AL1157" s="121"/>
      <c r="AM1157" s="122"/>
      <c r="AN1157" s="121"/>
      <c r="AP1157" s="87"/>
    </row>
    <row r="1158" spans="1:42">
      <c r="A1158" s="71" t="s">
        <v>121</v>
      </c>
      <c r="B1158" s="72" t="s">
        <v>100</v>
      </c>
      <c r="C1158" s="71" t="s">
        <v>105</v>
      </c>
      <c r="D1158" s="72" t="s">
        <v>101</v>
      </c>
      <c r="E1158" s="71" t="s">
        <v>102</v>
      </c>
      <c r="F1158" s="71" t="s">
        <v>625</v>
      </c>
      <c r="G1158" s="77"/>
      <c r="H1158" s="72" t="str">
        <f t="shared" si="25"/>
        <v>Samsung R134a 60 Hz 115V MSE152CL1H w std relay</v>
      </c>
      <c r="I1158" s="91">
        <v>715.12078068848427</v>
      </c>
      <c r="J1158" s="92">
        <v>26.489310773256125</v>
      </c>
      <c r="K1158" s="92">
        <v>-7.5543127420469314E-3</v>
      </c>
      <c r="L1158" s="92">
        <v>-8.630687997407514E-3</v>
      </c>
      <c r="M1158" s="92">
        <v>-0.40124920548092191</v>
      </c>
      <c r="N1158" s="92">
        <v>-0.17397619814679768</v>
      </c>
      <c r="O1158" s="92">
        <v>-7.5551629489634814E-3</v>
      </c>
      <c r="P1158" s="92">
        <v>-6.1665906358199241E-3</v>
      </c>
      <c r="Q1158" s="92">
        <v>6.0717910178530025E-4</v>
      </c>
      <c r="R1158" s="92">
        <v>1.2454368499940193E-3</v>
      </c>
      <c r="S1158" s="92">
        <v>115.35983351463538</v>
      </c>
      <c r="T1158" s="92">
        <v>2.1096141755244449</v>
      </c>
      <c r="U1158" s="92">
        <v>-2.1304177901925497E-2</v>
      </c>
      <c r="V1158" s="92">
        <v>-9.8260531834749087E-2</v>
      </c>
      <c r="W1158" s="92">
        <v>-0.12246065783652899</v>
      </c>
      <c r="X1158" s="92">
        <v>2.598141512117505E-2</v>
      </c>
      <c r="Y1158" s="92">
        <v>-3.5585490779957481E-3</v>
      </c>
      <c r="Z1158" s="92">
        <v>-2.7642099498571657E-3</v>
      </c>
      <c r="AA1158" s="92">
        <v>9.2262579164613975E-4</v>
      </c>
      <c r="AB1158" s="92">
        <v>-2.1126853154656788E-4</v>
      </c>
      <c r="AC1158" s="119"/>
      <c r="AD1158" s="119"/>
      <c r="AE1158" s="120"/>
      <c r="AF1158" s="119"/>
      <c r="AG1158" s="119"/>
      <c r="AH1158" s="120"/>
      <c r="AI1158" s="121"/>
      <c r="AJ1158" s="121"/>
      <c r="AK1158" s="121"/>
      <c r="AL1158" s="121"/>
      <c r="AM1158" s="122"/>
      <c r="AN1158" s="121"/>
      <c r="AP1158" s="87"/>
    </row>
    <row r="1159" spans="1:42">
      <c r="A1159" s="71" t="s">
        <v>121</v>
      </c>
      <c r="B1159" s="72" t="s">
        <v>100</v>
      </c>
      <c r="C1159" s="71" t="s">
        <v>105</v>
      </c>
      <c r="D1159" s="72" t="s">
        <v>101</v>
      </c>
      <c r="E1159" s="71" t="s">
        <v>102</v>
      </c>
      <c r="F1159" s="71" t="s">
        <v>626</v>
      </c>
      <c r="G1159" s="77"/>
      <c r="H1159" s="72" t="str">
        <f t="shared" si="25"/>
        <v>Samsung R134a 60 Hz 115V MSE152CL1U w std relay</v>
      </c>
      <c r="I1159" s="91">
        <v>707.18256267566494</v>
      </c>
      <c r="J1159" s="92">
        <v>29.249874258011008</v>
      </c>
      <c r="K1159" s="92">
        <v>-7.5554154121877685E-3</v>
      </c>
      <c r="L1159" s="92">
        <v>-8.5342759010353045E-3</v>
      </c>
      <c r="M1159" s="92">
        <v>-0.59578485061422815</v>
      </c>
      <c r="N1159" s="92">
        <v>-0.20601067613474267</v>
      </c>
      <c r="O1159" s="92">
        <v>-8.3803345473762343E-3</v>
      </c>
      <c r="P1159" s="92">
        <v>-8.2992379727822516E-3</v>
      </c>
      <c r="Q1159" s="92">
        <v>1.9013254902396563E-3</v>
      </c>
      <c r="R1159" s="92">
        <v>1.6635955016575566E-3</v>
      </c>
      <c r="S1159" s="92">
        <v>111.29759050997058</v>
      </c>
      <c r="T1159" s="92">
        <v>3.3204342836551954</v>
      </c>
      <c r="U1159" s="92">
        <v>-2.2645873733552389E-2</v>
      </c>
      <c r="V1159" s="92">
        <v>-0.14274014387541481</v>
      </c>
      <c r="W1159" s="92">
        <v>-0.24688802107576513</v>
      </c>
      <c r="X1159" s="92">
        <v>-1.9595646188078314E-3</v>
      </c>
      <c r="Y1159" s="92">
        <v>-3.9868830945088418E-3</v>
      </c>
      <c r="Z1159" s="92">
        <v>-2.5567432166002596E-3</v>
      </c>
      <c r="AA1159" s="92">
        <v>2.5179030514176602E-3</v>
      </c>
      <c r="AB1159" s="92">
        <v>2.8206699530585095E-4</v>
      </c>
      <c r="AC1159" s="119"/>
      <c r="AD1159" s="119"/>
      <c r="AE1159" s="120"/>
      <c r="AF1159" s="119"/>
      <c r="AG1159" s="119"/>
      <c r="AH1159" s="120"/>
      <c r="AI1159" s="121"/>
      <c r="AJ1159" s="121"/>
      <c r="AK1159" s="121"/>
      <c r="AL1159" s="121"/>
      <c r="AM1159" s="122"/>
      <c r="AN1159" s="121"/>
      <c r="AP1159" s="87"/>
    </row>
    <row r="1160" spans="1:42">
      <c r="A1160" s="71" t="s">
        <v>124</v>
      </c>
      <c r="B1160" s="72" t="s">
        <v>44</v>
      </c>
      <c r="C1160" s="71" t="s">
        <v>45</v>
      </c>
      <c r="D1160" s="72" t="s">
        <v>46</v>
      </c>
      <c r="E1160" s="71" t="s">
        <v>102</v>
      </c>
      <c r="F1160" s="72" t="s">
        <v>627</v>
      </c>
      <c r="G1160" s="77"/>
      <c r="H1160" s="72" t="str">
        <f t="shared" si="25"/>
        <v>Secop Isobutane 50 Hz 230V NLU8.0KK</v>
      </c>
      <c r="I1160" s="91">
        <v>528.05110593612051</v>
      </c>
      <c r="J1160" s="92">
        <v>19.532713084698354</v>
      </c>
      <c r="K1160" s="92">
        <v>-2.527209346650805</v>
      </c>
      <c r="L1160" s="92">
        <v>0.2570524560331936</v>
      </c>
      <c r="M1160" s="92">
        <v>-0.11053320955435213</v>
      </c>
      <c r="N1160" s="92">
        <v>-2.8934186493976246E-2</v>
      </c>
      <c r="O1160" s="92">
        <v>1.176816396862861E-3</v>
      </c>
      <c r="P1160" s="92">
        <v>-1.212900573020402E-3</v>
      </c>
      <c r="Q1160" s="92">
        <v>-1.7719229364682973E-4</v>
      </c>
      <c r="R1160" s="92">
        <v>1.2034875533561746E-4</v>
      </c>
      <c r="S1160" s="92">
        <v>34.416184197758362</v>
      </c>
      <c r="T1160" s="92">
        <v>0.33029781193872598</v>
      </c>
      <c r="U1160" s="92">
        <v>1.9260578250381031</v>
      </c>
      <c r="V1160" s="92">
        <v>6.3786115517026941E-3</v>
      </c>
      <c r="W1160" s="92">
        <v>3.6042968296118028E-2</v>
      </c>
      <c r="X1160" s="92">
        <v>-3.0590015326500243E-3</v>
      </c>
      <c r="Y1160" s="92">
        <v>7.7299171730589635E-5</v>
      </c>
      <c r="Z1160" s="92">
        <v>1.2149383735115589E-4</v>
      </c>
      <c r="AA1160" s="92">
        <v>7.671698191050908E-5</v>
      </c>
      <c r="AB1160" s="92">
        <v>-5.282915805329979E-5</v>
      </c>
      <c r="AC1160" s="119"/>
      <c r="AD1160" s="119"/>
      <c r="AE1160" s="120"/>
      <c r="AF1160" s="119"/>
      <c r="AG1160" s="119"/>
      <c r="AH1160" s="120"/>
      <c r="AI1160" s="121"/>
      <c r="AJ1160" s="121"/>
      <c r="AK1160" s="121"/>
      <c r="AL1160" s="121"/>
      <c r="AM1160" s="122"/>
      <c r="AN1160" s="121"/>
      <c r="AP1160" s="87"/>
    </row>
    <row r="1161" spans="1:42">
      <c r="A1161" s="71" t="s">
        <v>126</v>
      </c>
      <c r="B1161" s="72" t="s">
        <v>44</v>
      </c>
      <c r="C1161" s="71" t="s">
        <v>105</v>
      </c>
      <c r="D1161" s="72" t="s">
        <v>106</v>
      </c>
      <c r="E1161" s="71" t="s">
        <v>102</v>
      </c>
      <c r="F1161" s="72" t="s">
        <v>628</v>
      </c>
      <c r="G1161" s="77"/>
      <c r="H1161" s="72" t="str">
        <f t="shared" si="25"/>
        <v>Tecumseh Isobutane 60 Hz 127V TA1330MDS-1B - PTCSIR</v>
      </c>
      <c r="I1161" s="91">
        <v>381.97620907070836</v>
      </c>
      <c r="J1161" s="92">
        <v>13.054582007617705</v>
      </c>
      <c r="K1161" s="92">
        <v>-3.5093179461462394</v>
      </c>
      <c r="L1161" s="92">
        <v>0.10820996678210203</v>
      </c>
      <c r="M1161" s="92">
        <v>-0.12077098808062318</v>
      </c>
      <c r="N1161" s="92">
        <v>1.0256136274431992E-2</v>
      </c>
      <c r="O1161" s="92">
        <v>-4.5423539951196761E-4</v>
      </c>
      <c r="P1161" s="92">
        <v>-1.1941201829271805E-3</v>
      </c>
      <c r="Q1161" s="92">
        <v>1.7072074953377813E-4</v>
      </c>
      <c r="R1161" s="92">
        <v>-7.5371419223185172E-5</v>
      </c>
      <c r="S1161" s="92">
        <v>-4.4550268107161326</v>
      </c>
      <c r="T1161" s="92">
        <v>-1.6332922837347403</v>
      </c>
      <c r="U1161" s="92">
        <v>4.6539345188086729</v>
      </c>
      <c r="V1161" s="92">
        <v>2.2751459194456595E-2</v>
      </c>
      <c r="W1161" s="92">
        <v>0.14169463815606678</v>
      </c>
      <c r="X1161" s="92">
        <v>-4.4025357406014612E-2</v>
      </c>
      <c r="Y1161" s="92">
        <v>1.1674717824001314E-3</v>
      </c>
      <c r="Z1161" s="92">
        <v>1.4908628644511493E-3</v>
      </c>
      <c r="AA1161" s="92">
        <v>-3.3651393237848755E-4</v>
      </c>
      <c r="AB1161" s="92">
        <v>2.0531481416838371E-4</v>
      </c>
      <c r="AC1161" s="119">
        <v>4.9433404576077498E-2</v>
      </c>
      <c r="AD1161" s="119" t="s">
        <v>549</v>
      </c>
      <c r="AE1161" s="120" t="s">
        <v>549</v>
      </c>
      <c r="AF1161" s="119">
        <v>4.1414923510117788E-2</v>
      </c>
      <c r="AG1161" s="119" t="s">
        <v>549</v>
      </c>
      <c r="AH1161" s="120"/>
      <c r="AI1161" s="121"/>
      <c r="AJ1161" s="121"/>
      <c r="AK1161" s="121"/>
      <c r="AL1161" s="121"/>
      <c r="AM1161" s="122"/>
      <c r="AN1161" s="121"/>
      <c r="AP1161" s="87"/>
    </row>
    <row r="1162" spans="1:42">
      <c r="A1162" s="71" t="s">
        <v>126</v>
      </c>
      <c r="B1162" s="72" t="s">
        <v>44</v>
      </c>
      <c r="C1162" s="71" t="s">
        <v>105</v>
      </c>
      <c r="D1162" s="72" t="s">
        <v>106</v>
      </c>
      <c r="E1162" s="71" t="s">
        <v>102</v>
      </c>
      <c r="F1162" s="72" t="s">
        <v>629</v>
      </c>
      <c r="G1162" s="77"/>
      <c r="H1162" s="72" t="str">
        <f t="shared" si="25"/>
        <v>Tecumseh Isobutane 60 Hz 127V TA1330MDS-2B - PTCSCR</v>
      </c>
      <c r="I1162" s="91">
        <v>442.0045937910765</v>
      </c>
      <c r="J1162" s="92">
        <v>12.257780983334056</v>
      </c>
      <c r="K1162" s="92">
        <v>-7.3393915569823989</v>
      </c>
      <c r="L1162" s="92">
        <v>5.4556118253194064E-2</v>
      </c>
      <c r="M1162" s="92">
        <v>-0.13112532107868446</v>
      </c>
      <c r="N1162" s="92">
        <v>8.3289014937811337E-2</v>
      </c>
      <c r="O1162" s="92">
        <v>-1.0008926620425527E-3</v>
      </c>
      <c r="P1162" s="92">
        <v>-8.3965921940048289E-4</v>
      </c>
      <c r="Q1162" s="92">
        <v>4.1276489502047449E-4</v>
      </c>
      <c r="R1162" s="92">
        <v>-5.1931911635375114E-4</v>
      </c>
      <c r="S1162" s="92">
        <v>22.240165937651099</v>
      </c>
      <c r="T1162" s="92">
        <v>-2.3080861938505821</v>
      </c>
      <c r="U1162" s="92">
        <v>1.2446780187811222</v>
      </c>
      <c r="V1162" s="92">
        <v>-0.11344803146519067</v>
      </c>
      <c r="W1162" s="92">
        <v>3.4620365421212655E-2</v>
      </c>
      <c r="X1162" s="92">
        <v>-3.1027939925489125E-4</v>
      </c>
      <c r="Y1162" s="92">
        <v>-1.3690127550904669E-3</v>
      </c>
      <c r="Z1162" s="92">
        <v>5.5272207921676277E-4</v>
      </c>
      <c r="AA1162" s="92">
        <v>1.7961057355599515E-4</v>
      </c>
      <c r="AB1162" s="92">
        <v>-1.6296767024421423E-5</v>
      </c>
      <c r="AC1162" s="119">
        <v>5.2894074820848999E-2</v>
      </c>
      <c r="AD1162" s="119" t="s">
        <v>549</v>
      </c>
      <c r="AE1162" s="120" t="s">
        <v>549</v>
      </c>
      <c r="AF1162" s="119">
        <v>3.6209693744411631E-2</v>
      </c>
      <c r="AG1162" s="119" t="s">
        <v>549</v>
      </c>
      <c r="AH1162" s="120"/>
      <c r="AI1162" s="121"/>
      <c r="AJ1162" s="121"/>
      <c r="AK1162" s="121"/>
      <c r="AL1162" s="121"/>
      <c r="AM1162" s="122"/>
      <c r="AN1162" s="121"/>
      <c r="AP1162" s="87"/>
    </row>
    <row r="1163" spans="1:42">
      <c r="A1163" s="71" t="s">
        <v>126</v>
      </c>
      <c r="B1163" s="72" t="s">
        <v>44</v>
      </c>
      <c r="C1163" s="71" t="s">
        <v>105</v>
      </c>
      <c r="D1163" s="72" t="s">
        <v>109</v>
      </c>
      <c r="E1163" s="71" t="s">
        <v>102</v>
      </c>
      <c r="F1163" s="72" t="s">
        <v>630</v>
      </c>
      <c r="G1163" s="77"/>
      <c r="H1163" s="72" t="str">
        <f t="shared" si="25"/>
        <v>Tecumseh Isobutane 60 Hz 220V TA1330MGS-1B - PTCSIR</v>
      </c>
      <c r="I1163" s="91">
        <v>414.81975526329052</v>
      </c>
      <c r="J1163" s="92">
        <v>13.053598965184522</v>
      </c>
      <c r="K1163" s="92">
        <v>-6.1599717344810072</v>
      </c>
      <c r="L1163" s="92">
        <v>0.13021757824629349</v>
      </c>
      <c r="M1163" s="92">
        <v>-0.11496441195960537</v>
      </c>
      <c r="N1163" s="92">
        <v>7.073517977536839E-2</v>
      </c>
      <c r="O1163" s="92">
        <v>1.930208485056157E-4</v>
      </c>
      <c r="P1163" s="92">
        <v>-7.9147583837836123E-4</v>
      </c>
      <c r="Q1163" s="92">
        <v>3.4644511431194253E-4</v>
      </c>
      <c r="R1163" s="92">
        <v>-4.7385775639932588E-4</v>
      </c>
      <c r="S1163" s="92">
        <v>59.645208764337575</v>
      </c>
      <c r="T1163" s="92">
        <v>0.46593040744612935</v>
      </c>
      <c r="U1163" s="92">
        <v>0.12262994025048159</v>
      </c>
      <c r="V1163" s="92">
        <v>-2.0363839318644855E-2</v>
      </c>
      <c r="W1163" s="92">
        <v>1.4617382658891243E-3</v>
      </c>
      <c r="X1163" s="92">
        <v>1.5976396231346907E-2</v>
      </c>
      <c r="Y1163" s="92">
        <v>-1.8307460448593088E-4</v>
      </c>
      <c r="Z1163" s="92">
        <v>2.7282656906013429E-4</v>
      </c>
      <c r="AA1163" s="92">
        <v>3.8448199611045486E-4</v>
      </c>
      <c r="AB1163" s="92">
        <v>-9.0858402216612667E-5</v>
      </c>
      <c r="AC1163" s="119">
        <v>4.0490012823668216E-2</v>
      </c>
      <c r="AD1163" s="119" t="s">
        <v>549</v>
      </c>
      <c r="AE1163" s="120" t="s">
        <v>549</v>
      </c>
      <c r="AF1163" s="119">
        <v>4.2425166652259247E-2</v>
      </c>
      <c r="AG1163" s="119" t="s">
        <v>549</v>
      </c>
      <c r="AH1163" s="120"/>
      <c r="AI1163" s="121"/>
      <c r="AJ1163" s="121"/>
      <c r="AK1163" s="121"/>
      <c r="AL1163" s="121"/>
      <c r="AM1163" s="122"/>
      <c r="AN1163" s="121"/>
      <c r="AP1163" s="87"/>
    </row>
    <row r="1164" spans="1:42">
      <c r="A1164" s="71" t="s">
        <v>126</v>
      </c>
      <c r="B1164" s="72" t="s">
        <v>44</v>
      </c>
      <c r="C1164" s="71" t="s">
        <v>45</v>
      </c>
      <c r="D1164" s="72" t="s">
        <v>109</v>
      </c>
      <c r="E1164" s="71" t="s">
        <v>102</v>
      </c>
      <c r="F1164" s="72" t="s">
        <v>630</v>
      </c>
      <c r="G1164" s="77"/>
      <c r="H1164" s="72" t="str">
        <f t="shared" si="25"/>
        <v>Tecumseh Isobutane 50 Hz 220V TA1330MGS-1B - PTCSIR</v>
      </c>
      <c r="I1164" s="91">
        <v>345.64540131136954</v>
      </c>
      <c r="J1164" s="92">
        <v>10.807984669990439</v>
      </c>
      <c r="K1164" s="92">
        <v>-4.4093219123770417</v>
      </c>
      <c r="L1164" s="92">
        <v>0.11009983138893868</v>
      </c>
      <c r="M1164" s="92">
        <v>-7.2109425845049188E-2</v>
      </c>
      <c r="N1164" s="92">
        <v>3.9819711356729334E-2</v>
      </c>
      <c r="O1164" s="92">
        <v>2.6896514566533762E-4</v>
      </c>
      <c r="P1164" s="92">
        <v>-3.563872251870481E-4</v>
      </c>
      <c r="Q1164" s="92">
        <v>1.1747807833013277E-4</v>
      </c>
      <c r="R1164" s="92">
        <v>-2.4721753474935714E-4</v>
      </c>
      <c r="S1164" s="92">
        <v>55.42011291175853</v>
      </c>
      <c r="T1164" s="92">
        <v>-1.5642931104206019</v>
      </c>
      <c r="U1164" s="92">
        <v>-0.87076191614355614</v>
      </c>
      <c r="V1164" s="92">
        <v>-4.9818838356098058E-2</v>
      </c>
      <c r="W1164" s="92">
        <v>5.4244529706582015E-2</v>
      </c>
      <c r="X1164" s="92">
        <v>4.129109507484903E-2</v>
      </c>
      <c r="Y1164" s="92">
        <v>-2.617492924011457E-4</v>
      </c>
      <c r="Z1164" s="92">
        <v>7.7328151701435083E-4</v>
      </c>
      <c r="AA1164" s="92">
        <v>3.8049447465834525E-6</v>
      </c>
      <c r="AB1164" s="92">
        <v>-2.9074699906611167E-4</v>
      </c>
      <c r="AC1164" s="119">
        <v>3.0412619940559254E-2</v>
      </c>
      <c r="AD1164" s="119" t="s">
        <v>549</v>
      </c>
      <c r="AE1164" s="120" t="s">
        <v>549</v>
      </c>
      <c r="AF1164" s="119">
        <v>7.2853148962785927E-2</v>
      </c>
      <c r="AG1164" s="119" t="s">
        <v>549</v>
      </c>
      <c r="AH1164" s="120"/>
      <c r="AI1164" s="121"/>
      <c r="AJ1164" s="121"/>
      <c r="AK1164" s="121"/>
      <c r="AL1164" s="121"/>
      <c r="AM1164" s="122"/>
      <c r="AN1164" s="121"/>
      <c r="AP1164" s="87"/>
    </row>
    <row r="1165" spans="1:42">
      <c r="A1165" s="71" t="s">
        <v>126</v>
      </c>
      <c r="B1165" s="72" t="s">
        <v>44</v>
      </c>
      <c r="C1165" s="71" t="s">
        <v>105</v>
      </c>
      <c r="D1165" s="72" t="s">
        <v>109</v>
      </c>
      <c r="E1165" s="71" t="s">
        <v>102</v>
      </c>
      <c r="F1165" s="72" t="s">
        <v>631</v>
      </c>
      <c r="G1165" s="77"/>
      <c r="H1165" s="72" t="str">
        <f t="shared" si="25"/>
        <v>Tecumseh Isobutane 60 Hz 220V TA1330MGS-2B - PTCSCR</v>
      </c>
      <c r="I1165" s="91">
        <v>362.40704501516603</v>
      </c>
      <c r="J1165" s="92">
        <v>11.97982815183769</v>
      </c>
      <c r="K1165" s="92">
        <v>-3.3310721711014235</v>
      </c>
      <c r="L1165" s="92">
        <v>9.1713187468164994E-2</v>
      </c>
      <c r="M1165" s="92">
        <v>-0.10621806266408063</v>
      </c>
      <c r="N1165" s="92">
        <v>1.3354369475477435E-2</v>
      </c>
      <c r="O1165" s="92">
        <v>-1.1951695345246927E-4</v>
      </c>
      <c r="P1165" s="92">
        <v>-4.8825435953002828E-4</v>
      </c>
      <c r="Q1165" s="92">
        <v>3.7391284538576547E-4</v>
      </c>
      <c r="R1165" s="92">
        <v>-7.5612398660339665E-5</v>
      </c>
      <c r="S1165" s="92">
        <v>43.615333847038954</v>
      </c>
      <c r="T1165" s="92">
        <v>-0.15058560337513666</v>
      </c>
      <c r="U1165" s="92">
        <v>0.74684304481432806</v>
      </c>
      <c r="V1165" s="92">
        <v>-4.2565892521576658E-2</v>
      </c>
      <c r="W1165" s="92">
        <v>4.048131642695409E-3</v>
      </c>
      <c r="X1165" s="92">
        <v>1.9334730039590399E-3</v>
      </c>
      <c r="Y1165" s="92">
        <v>-4.6985805485120661E-4</v>
      </c>
      <c r="Z1165" s="92">
        <v>3.2205798139618854E-4</v>
      </c>
      <c r="AA1165" s="92">
        <v>3.6529755481423578E-4</v>
      </c>
      <c r="AB1165" s="92">
        <v>6.3041836508804089E-6</v>
      </c>
      <c r="AC1165" s="119">
        <v>3.5491941127132991E-2</v>
      </c>
      <c r="AD1165" s="119" t="s">
        <v>549</v>
      </c>
      <c r="AE1165" s="120" t="s">
        <v>549</v>
      </c>
      <c r="AF1165" s="119">
        <v>5.8557346373774577E-2</v>
      </c>
      <c r="AG1165" s="119" t="s">
        <v>549</v>
      </c>
      <c r="AH1165" s="120"/>
      <c r="AI1165" s="121"/>
      <c r="AJ1165" s="121"/>
      <c r="AK1165" s="121"/>
      <c r="AL1165" s="121"/>
      <c r="AM1165" s="122"/>
      <c r="AN1165" s="121"/>
      <c r="AP1165" s="87"/>
    </row>
    <row r="1166" spans="1:42">
      <c r="A1166" s="71" t="s">
        <v>126</v>
      </c>
      <c r="B1166" s="72" t="s">
        <v>44</v>
      </c>
      <c r="C1166" s="71" t="s">
        <v>45</v>
      </c>
      <c r="D1166" s="72" t="s">
        <v>109</v>
      </c>
      <c r="E1166" s="71" t="s">
        <v>102</v>
      </c>
      <c r="F1166" s="72" t="s">
        <v>631</v>
      </c>
      <c r="G1166" s="77"/>
      <c r="H1166" s="72" t="str">
        <f t="shared" si="25"/>
        <v>Tecumseh Isobutane 50 Hz 220V TA1330MGS-2B - PTCSCR</v>
      </c>
      <c r="I1166" s="91">
        <v>395.38427899370578</v>
      </c>
      <c r="J1166" s="92">
        <v>13.511693530456236</v>
      </c>
      <c r="K1166" s="92">
        <v>-6.3039960320970074</v>
      </c>
      <c r="L1166" s="92">
        <v>0.17699836220121723</v>
      </c>
      <c r="M1166" s="92">
        <v>-0.13134881904108747</v>
      </c>
      <c r="N1166" s="92">
        <v>5.9548038352614845E-2</v>
      </c>
      <c r="O1166" s="92">
        <v>1.2128232646012197E-3</v>
      </c>
      <c r="P1166" s="92">
        <v>-4.4318341476936663E-4</v>
      </c>
      <c r="Q1166" s="92">
        <v>6.836342013301519E-4</v>
      </c>
      <c r="R1166" s="92">
        <v>-2.546756502078788E-4</v>
      </c>
      <c r="S1166" s="92">
        <v>78.931789363276337</v>
      </c>
      <c r="T1166" s="92">
        <v>-8.5816790127140871E-2</v>
      </c>
      <c r="U1166" s="92">
        <v>-1.7409243446600222</v>
      </c>
      <c r="V1166" s="92">
        <v>-3.4095950187788694E-2</v>
      </c>
      <c r="W1166" s="92">
        <v>7.592175981095157E-3</v>
      </c>
      <c r="X1166" s="92">
        <v>4.8161889218817214E-2</v>
      </c>
      <c r="Y1166" s="92">
        <v>-1.8521177622131543E-4</v>
      </c>
      <c r="Z1166" s="92">
        <v>5.7013132853598551E-4</v>
      </c>
      <c r="AA1166" s="92">
        <v>3.6806791099367147E-4</v>
      </c>
      <c r="AB1166" s="92">
        <v>-2.8932529799631236E-4</v>
      </c>
      <c r="AC1166" s="119">
        <v>3.2778490065737666E-2</v>
      </c>
      <c r="AD1166" s="119" t="s">
        <v>549</v>
      </c>
      <c r="AE1166" s="120" t="s">
        <v>549</v>
      </c>
      <c r="AF1166" s="119">
        <v>3.6209693744411631E-2</v>
      </c>
      <c r="AG1166" s="119" t="s">
        <v>549</v>
      </c>
      <c r="AH1166" s="120"/>
      <c r="AI1166" s="121"/>
      <c r="AJ1166" s="121"/>
      <c r="AK1166" s="121"/>
      <c r="AL1166" s="121"/>
      <c r="AM1166" s="122"/>
      <c r="AN1166" s="121"/>
      <c r="AP1166" s="87"/>
    </row>
    <row r="1167" spans="1:42">
      <c r="A1167" s="71" t="s">
        <v>126</v>
      </c>
      <c r="B1167" s="72" t="s">
        <v>44</v>
      </c>
      <c r="C1167" s="71" t="s">
        <v>105</v>
      </c>
      <c r="D1167" s="72" t="s">
        <v>109</v>
      </c>
      <c r="E1167" s="71" t="s">
        <v>102</v>
      </c>
      <c r="F1167" s="72" t="s">
        <v>632</v>
      </c>
      <c r="G1167" s="77"/>
      <c r="H1167" s="72" t="str">
        <f t="shared" ref="H1167:H1198" si="26">CONCATENATE(A1167," ",B1167," ",C1167," ",D1167," ",F1167)</f>
        <v>Tecumseh Isobutane 60 Hz 220V TA1380MGS-1B - PTCSIR</v>
      </c>
      <c r="I1167" s="91">
        <v>1333.7560810082662</v>
      </c>
      <c r="J1167" s="92">
        <v>48.284576425209536</v>
      </c>
      <c r="K1167" s="92">
        <v>-23.840315253194277</v>
      </c>
      <c r="L1167" s="92">
        <v>0.80521201757318672</v>
      </c>
      <c r="M1167" s="92">
        <v>-0.42478157904229125</v>
      </c>
      <c r="N1167" s="92">
        <v>0.30220960250957152</v>
      </c>
      <c r="O1167" s="92">
        <v>5.2222575316712922E-3</v>
      </c>
      <c r="P1167" s="92">
        <v>-4.7534891456792487E-3</v>
      </c>
      <c r="Q1167" s="92">
        <v>7.4908703829280735E-4</v>
      </c>
      <c r="R1167" s="92">
        <v>-2.0346287908380827E-3</v>
      </c>
      <c r="S1167" s="92">
        <v>311.00948375511121</v>
      </c>
      <c r="T1167" s="92">
        <v>10.042217639031323</v>
      </c>
      <c r="U1167" s="92">
        <v>-4.8783929481483543</v>
      </c>
      <c r="V1167" s="92">
        <v>0.1636072186059723</v>
      </c>
      <c r="W1167" s="92">
        <v>-0.13900475536364629</v>
      </c>
      <c r="X1167" s="92">
        <v>0.10918173399257186</v>
      </c>
      <c r="Y1167" s="92">
        <v>1.3729898290600246E-3</v>
      </c>
      <c r="Z1167" s="92">
        <v>-8.8156143815639127E-4</v>
      </c>
      <c r="AA1167" s="92">
        <v>1.6615541367521259E-3</v>
      </c>
      <c r="AB1167" s="92">
        <v>-5.6188486070285742E-4</v>
      </c>
      <c r="AC1167" s="119">
        <v>3.3069084036261909E-2</v>
      </c>
      <c r="AD1167" s="119" t="s">
        <v>549</v>
      </c>
      <c r="AE1167" s="120" t="s">
        <v>549</v>
      </c>
      <c r="AF1167" s="119">
        <v>2.89281962269466E-2</v>
      </c>
      <c r="AG1167" s="119" t="s">
        <v>549</v>
      </c>
      <c r="AH1167" s="120"/>
      <c r="AI1167" s="121"/>
      <c r="AJ1167" s="121"/>
      <c r="AK1167" s="121"/>
      <c r="AL1167" s="121"/>
      <c r="AM1167" s="122"/>
      <c r="AN1167" s="121"/>
      <c r="AP1167" s="87"/>
    </row>
    <row r="1168" spans="1:42">
      <c r="A1168" s="71" t="s">
        <v>126</v>
      </c>
      <c r="B1168" s="72" t="s">
        <v>44</v>
      </c>
      <c r="C1168" s="71" t="s">
        <v>105</v>
      </c>
      <c r="D1168" s="72" t="s">
        <v>106</v>
      </c>
      <c r="E1168" s="71" t="s">
        <v>102</v>
      </c>
      <c r="F1168" s="72" t="s">
        <v>633</v>
      </c>
      <c r="G1168" s="77"/>
      <c r="H1168" s="72" t="str">
        <f t="shared" si="26"/>
        <v>Tecumseh Isobutane 60 Hz 127V TA²1360M-DS1G - PTCSIR</v>
      </c>
      <c r="I1168" s="91">
        <v>-46.620712055146555</v>
      </c>
      <c r="J1168" s="92">
        <v>38.171989515214889</v>
      </c>
      <c r="K1168" s="92">
        <v>54.2550085897754</v>
      </c>
      <c r="L1168" s="92">
        <v>0.52549044117629973</v>
      </c>
      <c r="M1168" s="92">
        <v>-0.36077696511338025</v>
      </c>
      <c r="N1168" s="92">
        <v>-1.345802044385584</v>
      </c>
      <c r="O1168" s="92">
        <v>3.15880314075794E-3</v>
      </c>
      <c r="P1168" s="92">
        <v>-1.3609696399050036E-3</v>
      </c>
      <c r="Q1168" s="92">
        <v>1.7993936933429519E-3</v>
      </c>
      <c r="R1168" s="92">
        <v>9.7283149955104536E-3</v>
      </c>
      <c r="S1168" s="92">
        <v>159.58131487941205</v>
      </c>
      <c r="T1168" s="92">
        <v>4.6055446910339697</v>
      </c>
      <c r="U1168" s="92">
        <v>-0.12919376263373147</v>
      </c>
      <c r="V1168" s="92">
        <v>6.6860016066274397E-2</v>
      </c>
      <c r="W1168" s="92">
        <v>-2.5460639765997113E-2</v>
      </c>
      <c r="X1168" s="92">
        <v>1.5576843198196981E-2</v>
      </c>
      <c r="Y1168" s="92">
        <v>9.4538164305229383E-5</v>
      </c>
      <c r="Z1168" s="92">
        <v>-6.8778462853918596E-4</v>
      </c>
      <c r="AA1168" s="92">
        <v>2.6086982851462382E-4</v>
      </c>
      <c r="AB1168" s="92">
        <v>-8.9136265604287379E-5</v>
      </c>
      <c r="AC1168" s="119">
        <v>5.5960939733997656E-2</v>
      </c>
      <c r="AD1168" s="119">
        <v>2.2897646188958549</v>
      </c>
      <c r="AE1168" s="120">
        <v>5.8581736277271059E-3</v>
      </c>
      <c r="AF1168" s="119">
        <v>2.127940298792578E-3</v>
      </c>
      <c r="AG1168" s="119">
        <v>0.10974303609224255</v>
      </c>
      <c r="AH1168" s="120">
        <v>1.1089586949392849E-3</v>
      </c>
      <c r="AI1168" s="121">
        <v>-40</v>
      </c>
      <c r="AJ1168" s="121">
        <v>-10</v>
      </c>
      <c r="AK1168" s="121">
        <v>37.799999999999997</v>
      </c>
      <c r="AL1168" s="121">
        <v>60</v>
      </c>
      <c r="AM1168" s="122">
        <v>42559</v>
      </c>
      <c r="AN1168" s="121" t="s">
        <v>481</v>
      </c>
      <c r="AP1168" s="87"/>
    </row>
    <row r="1169" spans="1:42">
      <c r="A1169" s="71" t="s">
        <v>126</v>
      </c>
      <c r="B1169" s="72" t="s">
        <v>44</v>
      </c>
      <c r="C1169" s="71" t="s">
        <v>45</v>
      </c>
      <c r="D1169" s="72" t="s">
        <v>109</v>
      </c>
      <c r="E1169" s="71" t="s">
        <v>102</v>
      </c>
      <c r="F1169" s="72" t="s">
        <v>634</v>
      </c>
      <c r="G1169" s="77"/>
      <c r="H1169" s="72" t="str">
        <f t="shared" si="26"/>
        <v>Tecumseh Isobutane 50 Hz 220V TA²1360M-GS1G - PTCSIR</v>
      </c>
      <c r="I1169" s="91">
        <v>501.44873242693274</v>
      </c>
      <c r="J1169" s="92">
        <v>18.523082530927095</v>
      </c>
      <c r="K1169" s="92">
        <v>1.552983169051328</v>
      </c>
      <c r="L1169" s="92">
        <v>0.16609244896950609</v>
      </c>
      <c r="M1169" s="92">
        <v>-6.583068770222375E-2</v>
      </c>
      <c r="N1169" s="92">
        <v>-0.11745470965860513</v>
      </c>
      <c r="O1169" s="92">
        <v>4.2061645125684884E-5</v>
      </c>
      <c r="P1169" s="92">
        <v>-3.9876864833382247E-4</v>
      </c>
      <c r="Q1169" s="92">
        <v>-4.8046210951914215E-4</v>
      </c>
      <c r="R1169" s="92">
        <v>7.1963941492427441E-4</v>
      </c>
      <c r="S1169" s="92">
        <v>-30.618689993702773</v>
      </c>
      <c r="T1169" s="92">
        <v>-6.0593035141630143</v>
      </c>
      <c r="U1169" s="92">
        <v>6.2212491656640871</v>
      </c>
      <c r="V1169" s="92">
        <v>-0.15302275685045924</v>
      </c>
      <c r="W1169" s="92">
        <v>0.1889946109106668</v>
      </c>
      <c r="X1169" s="92">
        <v>-6.6215767723944302E-2</v>
      </c>
      <c r="Y1169" s="92">
        <v>-1.0703084130740726E-3</v>
      </c>
      <c r="Z1169" s="92">
        <v>1.9162359763846366E-3</v>
      </c>
      <c r="AA1169" s="92">
        <v>-6.8736004185268444E-4</v>
      </c>
      <c r="AB1169" s="92">
        <v>3.0824697621938064E-4</v>
      </c>
      <c r="AC1169" s="119">
        <v>2.7415660564899798E-2</v>
      </c>
      <c r="AD1169" s="119">
        <v>0.9256320947459411</v>
      </c>
      <c r="AE1169" s="120">
        <v>6.2908592996880151E-3</v>
      </c>
      <c r="AF1169" s="119">
        <v>2.1120642490445631E-3</v>
      </c>
      <c r="AG1169" s="119">
        <v>0.10445365183718079</v>
      </c>
      <c r="AH1169" s="120">
        <v>1.1844024397224837E-3</v>
      </c>
      <c r="AI1169" s="121">
        <v>-40</v>
      </c>
      <c r="AJ1169" s="121">
        <v>-10</v>
      </c>
      <c r="AK1169" s="121">
        <v>37.799999999999997</v>
      </c>
      <c r="AL1169" s="121">
        <v>60</v>
      </c>
      <c r="AM1169" s="122">
        <v>42562</v>
      </c>
      <c r="AN1169" s="121" t="s">
        <v>481</v>
      </c>
      <c r="AP1169" s="87"/>
    </row>
    <row r="1170" spans="1:42">
      <c r="A1170" s="71" t="s">
        <v>126</v>
      </c>
      <c r="B1170" s="72" t="s">
        <v>44</v>
      </c>
      <c r="C1170" s="71" t="s">
        <v>105</v>
      </c>
      <c r="D1170" s="72" t="s">
        <v>109</v>
      </c>
      <c r="E1170" s="71" t="s">
        <v>102</v>
      </c>
      <c r="F1170" s="72" t="s">
        <v>634</v>
      </c>
      <c r="G1170" s="77"/>
      <c r="H1170" s="72" t="str">
        <f t="shared" si="26"/>
        <v>Tecumseh Isobutane 60 Hz 220V TA²1360M-GS1G - PTCSIR</v>
      </c>
      <c r="I1170" s="91">
        <v>923.59457159555552</v>
      </c>
      <c r="J1170" s="92">
        <v>39.127792858078045</v>
      </c>
      <c r="K1170" s="92">
        <v>-11.711053379668748</v>
      </c>
      <c r="L1170" s="92">
        <v>0.67735138255184213</v>
      </c>
      <c r="M1170" s="92">
        <v>-0.35328027860841715</v>
      </c>
      <c r="N1170" s="92">
        <v>6.9605891796848549E-2</v>
      </c>
      <c r="O1170" s="92">
        <v>3.7856663700989068E-3</v>
      </c>
      <c r="P1170" s="92">
        <v>-4.7887324330160375E-3</v>
      </c>
      <c r="Q1170" s="92">
        <v>1.6563408169368045E-4</v>
      </c>
      <c r="R1170" s="92">
        <v>-3.6149207240400476E-4</v>
      </c>
      <c r="S1170" s="92">
        <v>205.03572548307511</v>
      </c>
      <c r="T1170" s="92">
        <v>5.0190966092480966</v>
      </c>
      <c r="U1170" s="92">
        <v>-2.8047128205784913</v>
      </c>
      <c r="V1170" s="92">
        <v>7.695582931940427E-2</v>
      </c>
      <c r="W1170" s="92">
        <v>-2.9002816098225109E-2</v>
      </c>
      <c r="X1170" s="92">
        <v>7.1990047564257559E-2</v>
      </c>
      <c r="Y1170" s="92">
        <v>2.6479053517584346E-4</v>
      </c>
      <c r="Z1170" s="92">
        <v>-6.7438637218562001E-4</v>
      </c>
      <c r="AA1170" s="92">
        <v>3.0625185527472686E-4</v>
      </c>
      <c r="AB1170" s="92">
        <v>-4.7610730132367459E-4</v>
      </c>
      <c r="AC1170" s="119">
        <v>8.7160466671100181E-2</v>
      </c>
      <c r="AD1170" s="119">
        <v>3.88353502500251</v>
      </c>
      <c r="AE1170" s="120">
        <v>1.3562805654804255E-2</v>
      </c>
      <c r="AF1170" s="119">
        <v>1.1518518903270443E-3</v>
      </c>
      <c r="AG1170" s="119">
        <v>5.5663380485885483E-2</v>
      </c>
      <c r="AH1170" s="120">
        <v>7.8806432342276795E-4</v>
      </c>
      <c r="AI1170" s="121">
        <v>-40</v>
      </c>
      <c r="AJ1170" s="121">
        <v>-10</v>
      </c>
      <c r="AK1170" s="121">
        <v>37.799999999999997</v>
      </c>
      <c r="AL1170" s="121">
        <v>60</v>
      </c>
      <c r="AM1170" s="122">
        <v>42562</v>
      </c>
      <c r="AN1170" s="121" t="s">
        <v>481</v>
      </c>
      <c r="AP1170" s="87"/>
    </row>
    <row r="1171" spans="1:42">
      <c r="A1171" s="71" t="s">
        <v>126</v>
      </c>
      <c r="B1171" s="72" t="s">
        <v>44</v>
      </c>
      <c r="C1171" s="71" t="s">
        <v>45</v>
      </c>
      <c r="D1171" s="72" t="s">
        <v>109</v>
      </c>
      <c r="E1171" s="71" t="s">
        <v>102</v>
      </c>
      <c r="F1171" s="72" t="s">
        <v>635</v>
      </c>
      <c r="G1171" s="77"/>
      <c r="H1171" s="72" t="str">
        <f t="shared" si="26"/>
        <v>Tecumseh Isobutane 50 Hz 220V TA²1370M-GS1G - PTCSIR</v>
      </c>
      <c r="I1171" s="91">
        <v>451.36655400765972</v>
      </c>
      <c r="J1171" s="92">
        <v>5.7502945794732723</v>
      </c>
      <c r="K1171" s="92">
        <v>2.5155031852399041</v>
      </c>
      <c r="L1171" s="92">
        <v>-0.47453851386997936</v>
      </c>
      <c r="M1171" s="92">
        <v>-0.1214150692069899</v>
      </c>
      <c r="N1171" s="92">
        <v>-0.15658096752939835</v>
      </c>
      <c r="O1171" s="92">
        <v>-9.2714813182808078E-3</v>
      </c>
      <c r="P1171" s="92">
        <v>-1.333924867073629E-3</v>
      </c>
      <c r="Q1171" s="92">
        <v>-2.8213215943248868E-4</v>
      </c>
      <c r="R1171" s="92">
        <v>1.0105708677621279E-3</v>
      </c>
      <c r="S1171" s="92">
        <v>16.808809605681368</v>
      </c>
      <c r="T1171" s="92">
        <v>-6.8340671826026123</v>
      </c>
      <c r="U1171" s="92">
        <v>4.4441830023057562</v>
      </c>
      <c r="V1171" s="92">
        <v>-0.29343805386956534</v>
      </c>
      <c r="W1171" s="92">
        <v>0.10527836214161651</v>
      </c>
      <c r="X1171" s="92">
        <v>-4.2997817788182228E-2</v>
      </c>
      <c r="Y1171" s="92">
        <v>-3.7930661811908764E-3</v>
      </c>
      <c r="Z1171" s="92">
        <v>8.3853956445775638E-4</v>
      </c>
      <c r="AA1171" s="92">
        <v>-3.260273896996141E-4</v>
      </c>
      <c r="AB1171" s="92">
        <v>1.8182237799043826E-4</v>
      </c>
      <c r="AC1171" s="119">
        <v>0.77798140634387114</v>
      </c>
      <c r="AD1171" s="119">
        <v>34.152749554273818</v>
      </c>
      <c r="AE1171" s="120">
        <v>2.0679463858656405E-2</v>
      </c>
      <c r="AF1171" s="119">
        <v>4.3024145736455167E-2</v>
      </c>
      <c r="AG1171" s="119">
        <v>1.5761699233722755</v>
      </c>
      <c r="AH1171" s="120">
        <v>3.2235537153389436E-3</v>
      </c>
      <c r="AI1171" s="121">
        <v>-40</v>
      </c>
      <c r="AJ1171" s="121">
        <v>-10</v>
      </c>
      <c r="AK1171" s="121">
        <v>37.799999999999997</v>
      </c>
      <c r="AL1171" s="121">
        <v>60</v>
      </c>
      <c r="AM1171" s="122">
        <v>42562</v>
      </c>
      <c r="AN1171" s="121" t="s">
        <v>481</v>
      </c>
      <c r="AP1171" s="87"/>
    </row>
    <row r="1172" spans="1:42">
      <c r="A1172" s="71" t="s">
        <v>126</v>
      </c>
      <c r="B1172" s="72" t="s">
        <v>44</v>
      </c>
      <c r="C1172" s="71" t="s">
        <v>105</v>
      </c>
      <c r="D1172" s="72" t="s">
        <v>109</v>
      </c>
      <c r="E1172" s="71" t="s">
        <v>102</v>
      </c>
      <c r="F1172" s="72" t="s">
        <v>635</v>
      </c>
      <c r="G1172" s="77"/>
      <c r="H1172" s="72" t="str">
        <f t="shared" si="26"/>
        <v>Tecumseh Isobutane 60 Hz 220V TA²1370M-GS1G - PTCSIR</v>
      </c>
      <c r="I1172" s="91">
        <v>850.66163873009339</v>
      </c>
      <c r="J1172" s="92">
        <v>17.785836904748585</v>
      </c>
      <c r="K1172" s="92">
        <v>-13.780133194304177</v>
      </c>
      <c r="L1172" s="92">
        <v>-0.29999846088328003</v>
      </c>
      <c r="M1172" s="92">
        <v>-0.38796374260527183</v>
      </c>
      <c r="N1172" s="92">
        <v>0.10937272058913522</v>
      </c>
      <c r="O1172" s="92">
        <v>-8.2129534978844405E-3</v>
      </c>
      <c r="P1172" s="92">
        <v>-2.8182697407028398E-3</v>
      </c>
      <c r="Q1172" s="92">
        <v>1.629348332470072E-3</v>
      </c>
      <c r="R1172" s="92">
        <v>-4.4350978483436224E-4</v>
      </c>
      <c r="S1172" s="92">
        <v>208.3289918705392</v>
      </c>
      <c r="T1172" s="92">
        <v>-0.46281335655301242</v>
      </c>
      <c r="U1172" s="92">
        <v>-4.0689517213963233</v>
      </c>
      <c r="V1172" s="92">
        <v>-0.20866428046295188</v>
      </c>
      <c r="W1172" s="92">
        <v>-5.0182347615332586E-2</v>
      </c>
      <c r="X1172" s="92">
        <v>0.10396926468403289</v>
      </c>
      <c r="Y1172" s="92">
        <v>-3.2615206706686434E-3</v>
      </c>
      <c r="Z1172" s="92">
        <v>1.9376788447572838E-4</v>
      </c>
      <c r="AA1172" s="92">
        <v>9.3482613644865341E-4</v>
      </c>
      <c r="AB1172" s="92">
        <v>-6.2675514250265236E-4</v>
      </c>
      <c r="AC1172" s="119">
        <v>0.6109349223248588</v>
      </c>
      <c r="AD1172" s="119">
        <v>35.105024316990473</v>
      </c>
      <c r="AE1172" s="120">
        <v>1.5671440813848327E-2</v>
      </c>
      <c r="AF1172" s="119">
        <v>8.4626050213279402E-2</v>
      </c>
      <c r="AG1172" s="119">
        <v>3.1555243545943314</v>
      </c>
      <c r="AH1172" s="120">
        <v>4.6922073598430602E-3</v>
      </c>
      <c r="AI1172" s="121">
        <v>-40</v>
      </c>
      <c r="AJ1172" s="121">
        <v>-10</v>
      </c>
      <c r="AK1172" s="121">
        <v>37.799999999999997</v>
      </c>
      <c r="AL1172" s="121">
        <v>60</v>
      </c>
      <c r="AM1172" s="122">
        <v>42562</v>
      </c>
      <c r="AN1172" s="121" t="s">
        <v>481</v>
      </c>
      <c r="AP1172" s="87"/>
    </row>
    <row r="1173" spans="1:42">
      <c r="A1173" s="71" t="s">
        <v>126</v>
      </c>
      <c r="B1173" s="72" t="s">
        <v>44</v>
      </c>
      <c r="C1173" s="71" t="s">
        <v>105</v>
      </c>
      <c r="D1173" s="72" t="s">
        <v>106</v>
      </c>
      <c r="E1173" s="71" t="s">
        <v>102</v>
      </c>
      <c r="F1173" s="72" t="s">
        <v>636</v>
      </c>
      <c r="G1173" s="77"/>
      <c r="H1173" s="72" t="str">
        <f t="shared" si="26"/>
        <v>Tecumseh Isobutane 60 Hz 127V TA²1380M-DS1G - PTCSIR</v>
      </c>
      <c r="I1173" s="91">
        <v>980.95786043184205</v>
      </c>
      <c r="J1173" s="92">
        <v>48.023498033399193</v>
      </c>
      <c r="K1173" s="92">
        <v>-4.8105856117806294</v>
      </c>
      <c r="L1173" s="92">
        <v>0.72018277013786003</v>
      </c>
      <c r="M1173" s="92">
        <v>-0.58444156258725721</v>
      </c>
      <c r="N1173" s="92">
        <v>-0.12173764121264737</v>
      </c>
      <c r="O1173" s="92">
        <v>4.0140661013763797E-3</v>
      </c>
      <c r="P1173" s="92">
        <v>-5.1162074546092237E-3</v>
      </c>
      <c r="Q1173" s="92">
        <v>2.5273076219552962E-3</v>
      </c>
      <c r="R1173" s="92">
        <v>1.2343615803073829E-3</v>
      </c>
      <c r="S1173" s="92">
        <v>195.26215281830193</v>
      </c>
      <c r="T1173" s="92">
        <v>9.8167745036875704</v>
      </c>
      <c r="U1173" s="92">
        <v>1.8571095061374978</v>
      </c>
      <c r="V1173" s="92">
        <v>0.1555545297300234</v>
      </c>
      <c r="W1173" s="92">
        <v>-0.15682690542936784</v>
      </c>
      <c r="X1173" s="92">
        <v>-3.9527168183594613E-2</v>
      </c>
      <c r="Y1173" s="92">
        <v>1.1643714835355486E-3</v>
      </c>
      <c r="Z1173" s="92">
        <v>-1.1717263737069654E-3</v>
      </c>
      <c r="AA1173" s="92">
        <v>1.588688049241972E-3</v>
      </c>
      <c r="AB1173" s="92">
        <v>4.5743026915170992E-4</v>
      </c>
      <c r="AC1173" s="119">
        <v>0.10175046310615175</v>
      </c>
      <c r="AD1173" s="119">
        <v>4.7560232891236405</v>
      </c>
      <c r="AE1173" s="120">
        <v>1.1557652954835573E-2</v>
      </c>
      <c r="AF1173" s="119">
        <v>3.3240459290812814E-3</v>
      </c>
      <c r="AG1173" s="119">
        <v>0.12497260343240002</v>
      </c>
      <c r="AH1173" s="120">
        <v>9.9737327827471942E-4</v>
      </c>
      <c r="AI1173" s="121">
        <v>-40</v>
      </c>
      <c r="AJ1173" s="121">
        <v>-10</v>
      </c>
      <c r="AK1173" s="121">
        <v>37.799999999999997</v>
      </c>
      <c r="AL1173" s="121">
        <v>60</v>
      </c>
      <c r="AM1173" s="122">
        <v>42562</v>
      </c>
      <c r="AN1173" s="121" t="s">
        <v>481</v>
      </c>
      <c r="AP1173" s="87"/>
    </row>
    <row r="1174" spans="1:42">
      <c r="A1174" s="71" t="s">
        <v>126</v>
      </c>
      <c r="B1174" s="72" t="s">
        <v>44</v>
      </c>
      <c r="C1174" s="71" t="s">
        <v>45</v>
      </c>
      <c r="D1174" s="72" t="s">
        <v>109</v>
      </c>
      <c r="E1174" s="71" t="s">
        <v>102</v>
      </c>
      <c r="F1174" s="72" t="s">
        <v>637</v>
      </c>
      <c r="G1174" s="77"/>
      <c r="H1174" s="72" t="str">
        <f t="shared" si="26"/>
        <v>Tecumseh Isobutane 50 Hz 220V TA²1380M-GS1H - PTCSIR</v>
      </c>
      <c r="I1174" s="91">
        <v>505.36453170922277</v>
      </c>
      <c r="J1174" s="92">
        <v>28.441076257443068</v>
      </c>
      <c r="K1174" s="92">
        <v>13.907269094565859</v>
      </c>
      <c r="L1174" s="92">
        <v>0.51992802080578226</v>
      </c>
      <c r="M1174" s="92">
        <v>9.60796335478174E-2</v>
      </c>
      <c r="N1174" s="92">
        <v>-0.32997749919031383</v>
      </c>
      <c r="O1174" s="92">
        <v>3.8302838717637249E-3</v>
      </c>
      <c r="P1174" s="92">
        <v>-3.1029217290154984E-4</v>
      </c>
      <c r="Q1174" s="92">
        <v>-2.3789138060030341E-3</v>
      </c>
      <c r="R1174" s="92">
        <v>1.6981610479859365E-3</v>
      </c>
      <c r="S1174" s="92">
        <v>25.930486670915645</v>
      </c>
      <c r="T1174" s="92">
        <v>-3.4777691755729192</v>
      </c>
      <c r="U1174" s="92">
        <v>6.5755429955456659</v>
      </c>
      <c r="V1174" s="92">
        <v>-6.0620429122628439E-2</v>
      </c>
      <c r="W1174" s="92">
        <v>0.22577284620107105</v>
      </c>
      <c r="X1174" s="92">
        <v>-4.8154144039849384E-2</v>
      </c>
      <c r="Y1174" s="92">
        <v>-4.671365851466566E-5</v>
      </c>
      <c r="Z1174" s="92">
        <v>1.9776700393876294E-3</v>
      </c>
      <c r="AA1174" s="92">
        <v>-9.8084550529236366E-4</v>
      </c>
      <c r="AB1174" s="92">
        <v>4.5864181379003207E-5</v>
      </c>
      <c r="AC1174" s="119">
        <v>0.10587838009462644</v>
      </c>
      <c r="AD1174" s="119">
        <v>3.3379289400463339</v>
      </c>
      <c r="AE1174" s="120">
        <v>9.5855541306426179E-3</v>
      </c>
      <c r="AF1174" s="119">
        <v>3.5453007810573988E-3</v>
      </c>
      <c r="AG1174" s="119">
        <v>0.14128313943242046</v>
      </c>
      <c r="AH1174" s="120">
        <v>9.7677434446906907E-4</v>
      </c>
      <c r="AI1174" s="121">
        <v>-40</v>
      </c>
      <c r="AJ1174" s="121">
        <v>-10</v>
      </c>
      <c r="AK1174" s="121">
        <v>37.799999999999997</v>
      </c>
      <c r="AL1174" s="121">
        <v>60</v>
      </c>
      <c r="AM1174" s="122">
        <v>42562</v>
      </c>
      <c r="AN1174" s="121" t="s">
        <v>481</v>
      </c>
      <c r="AP1174" s="87"/>
    </row>
    <row r="1175" spans="1:42">
      <c r="A1175" s="71" t="s">
        <v>126</v>
      </c>
      <c r="B1175" s="72" t="s">
        <v>44</v>
      </c>
      <c r="C1175" s="71" t="s">
        <v>105</v>
      </c>
      <c r="D1175" s="72" t="s">
        <v>109</v>
      </c>
      <c r="E1175" s="71" t="s">
        <v>102</v>
      </c>
      <c r="F1175" s="72" t="s">
        <v>637</v>
      </c>
      <c r="G1175" s="77"/>
      <c r="H1175" s="72" t="str">
        <f t="shared" si="26"/>
        <v>Tecumseh Isobutane 60 Hz 220V TA²1380M-GS1H - PTCSIR</v>
      </c>
      <c r="I1175" s="91">
        <v>391.35472695389007</v>
      </c>
      <c r="J1175" s="92">
        <v>38.865518786087002</v>
      </c>
      <c r="K1175" s="92">
        <v>27.465241377271365</v>
      </c>
      <c r="L1175" s="92">
        <v>0.71983663219901817</v>
      </c>
      <c r="M1175" s="92">
        <v>-0.17997675807204783</v>
      </c>
      <c r="N1175" s="92">
        <v>-0.67476140679315089</v>
      </c>
      <c r="O1175" s="92">
        <v>4.4071187104555189E-3</v>
      </c>
      <c r="P1175" s="92">
        <v>-4.3230832405287585E-3</v>
      </c>
      <c r="Q1175" s="92">
        <v>-1.2582128301463248E-3</v>
      </c>
      <c r="R1175" s="92">
        <v>4.2789007853653608E-3</v>
      </c>
      <c r="S1175" s="92">
        <v>76.707777685442622</v>
      </c>
      <c r="T1175" s="92">
        <v>8.4622468447667867</v>
      </c>
      <c r="U1175" s="92">
        <v>9.2338491804644924</v>
      </c>
      <c r="V1175" s="92">
        <v>0.21241632445483452</v>
      </c>
      <c r="W1175" s="92">
        <v>-2.385689139407059E-2</v>
      </c>
      <c r="X1175" s="92">
        <v>-0.16137498795645433</v>
      </c>
      <c r="Y1175" s="92">
        <v>1.9429483773073868E-3</v>
      </c>
      <c r="Z1175" s="92">
        <v>-1.1351865782292642E-3</v>
      </c>
      <c r="AA1175" s="92">
        <v>2.2637819076359525E-4</v>
      </c>
      <c r="AB1175" s="92">
        <v>1.0710231209505811E-3</v>
      </c>
      <c r="AC1175" s="119">
        <v>7.6160859903417658E-2</v>
      </c>
      <c r="AD1175" s="119">
        <v>3.4549106148109674</v>
      </c>
      <c r="AE1175" s="120">
        <v>7.9875223723229472E-3</v>
      </c>
      <c r="AF1175" s="119">
        <v>2.5674551374075009E-3</v>
      </c>
      <c r="AG1175" s="119">
        <v>0.13912243363561591</v>
      </c>
      <c r="AH1175" s="120">
        <v>1.0122946965950377E-3</v>
      </c>
      <c r="AI1175" s="121">
        <v>-40</v>
      </c>
      <c r="AJ1175" s="121">
        <v>-10</v>
      </c>
      <c r="AK1175" s="121">
        <v>37.799999999999997</v>
      </c>
      <c r="AL1175" s="121">
        <v>60</v>
      </c>
      <c r="AM1175" s="122">
        <v>42562</v>
      </c>
      <c r="AN1175" s="121" t="s">
        <v>481</v>
      </c>
      <c r="AP1175" s="87"/>
    </row>
    <row r="1176" spans="1:42">
      <c r="A1176" s="71" t="s">
        <v>126</v>
      </c>
      <c r="B1176" s="72" t="s">
        <v>44</v>
      </c>
      <c r="C1176" s="71" t="s">
        <v>105</v>
      </c>
      <c r="D1176" s="72" t="s">
        <v>106</v>
      </c>
      <c r="E1176" s="71" t="s">
        <v>102</v>
      </c>
      <c r="F1176" s="72" t="s">
        <v>638</v>
      </c>
      <c r="G1176" s="77"/>
      <c r="H1176" s="72" t="str">
        <f t="shared" si="26"/>
        <v>Tecumseh Isobutane 60 Hz 127V TSB1380MDS</v>
      </c>
      <c r="I1176" s="91">
        <v>944.11594544088666</v>
      </c>
      <c r="J1176" s="92">
        <v>42.982653578286296</v>
      </c>
      <c r="K1176" s="92">
        <v>-6.0409682192795291</v>
      </c>
      <c r="L1176" s="92">
        <v>0.72837354446961655</v>
      </c>
      <c r="M1176" s="92">
        <v>-0.35302115140154633</v>
      </c>
      <c r="N1176" s="92">
        <v>-3.1947412879078707E-2</v>
      </c>
      <c r="O1176" s="92">
        <v>4.1554198314957651E-3</v>
      </c>
      <c r="P1176" s="92">
        <v>-4.2271678722916265E-3</v>
      </c>
      <c r="Q1176" s="92">
        <v>4.2436497709691861E-4</v>
      </c>
      <c r="R1176" s="92">
        <v>2.3730231286104629E-4</v>
      </c>
      <c r="S1176" s="92">
        <v>144.52369056345211</v>
      </c>
      <c r="T1176" s="92">
        <v>4.339991672323797</v>
      </c>
      <c r="U1176" s="92">
        <v>2.9262666974037881</v>
      </c>
      <c r="V1176" s="92">
        <v>5.892309479718924E-2</v>
      </c>
      <c r="W1176" s="92">
        <v>8.6634443421952523E-3</v>
      </c>
      <c r="X1176" s="92">
        <v>-2.8780359114801427E-2</v>
      </c>
      <c r="Y1176" s="92">
        <v>2.25615100802423E-4</v>
      </c>
      <c r="Z1176" s="92">
        <v>-1.0767764099594467E-4</v>
      </c>
      <c r="AA1176" s="92">
        <v>1.707559997389611E-4</v>
      </c>
      <c r="AB1176" s="92">
        <v>1.9280541778039916E-4</v>
      </c>
      <c r="AC1176" s="119">
        <v>3.1E-2</v>
      </c>
      <c r="AD1176" s="119" t="s">
        <v>549</v>
      </c>
      <c r="AE1176" s="120" t="s">
        <v>549</v>
      </c>
      <c r="AF1176" s="119">
        <v>3.1E-2</v>
      </c>
      <c r="AG1176" s="119" t="s">
        <v>549</v>
      </c>
      <c r="AH1176" s="120"/>
      <c r="AI1176" s="121"/>
      <c r="AJ1176" s="121"/>
      <c r="AK1176" s="121"/>
      <c r="AL1176" s="121"/>
      <c r="AM1176" s="122"/>
      <c r="AN1176" s="121"/>
      <c r="AP1176" s="87"/>
    </row>
    <row r="1177" spans="1:42">
      <c r="A1177" s="71" t="s">
        <v>126</v>
      </c>
      <c r="B1177" s="72" t="s">
        <v>44</v>
      </c>
      <c r="C1177" s="71" t="s">
        <v>45</v>
      </c>
      <c r="D1177" s="72" t="s">
        <v>109</v>
      </c>
      <c r="E1177" s="71" t="s">
        <v>102</v>
      </c>
      <c r="F1177" s="72" t="s">
        <v>639</v>
      </c>
      <c r="G1177" s="77"/>
      <c r="H1177" s="72" t="str">
        <f t="shared" si="26"/>
        <v>Tecumseh Isobutane 50 Hz 220V TSB1380MGS</v>
      </c>
      <c r="I1177" s="91">
        <v>780.05939082846589</v>
      </c>
      <c r="J1177" s="92">
        <v>24.013851724942022</v>
      </c>
      <c r="K1177" s="92">
        <v>-7.6139590443256679</v>
      </c>
      <c r="L1177" s="92">
        <v>0.37425102054034232</v>
      </c>
      <c r="M1177" s="92">
        <v>9.7904427701595922E-3</v>
      </c>
      <c r="N1177" s="92">
        <v>8.5497820709351677E-2</v>
      </c>
      <c r="O1177" s="92">
        <v>3.074542626142446E-3</v>
      </c>
      <c r="P1177" s="92">
        <v>7.0821995665116386E-5</v>
      </c>
      <c r="Q1177" s="92">
        <v>-1.1358006723844072E-3</v>
      </c>
      <c r="R1177" s="92">
        <v>-8.0599845521513635E-4</v>
      </c>
      <c r="S1177" s="92">
        <v>-12.094385610660137</v>
      </c>
      <c r="T1177" s="92">
        <v>-3.6946776317498147</v>
      </c>
      <c r="U1177" s="92">
        <v>7.9941215036953528</v>
      </c>
      <c r="V1177" s="92">
        <v>-2.934566603681648E-2</v>
      </c>
      <c r="W1177" s="92">
        <v>0.22359400348090569</v>
      </c>
      <c r="X1177" s="92">
        <v>-8.4745671258661656E-2</v>
      </c>
      <c r="Y1177" s="92">
        <v>3.7218803863669846E-4</v>
      </c>
      <c r="Z1177" s="92">
        <v>1.2766828875627981E-3</v>
      </c>
      <c r="AA1177" s="92">
        <v>-1.3442450949475927E-3</v>
      </c>
      <c r="AB1177" s="92">
        <v>3.1008993299809273E-4</v>
      </c>
      <c r="AC1177" s="119">
        <v>8.7999999999999995E-2</v>
      </c>
      <c r="AD1177" s="119" t="s">
        <v>549</v>
      </c>
      <c r="AE1177" s="120" t="s">
        <v>549</v>
      </c>
      <c r="AF1177" s="119">
        <v>5.8000000000000003E-2</v>
      </c>
      <c r="AG1177" s="119" t="s">
        <v>549</v>
      </c>
      <c r="AH1177" s="120"/>
      <c r="AI1177" s="121"/>
      <c r="AJ1177" s="121"/>
      <c r="AK1177" s="121"/>
      <c r="AL1177" s="121"/>
      <c r="AM1177" s="122"/>
      <c r="AN1177" s="121"/>
      <c r="AP1177" s="87"/>
    </row>
    <row r="1178" spans="1:42">
      <c r="A1178" s="71" t="s">
        <v>126</v>
      </c>
      <c r="B1178" s="72" t="s">
        <v>44</v>
      </c>
      <c r="C1178" s="71" t="s">
        <v>105</v>
      </c>
      <c r="D1178" s="72" t="s">
        <v>109</v>
      </c>
      <c r="E1178" s="71" t="s">
        <v>102</v>
      </c>
      <c r="F1178" s="72" t="s">
        <v>639</v>
      </c>
      <c r="G1178" s="77"/>
      <c r="H1178" s="72" t="str">
        <f t="shared" si="26"/>
        <v>Tecumseh Isobutane 60 Hz 220V TSB1380MGS</v>
      </c>
      <c r="I1178" s="91">
        <v>604.52746431490607</v>
      </c>
      <c r="J1178" s="92">
        <v>27.034700878050515</v>
      </c>
      <c r="K1178" s="92">
        <v>8.0937219115667176</v>
      </c>
      <c r="L1178" s="92">
        <v>0.3641771395530885</v>
      </c>
      <c r="M1178" s="92">
        <v>-4.6433127938965535E-2</v>
      </c>
      <c r="N1178" s="92">
        <v>-0.25045828051117042</v>
      </c>
      <c r="O1178" s="92">
        <v>1.2342592068413834E-3</v>
      </c>
      <c r="P1178" s="92">
        <v>-1.9166971206466285E-3</v>
      </c>
      <c r="Q1178" s="92">
        <v>-1.6977716483420387E-3</v>
      </c>
      <c r="R1178" s="92">
        <v>1.3298795589248484E-3</v>
      </c>
      <c r="S1178" s="92">
        <v>134.40014812640678</v>
      </c>
      <c r="T1178" s="92">
        <v>1.1241219979589752</v>
      </c>
      <c r="U1178" s="92">
        <v>2.9859986470237665</v>
      </c>
      <c r="V1178" s="92">
        <v>-4.0202821293555166E-2</v>
      </c>
      <c r="W1178" s="92">
        <v>6.7026225513726834E-2</v>
      </c>
      <c r="X1178" s="92">
        <v>-2.1914512036950939E-2</v>
      </c>
      <c r="Y1178" s="92">
        <v>-9.4691488376621538E-5</v>
      </c>
      <c r="Z1178" s="92">
        <v>1.3379529771299686E-3</v>
      </c>
      <c r="AA1178" s="92">
        <v>2.8715744361341636E-4</v>
      </c>
      <c r="AB1178" s="92">
        <v>1.7116295323606689E-4</v>
      </c>
      <c r="AC1178" s="119">
        <v>0.05</v>
      </c>
      <c r="AD1178" s="119" t="s">
        <v>549</v>
      </c>
      <c r="AE1178" s="120" t="s">
        <v>549</v>
      </c>
      <c r="AF1178" s="119">
        <v>6.3E-2</v>
      </c>
      <c r="AG1178" s="119" t="s">
        <v>549</v>
      </c>
      <c r="AH1178" s="120"/>
      <c r="AI1178" s="121"/>
      <c r="AJ1178" s="121"/>
      <c r="AK1178" s="121"/>
      <c r="AL1178" s="121"/>
      <c r="AM1178" s="122"/>
      <c r="AN1178" s="121"/>
      <c r="AP1178" s="87"/>
    </row>
    <row r="1179" spans="1:42">
      <c r="A1179" s="71" t="s">
        <v>126</v>
      </c>
      <c r="B1179" s="72" t="s">
        <v>44</v>
      </c>
      <c r="C1179" s="71" t="s">
        <v>45</v>
      </c>
      <c r="D1179" s="72" t="s">
        <v>109</v>
      </c>
      <c r="E1179" s="71" t="s">
        <v>102</v>
      </c>
      <c r="F1179" s="72" t="s">
        <v>640</v>
      </c>
      <c r="G1179" s="77"/>
      <c r="H1179" s="72" t="str">
        <f t="shared" si="26"/>
        <v>Tecumseh Isobutane 50 Hz 220V TSB1380MMS</v>
      </c>
      <c r="I1179" s="91">
        <v>840.91876922223548</v>
      </c>
      <c r="J1179" s="92">
        <v>29.726359267293581</v>
      </c>
      <c r="K1179" s="92">
        <v>-5.6361339408501996</v>
      </c>
      <c r="L1179" s="92">
        <v>0.39234506394971419</v>
      </c>
      <c r="M1179" s="92">
        <v>-0.13778597052799868</v>
      </c>
      <c r="N1179" s="92">
        <v>-1.2417970337603619E-2</v>
      </c>
      <c r="O1179" s="92">
        <v>2.4064401252114377E-3</v>
      </c>
      <c r="P1179" s="92">
        <v>-9.2015236307882052E-4</v>
      </c>
      <c r="Q1179" s="92">
        <v>-3.9790832635642245E-4</v>
      </c>
      <c r="R1179" s="92">
        <v>3.3325176075657266E-5</v>
      </c>
      <c r="S1179" s="92">
        <v>63.576416204358232</v>
      </c>
      <c r="T1179" s="92">
        <v>0.96210681824577904</v>
      </c>
      <c r="U1179" s="92">
        <v>6.4244194176601725</v>
      </c>
      <c r="V1179" s="92">
        <v>-1.6696207103060656E-3</v>
      </c>
      <c r="W1179" s="92">
        <v>8.2090710257181829E-2</v>
      </c>
      <c r="X1179" s="92">
        <v>-9.5944812598265539E-2</v>
      </c>
      <c r="Y1179" s="92">
        <v>3.1622697734512905E-4</v>
      </c>
      <c r="Z1179" s="92">
        <v>8.6104808174724341E-4</v>
      </c>
      <c r="AA1179" s="92">
        <v>-2.048021406093706E-4</v>
      </c>
      <c r="AB1179" s="92">
        <v>5.9550544480143383E-4</v>
      </c>
      <c r="AC1179" s="119">
        <v>5.2999999999999999E-2</v>
      </c>
      <c r="AD1179" s="119" t="s">
        <v>549</v>
      </c>
      <c r="AE1179" s="120" t="s">
        <v>549</v>
      </c>
      <c r="AF1179" s="119">
        <v>7.8E-2</v>
      </c>
      <c r="AG1179" s="119" t="s">
        <v>549</v>
      </c>
      <c r="AH1179" s="120"/>
      <c r="AI1179" s="121"/>
      <c r="AJ1179" s="121"/>
      <c r="AK1179" s="121"/>
      <c r="AL1179" s="121"/>
      <c r="AM1179" s="122"/>
      <c r="AN1179" s="121"/>
      <c r="AP1179" s="87"/>
    </row>
    <row r="1180" spans="1:42">
      <c r="A1180" s="71" t="s">
        <v>126</v>
      </c>
      <c r="B1180" s="72" t="s">
        <v>44</v>
      </c>
      <c r="C1180" s="71" t="s">
        <v>105</v>
      </c>
      <c r="D1180" s="72" t="s">
        <v>109</v>
      </c>
      <c r="E1180" s="71" t="s">
        <v>102</v>
      </c>
      <c r="F1180" s="72" t="s">
        <v>640</v>
      </c>
      <c r="G1180" s="77"/>
      <c r="H1180" s="72" t="str">
        <f t="shared" si="26"/>
        <v>Tecumseh Isobutane 60 Hz 220V TSB1380MMS</v>
      </c>
      <c r="I1180" s="91">
        <v>1058.9961121580404</v>
      </c>
      <c r="J1180" s="92">
        <v>47.166511012703737</v>
      </c>
      <c r="K1180" s="92">
        <v>-9.7001353255716634</v>
      </c>
      <c r="L1180" s="92">
        <v>0.79957945167842592</v>
      </c>
      <c r="M1180" s="92">
        <v>-0.47682287395317524</v>
      </c>
      <c r="N1180" s="92">
        <v>-1.0142165509333442E-2</v>
      </c>
      <c r="O1180" s="92">
        <v>5.2926884134412927E-3</v>
      </c>
      <c r="P1180" s="92">
        <v>-5.1758567246088559E-3</v>
      </c>
      <c r="Q1180" s="92">
        <v>1.0777494238517296E-3</v>
      </c>
      <c r="R1180" s="92">
        <v>2.9021524817497897E-4</v>
      </c>
      <c r="S1180" s="92">
        <v>20.140601727086377</v>
      </c>
      <c r="T1180" s="92">
        <v>4.0712328131802176</v>
      </c>
      <c r="U1180" s="92">
        <v>10.919826191249776</v>
      </c>
      <c r="V1180" s="92">
        <v>7.7473708735982638E-2</v>
      </c>
      <c r="W1180" s="92">
        <v>3.807282937037177E-2</v>
      </c>
      <c r="X1180" s="92">
        <v>-0.1986812298157653</v>
      </c>
      <c r="Y1180" s="92">
        <v>1.4650502245679626E-3</v>
      </c>
      <c r="Z1180" s="92">
        <v>9.8055935386761879E-4</v>
      </c>
      <c r="AA1180" s="92">
        <v>2.8748044429301579E-4</v>
      </c>
      <c r="AB1180" s="92">
        <v>1.4157757263108298E-3</v>
      </c>
      <c r="AC1180" s="119">
        <v>9.2999999999999999E-2</v>
      </c>
      <c r="AD1180" s="119" t="s">
        <v>549</v>
      </c>
      <c r="AE1180" s="120" t="s">
        <v>549</v>
      </c>
      <c r="AF1180" s="119">
        <v>5.0999999999999997E-2</v>
      </c>
      <c r="AG1180" s="119" t="s">
        <v>549</v>
      </c>
      <c r="AH1180" s="120"/>
      <c r="AI1180" s="121"/>
      <c r="AJ1180" s="121"/>
      <c r="AK1180" s="121"/>
      <c r="AL1180" s="121"/>
      <c r="AM1180" s="122"/>
      <c r="AN1180" s="121"/>
      <c r="AP1180" s="87"/>
    </row>
    <row r="1181" spans="1:42">
      <c r="A1181" s="71" t="s">
        <v>126</v>
      </c>
      <c r="B1181" s="72" t="s">
        <v>100</v>
      </c>
      <c r="C1181" s="71" t="s">
        <v>105</v>
      </c>
      <c r="D1181" s="72" t="s">
        <v>106</v>
      </c>
      <c r="E1181" s="71" t="s">
        <v>102</v>
      </c>
      <c r="F1181" s="72" t="s">
        <v>641</v>
      </c>
      <c r="G1181" s="77"/>
      <c r="H1181" s="72" t="str">
        <f t="shared" si="26"/>
        <v>Tecumseh R134a 60 Hz 127V TA1330YDS-1A - PTCSIR</v>
      </c>
      <c r="I1181" s="91">
        <v>548.3146542219821</v>
      </c>
      <c r="J1181" s="92">
        <v>21.495962080456085</v>
      </c>
      <c r="K1181" s="92">
        <v>-6.574038290328331</v>
      </c>
      <c r="L1181" s="92">
        <v>0.49799237010011999</v>
      </c>
      <c r="M1181" s="92">
        <v>-1.2673151681970123E-2</v>
      </c>
      <c r="N1181" s="92">
        <v>8.8769781495029842E-2</v>
      </c>
      <c r="O1181" s="92">
        <v>5.0173433092010195E-3</v>
      </c>
      <c r="P1181" s="92">
        <v>-6.1514573532740757E-4</v>
      </c>
      <c r="Q1181" s="92">
        <v>-8.0807754103001997E-4</v>
      </c>
      <c r="R1181" s="92">
        <v>-8.0384928195561482E-4</v>
      </c>
      <c r="S1181" s="92">
        <v>-4.4550268107161326</v>
      </c>
      <c r="T1181" s="92">
        <v>-1.6332922837347403</v>
      </c>
      <c r="U1181" s="92">
        <v>4.6539345188086729</v>
      </c>
      <c r="V1181" s="92">
        <v>2.2751459194456595E-2</v>
      </c>
      <c r="W1181" s="92">
        <v>0.14169463815606678</v>
      </c>
      <c r="X1181" s="92">
        <v>-4.4025357406014612E-2</v>
      </c>
      <c r="Y1181" s="92">
        <v>1.1674717824001314E-3</v>
      </c>
      <c r="Z1181" s="92">
        <v>1.4908628644511493E-3</v>
      </c>
      <c r="AA1181" s="92">
        <v>-3.3651393237848755E-4</v>
      </c>
      <c r="AB1181" s="92">
        <v>2.0531481416838371E-4</v>
      </c>
      <c r="AC1181" s="119">
        <v>3.0451935918042804E-2</v>
      </c>
      <c r="AD1181" s="119"/>
      <c r="AE1181" s="120"/>
      <c r="AF1181" s="119">
        <v>4.1414923510117788E-2</v>
      </c>
      <c r="AG1181" s="119" t="s">
        <v>549</v>
      </c>
      <c r="AH1181" s="120"/>
      <c r="AI1181" s="121"/>
      <c r="AJ1181" s="121"/>
      <c r="AK1181" s="121"/>
      <c r="AL1181" s="121"/>
      <c r="AM1181" s="122"/>
      <c r="AN1181" s="121"/>
      <c r="AP1181" s="87"/>
    </row>
    <row r="1182" spans="1:42">
      <c r="A1182" s="71" t="s">
        <v>126</v>
      </c>
      <c r="B1182" s="72" t="s">
        <v>100</v>
      </c>
      <c r="C1182" s="71" t="s">
        <v>105</v>
      </c>
      <c r="D1182" s="72" t="s">
        <v>109</v>
      </c>
      <c r="E1182" s="71" t="s">
        <v>102</v>
      </c>
      <c r="F1182" s="72" t="s">
        <v>642</v>
      </c>
      <c r="G1182" s="77"/>
      <c r="H1182" s="72" t="str">
        <f t="shared" si="26"/>
        <v>Tecumseh R134a 60 Hz 220V TA1330YGS-1A - PTCSIR</v>
      </c>
      <c r="I1182" s="91">
        <v>509.23570250318403</v>
      </c>
      <c r="J1182" s="92">
        <v>19.113874704240967</v>
      </c>
      <c r="K1182" s="92">
        <v>-5.1687769687681255</v>
      </c>
      <c r="L1182" s="92">
        <v>0.23745107059355522</v>
      </c>
      <c r="M1182" s="92">
        <v>-0.170086057349431</v>
      </c>
      <c r="N1182" s="92">
        <v>1.8479411900625391E-2</v>
      </c>
      <c r="O1182" s="92">
        <v>8.3087077257806971E-4</v>
      </c>
      <c r="P1182" s="92">
        <v>-1.4942801642937953E-3</v>
      </c>
      <c r="Q1182" s="92">
        <v>4.2543432918862149E-4</v>
      </c>
      <c r="R1182" s="92">
        <v>-9.0888771231168475E-5</v>
      </c>
      <c r="S1182" s="92">
        <v>36.271141795846511</v>
      </c>
      <c r="T1182" s="92">
        <v>-0.69218075597645223</v>
      </c>
      <c r="U1182" s="92">
        <v>2.2357645709539495</v>
      </c>
      <c r="V1182" s="92">
        <v>-4.0229127620686492E-2</v>
      </c>
      <c r="W1182" s="92">
        <v>4.0962153062723106E-2</v>
      </c>
      <c r="X1182" s="92">
        <v>-1.6628823926303389E-2</v>
      </c>
      <c r="Y1182" s="92">
        <v>-4.2017485439653295E-4</v>
      </c>
      <c r="Z1182" s="92">
        <v>4.3633720454683625E-4</v>
      </c>
      <c r="AA1182" s="92">
        <v>2.0114852423120107E-4</v>
      </c>
      <c r="AB1182" s="92">
        <v>1.0113728007898446E-4</v>
      </c>
      <c r="AC1182" s="119">
        <v>2.3543338463089182E-2</v>
      </c>
      <c r="AD1182" s="119" t="s">
        <v>549</v>
      </c>
      <c r="AE1182" s="120" t="s">
        <v>549</v>
      </c>
      <c r="AF1182" s="119">
        <v>3.1980424390857853E-2</v>
      </c>
      <c r="AG1182" s="119" t="s">
        <v>549</v>
      </c>
      <c r="AH1182" s="120"/>
      <c r="AI1182" s="121"/>
      <c r="AJ1182" s="121"/>
      <c r="AK1182" s="121"/>
      <c r="AL1182" s="121"/>
      <c r="AM1182" s="122"/>
      <c r="AN1182" s="121"/>
      <c r="AP1182" s="87"/>
    </row>
    <row r="1183" spans="1:42">
      <c r="A1183" s="71" t="s">
        <v>126</v>
      </c>
      <c r="B1183" s="72" t="s">
        <v>100</v>
      </c>
      <c r="C1183" s="71" t="s">
        <v>45</v>
      </c>
      <c r="D1183" s="72" t="s">
        <v>109</v>
      </c>
      <c r="E1183" s="71" t="s">
        <v>102</v>
      </c>
      <c r="F1183" s="72" t="s">
        <v>642</v>
      </c>
      <c r="G1183" s="77"/>
      <c r="H1183" s="72" t="str">
        <f t="shared" si="26"/>
        <v>Tecumseh R134a 50 Hz 220V TA1330YGS-1A - PTCSIR</v>
      </c>
      <c r="I1183" s="91">
        <v>392.09355494930622</v>
      </c>
      <c r="J1183" s="92">
        <v>13.589903438168371</v>
      </c>
      <c r="K1183" s="92">
        <v>-2.5168837135100222</v>
      </c>
      <c r="L1183" s="92">
        <v>0.14699031447232808</v>
      </c>
      <c r="M1183" s="92">
        <v>-6.8349425058389368E-2</v>
      </c>
      <c r="N1183" s="92">
        <v>-1.0658632029560961E-2</v>
      </c>
      <c r="O1183" s="92">
        <v>3.7499588098368925E-4</v>
      </c>
      <c r="P1183" s="92">
        <v>-5.535263702887576E-4</v>
      </c>
      <c r="Q1183" s="92">
        <v>-2.0380432153762663E-4</v>
      </c>
      <c r="R1183" s="92">
        <v>1.859415280552129E-5</v>
      </c>
      <c r="S1183" s="92">
        <v>49.990769471221327</v>
      </c>
      <c r="T1183" s="92">
        <v>-2.3454382016048561</v>
      </c>
      <c r="U1183" s="92">
        <v>0.61585836663068094</v>
      </c>
      <c r="V1183" s="92">
        <v>-9.2045538089527493E-2</v>
      </c>
      <c r="W1183" s="92">
        <v>5.767529165832936E-2</v>
      </c>
      <c r="X1183" s="92">
        <v>1.658800012236104E-2</v>
      </c>
      <c r="Y1183" s="92">
        <v>-8.5878613130170491E-4</v>
      </c>
      <c r="Z1183" s="92">
        <v>8.0539301847515614E-4</v>
      </c>
      <c r="AA1183" s="92">
        <v>9.2103347249734794E-5</v>
      </c>
      <c r="AB1183" s="92">
        <v>-1.3797721121944665E-4</v>
      </c>
      <c r="AC1183" s="119">
        <v>4.5689072569432825E-2</v>
      </c>
      <c r="AD1183" s="119" t="s">
        <v>549</v>
      </c>
      <c r="AE1183" s="120" t="s">
        <v>549</v>
      </c>
      <c r="AF1183" s="119">
        <v>3.8558578247900481E-2</v>
      </c>
      <c r="AG1183" s="119" t="s">
        <v>549</v>
      </c>
      <c r="AH1183" s="120"/>
      <c r="AI1183" s="121"/>
      <c r="AJ1183" s="121"/>
      <c r="AK1183" s="121"/>
      <c r="AL1183" s="121"/>
      <c r="AM1183" s="122"/>
      <c r="AN1183" s="121"/>
      <c r="AP1183" s="87"/>
    </row>
    <row r="1184" spans="1:42">
      <c r="A1184" s="71" t="s">
        <v>126</v>
      </c>
      <c r="B1184" s="72" t="s">
        <v>100</v>
      </c>
      <c r="C1184" s="71" t="s">
        <v>105</v>
      </c>
      <c r="D1184" s="72" t="s">
        <v>106</v>
      </c>
      <c r="E1184" s="71" t="s">
        <v>102</v>
      </c>
      <c r="F1184" s="72" t="s">
        <v>643</v>
      </c>
      <c r="G1184" s="77"/>
      <c r="H1184" s="72" t="str">
        <f t="shared" si="26"/>
        <v>Tecumseh R134a 60 Hz 127V TA1360YDS-1B - PTCSIR</v>
      </c>
      <c r="I1184" s="91">
        <v>632.5886117950356</v>
      </c>
      <c r="J1184" s="92">
        <v>22.264017866202614</v>
      </c>
      <c r="K1184" s="92">
        <v>3.1489677125376461</v>
      </c>
      <c r="L1184" s="92">
        <v>0.17703840936075829</v>
      </c>
      <c r="M1184" s="92">
        <v>-1.8797636495677155E-2</v>
      </c>
      <c r="N1184" s="92">
        <v>-0.14268074823082588</v>
      </c>
      <c r="O1184" s="92">
        <v>-1.1827698677624114E-3</v>
      </c>
      <c r="P1184" s="92">
        <v>-1.1883133485748156E-3</v>
      </c>
      <c r="Q1184" s="92">
        <v>-1.3574820690632323E-3</v>
      </c>
      <c r="R1184" s="92">
        <v>5.9588758913718199E-4</v>
      </c>
      <c r="S1184" s="92">
        <v>60.103662062145766</v>
      </c>
      <c r="T1184" s="92">
        <v>-3.0647210744296944</v>
      </c>
      <c r="U1184" s="92">
        <v>2.0288365738175633</v>
      </c>
      <c r="V1184" s="92">
        <v>-0.12208993770944238</v>
      </c>
      <c r="W1184" s="92">
        <v>9.0278451927434583E-2</v>
      </c>
      <c r="X1184" s="92">
        <v>3.3106234248542497E-2</v>
      </c>
      <c r="Y1184" s="92">
        <v>-1.1912085868226539E-3</v>
      </c>
      <c r="Z1184" s="92">
        <v>1.0089229674258532E-3</v>
      </c>
      <c r="AA1184" s="92">
        <v>3.9910265927927427E-4</v>
      </c>
      <c r="AB1184" s="92">
        <v>-3.5893043133585124E-4</v>
      </c>
      <c r="AC1184" s="119">
        <v>5.9816995570940328E-2</v>
      </c>
      <c r="AD1184" s="119" t="s">
        <v>549</v>
      </c>
      <c r="AE1184" s="120" t="s">
        <v>549</v>
      </c>
      <c r="AF1184" s="119">
        <v>5.5769809178492585E-2</v>
      </c>
      <c r="AG1184" s="119" t="s">
        <v>549</v>
      </c>
      <c r="AH1184" s="120"/>
      <c r="AI1184" s="121"/>
      <c r="AJ1184" s="121"/>
      <c r="AK1184" s="121"/>
      <c r="AL1184" s="121"/>
      <c r="AM1184" s="122"/>
      <c r="AN1184" s="121"/>
      <c r="AP1184" s="87"/>
    </row>
    <row r="1185" spans="1:42">
      <c r="A1185" s="71" t="s">
        <v>126</v>
      </c>
      <c r="B1185" s="72" t="s">
        <v>100</v>
      </c>
      <c r="C1185" s="71" t="s">
        <v>105</v>
      </c>
      <c r="D1185" s="72" t="s">
        <v>109</v>
      </c>
      <c r="E1185" s="71" t="s">
        <v>102</v>
      </c>
      <c r="F1185" s="72" t="s">
        <v>644</v>
      </c>
      <c r="G1185" s="77"/>
      <c r="H1185" s="72" t="str">
        <f t="shared" si="26"/>
        <v>Tecumseh R134a 60 Hz 220V TA1360YGS-1B - PTCSIR</v>
      </c>
      <c r="I1185" s="91">
        <v>811.6280153803408</v>
      </c>
      <c r="J1185" s="92">
        <v>23.866481485767189</v>
      </c>
      <c r="K1185" s="92">
        <v>-5.6389362863486916</v>
      </c>
      <c r="L1185" s="92">
        <v>0.19646504640239856</v>
      </c>
      <c r="M1185" s="92">
        <v>-8.496011035621516E-2</v>
      </c>
      <c r="N1185" s="92">
        <v>-2.6007158996255364E-3</v>
      </c>
      <c r="O1185" s="92">
        <v>-5.6928308951735181E-5</v>
      </c>
      <c r="P1185" s="92">
        <v>-7.7482770921342948E-4</v>
      </c>
      <c r="Q1185" s="92">
        <v>-5.5366348442340008E-4</v>
      </c>
      <c r="R1185" s="92">
        <v>-1.3427079137248772E-4</v>
      </c>
      <c r="S1185" s="92">
        <v>-86.105412837396159</v>
      </c>
      <c r="T1185" s="92">
        <v>-5.5344102294058484</v>
      </c>
      <c r="U1185" s="92">
        <v>10.361843796961438</v>
      </c>
      <c r="V1185" s="92">
        <v>-0.18770935025386884</v>
      </c>
      <c r="W1185" s="92">
        <v>0.13725005880971375</v>
      </c>
      <c r="X1185" s="92">
        <v>-0.12574172401784559</v>
      </c>
      <c r="Y1185" s="92">
        <v>-1.8838369030284581E-3</v>
      </c>
      <c r="Z1185" s="92">
        <v>1.1865926398938703E-3</v>
      </c>
      <c r="AA1185" s="92">
        <v>6.2625273942865954E-5</v>
      </c>
      <c r="AB1185" s="92">
        <v>6.2364373527796699E-4</v>
      </c>
      <c r="AC1185" s="119">
        <v>8.4185798675786724E-2</v>
      </c>
      <c r="AD1185" s="119" t="s">
        <v>549</v>
      </c>
      <c r="AE1185" s="120" t="s">
        <v>549</v>
      </c>
      <c r="AF1185" s="119">
        <v>6.1972250532312784E-2</v>
      </c>
      <c r="AG1185" s="119" t="s">
        <v>549</v>
      </c>
      <c r="AH1185" s="120"/>
      <c r="AI1185" s="121"/>
      <c r="AJ1185" s="121"/>
      <c r="AK1185" s="121"/>
      <c r="AL1185" s="121"/>
      <c r="AM1185" s="122"/>
      <c r="AN1185" s="121"/>
      <c r="AP1185" s="87"/>
    </row>
    <row r="1186" spans="1:42">
      <c r="A1186" s="71" t="s">
        <v>126</v>
      </c>
      <c r="B1186" s="72" t="s">
        <v>100</v>
      </c>
      <c r="C1186" s="71" t="s">
        <v>45</v>
      </c>
      <c r="D1186" s="72" t="s">
        <v>109</v>
      </c>
      <c r="E1186" s="71" t="s">
        <v>102</v>
      </c>
      <c r="F1186" s="72" t="s">
        <v>644</v>
      </c>
      <c r="G1186" s="77"/>
      <c r="H1186" s="72" t="str">
        <f t="shared" si="26"/>
        <v>Tecumseh R134a 50 Hz 220V TA1360YGS-1B - PTCSIR</v>
      </c>
      <c r="I1186" s="91">
        <v>1023.6297081984894</v>
      </c>
      <c r="J1186" s="92">
        <v>40.665475715173002</v>
      </c>
      <c r="K1186" s="92">
        <v>-17.803033316960182</v>
      </c>
      <c r="L1186" s="92">
        <v>0.46601106321992364</v>
      </c>
      <c r="M1186" s="92">
        <v>-0.62430546738221593</v>
      </c>
      <c r="N1186" s="92">
        <v>0.12846768659536711</v>
      </c>
      <c r="O1186" s="92">
        <v>1.4524029312986454E-3</v>
      </c>
      <c r="P1186" s="92">
        <v>-4.2597809327321228E-3</v>
      </c>
      <c r="Q1186" s="92">
        <v>3.0826693748667428E-3</v>
      </c>
      <c r="R1186" s="92">
        <v>-3.6191210844189705E-4</v>
      </c>
      <c r="S1186" s="92">
        <v>265.26080638192246</v>
      </c>
      <c r="T1186" s="92">
        <v>6.8877515879308397</v>
      </c>
      <c r="U1186" s="92">
        <v>-7.0068614369261812</v>
      </c>
      <c r="V1186" s="92">
        <v>2.6083311739685516E-2</v>
      </c>
      <c r="W1186" s="92">
        <v>-0.18351723204964016</v>
      </c>
      <c r="X1186" s="92">
        <v>0.13256795034205959</v>
      </c>
      <c r="Y1186" s="92">
        <v>-2.2026096933111728E-4</v>
      </c>
      <c r="Z1186" s="92">
        <v>-7.431842841436353E-4</v>
      </c>
      <c r="AA1186" s="92">
        <v>1.9829031893186539E-3</v>
      </c>
      <c r="AB1186" s="92">
        <v>-6.9076593156618528E-4</v>
      </c>
      <c r="AC1186" s="119">
        <v>0.37133242474294686</v>
      </c>
      <c r="AD1186" s="119" t="s">
        <v>549</v>
      </c>
      <c r="AE1186" s="120" t="s">
        <v>549</v>
      </c>
      <c r="AF1186" s="119">
        <v>5.367184440482823E-2</v>
      </c>
      <c r="AG1186" s="119" t="s">
        <v>549</v>
      </c>
      <c r="AH1186" s="120"/>
      <c r="AI1186" s="121"/>
      <c r="AJ1186" s="121"/>
      <c r="AK1186" s="121"/>
      <c r="AL1186" s="121"/>
      <c r="AM1186" s="122"/>
      <c r="AN1186" s="121"/>
      <c r="AP1186" s="87"/>
    </row>
    <row r="1187" spans="1:42">
      <c r="A1187" s="71" t="s">
        <v>126</v>
      </c>
      <c r="B1187" s="72" t="s">
        <v>100</v>
      </c>
      <c r="C1187" s="71" t="s">
        <v>105</v>
      </c>
      <c r="D1187" s="72" t="s">
        <v>106</v>
      </c>
      <c r="E1187" s="71" t="s">
        <v>102</v>
      </c>
      <c r="F1187" s="72" t="s">
        <v>645</v>
      </c>
      <c r="G1187" s="77"/>
      <c r="H1187" s="72" t="str">
        <f t="shared" si="26"/>
        <v>Tecumseh R134a 60 Hz 127V TA1380YDS-1E - PTCSIR</v>
      </c>
      <c r="I1187" s="91">
        <v>1037.9570468636898</v>
      </c>
      <c r="J1187" s="92">
        <v>43.549620687965984</v>
      </c>
      <c r="K1187" s="92">
        <v>-4.9635180644715451</v>
      </c>
      <c r="L1187" s="92">
        <v>0.65185381282141286</v>
      </c>
      <c r="M1187" s="92">
        <v>-0.34356892562178543</v>
      </c>
      <c r="N1187" s="92">
        <v>-7.3843918386455806E-2</v>
      </c>
      <c r="O1187" s="92">
        <v>3.5113166773706752E-3</v>
      </c>
      <c r="P1187" s="92">
        <v>-4.1708745676330879E-3</v>
      </c>
      <c r="Q1187" s="92">
        <v>3.3510671385607327E-4</v>
      </c>
      <c r="R1187" s="92">
        <v>4.342127239621132E-4</v>
      </c>
      <c r="S1187" s="92">
        <v>204.86695919677507</v>
      </c>
      <c r="T1187" s="92">
        <v>4.8029107680064529</v>
      </c>
      <c r="U1187" s="92">
        <v>-1.2549044604798061</v>
      </c>
      <c r="V1187" s="92">
        <v>0.11498519188158052</v>
      </c>
      <c r="W1187" s="92">
        <v>7.8899671426222034E-3</v>
      </c>
      <c r="X1187" s="92">
        <v>8.8576498561793338E-2</v>
      </c>
      <c r="Y1187" s="92">
        <v>1.3495729160742044E-3</v>
      </c>
      <c r="Z1187" s="92">
        <v>-2.4471699541134116E-4</v>
      </c>
      <c r="AA1187" s="92">
        <v>8.0334412109660182E-4</v>
      </c>
      <c r="AB1187" s="92">
        <v>-6.5446815935566133E-4</v>
      </c>
      <c r="AC1187" s="119">
        <v>3.7724091637434995E-2</v>
      </c>
      <c r="AD1187" s="119" t="s">
        <v>549</v>
      </c>
      <c r="AE1187" s="120" t="s">
        <v>549</v>
      </c>
      <c r="AF1187" s="119">
        <v>4.7006201652683467E-2</v>
      </c>
      <c r="AG1187" s="119" t="s">
        <v>549</v>
      </c>
      <c r="AH1187" s="120"/>
      <c r="AI1187" s="121"/>
      <c r="AJ1187" s="121"/>
      <c r="AK1187" s="121"/>
      <c r="AL1187" s="121"/>
      <c r="AM1187" s="122"/>
      <c r="AN1187" s="121"/>
      <c r="AP1187" s="87"/>
    </row>
    <row r="1188" spans="1:42">
      <c r="A1188" s="71" t="s">
        <v>126</v>
      </c>
      <c r="B1188" s="72" t="s">
        <v>100</v>
      </c>
      <c r="C1188" s="71" t="s">
        <v>105</v>
      </c>
      <c r="D1188" s="72" t="s">
        <v>106</v>
      </c>
      <c r="E1188" s="71" t="s">
        <v>102</v>
      </c>
      <c r="F1188" s="72" t="s">
        <v>646</v>
      </c>
      <c r="G1188" s="77"/>
      <c r="H1188" s="72" t="str">
        <f t="shared" si="26"/>
        <v>Tecumseh R134a 60 Hz 127V TA1380YDS-2E - PTCSCR</v>
      </c>
      <c r="I1188" s="91">
        <v>1013.1247165554533</v>
      </c>
      <c r="J1188" s="92">
        <v>41.665838642579452</v>
      </c>
      <c r="K1188" s="92">
        <v>-4.373946203280231</v>
      </c>
      <c r="L1188" s="92">
        <v>0.64679978561286122</v>
      </c>
      <c r="M1188" s="92">
        <v>-0.26500527649233008</v>
      </c>
      <c r="N1188" s="92">
        <v>-6.260020838314477E-2</v>
      </c>
      <c r="O1188" s="92">
        <v>3.6602458505528997E-3</v>
      </c>
      <c r="P1188" s="92">
        <v>-3.7835447674112576E-3</v>
      </c>
      <c r="Q1188" s="92">
        <v>-2.5902555793165972E-4</v>
      </c>
      <c r="R1188" s="92">
        <v>2.3255346307932197E-4</v>
      </c>
      <c r="S1188" s="92">
        <v>121.90569333216091</v>
      </c>
      <c r="T1188" s="92">
        <v>4.2717983227741039</v>
      </c>
      <c r="U1188" s="92">
        <v>3.5105108559833726</v>
      </c>
      <c r="V1188" s="92">
        <v>7.9503987635256596E-2</v>
      </c>
      <c r="W1188" s="92">
        <v>-6.1628832431708316E-3</v>
      </c>
      <c r="X1188" s="92">
        <v>-1.5311814786672576E-2</v>
      </c>
      <c r="Y1188" s="92">
        <v>8.1302208521429476E-4</v>
      </c>
      <c r="Z1188" s="92">
        <v>-3.3620313270381802E-4</v>
      </c>
      <c r="AA1188" s="92">
        <v>8.2739268304989457E-4</v>
      </c>
      <c r="AB1188" s="92">
        <v>5.0227269529486036E-5</v>
      </c>
      <c r="AC1188" s="119">
        <v>6.7763223550445617E-2</v>
      </c>
      <c r="AD1188" s="119" t="s">
        <v>549</v>
      </c>
      <c r="AE1188" s="120" t="s">
        <v>549</v>
      </c>
      <c r="AF1188" s="119">
        <v>5.0363651165336872E-2</v>
      </c>
      <c r="AG1188" s="119" t="s">
        <v>549</v>
      </c>
      <c r="AH1188" s="120"/>
      <c r="AI1188" s="121"/>
      <c r="AJ1188" s="121"/>
      <c r="AK1188" s="121"/>
      <c r="AL1188" s="121"/>
      <c r="AM1188" s="122"/>
      <c r="AN1188" s="121"/>
      <c r="AP1188" s="87"/>
    </row>
    <row r="1189" spans="1:42">
      <c r="A1189" s="71" t="s">
        <v>126</v>
      </c>
      <c r="B1189" s="72" t="s">
        <v>100</v>
      </c>
      <c r="C1189" s="71" t="s">
        <v>105</v>
      </c>
      <c r="D1189" s="72" t="s">
        <v>109</v>
      </c>
      <c r="E1189" s="71" t="s">
        <v>102</v>
      </c>
      <c r="F1189" s="72" t="s">
        <v>647</v>
      </c>
      <c r="G1189" s="77"/>
      <c r="H1189" s="72" t="str">
        <f t="shared" si="26"/>
        <v>Tecumseh R134a 60 Hz 220V TA1380YGS-1E - PTCSIR</v>
      </c>
      <c r="I1189" s="91">
        <v>1019.0398285884733</v>
      </c>
      <c r="J1189" s="92">
        <v>37.823790319614773</v>
      </c>
      <c r="K1189" s="92">
        <v>-7.4647087307264917</v>
      </c>
      <c r="L1189" s="92">
        <v>0.61803591115675194</v>
      </c>
      <c r="M1189" s="92">
        <v>-0.13326206506247715</v>
      </c>
      <c r="N1189" s="92">
        <v>3.5831694496794894E-2</v>
      </c>
      <c r="O1189" s="92">
        <v>3.803412463722948E-3</v>
      </c>
      <c r="P1189" s="92">
        <v>-2.7946202840439093E-3</v>
      </c>
      <c r="Q1189" s="92">
        <v>-1.100171757792466E-3</v>
      </c>
      <c r="R1189" s="92">
        <v>-5.4445384140041362E-4</v>
      </c>
      <c r="S1189" s="92">
        <v>111.72806874827462</v>
      </c>
      <c r="T1189" s="92">
        <v>1.9441602522424115</v>
      </c>
      <c r="U1189" s="92">
        <v>3.3105602447246021</v>
      </c>
      <c r="V1189" s="92">
        <v>5.1791593761695003E-2</v>
      </c>
      <c r="W1189" s="92">
        <v>7.5809831320769613E-2</v>
      </c>
      <c r="X1189" s="92">
        <v>6.6908091692170256E-3</v>
      </c>
      <c r="Y1189" s="92">
        <v>8.4448702042256543E-4</v>
      </c>
      <c r="Z1189" s="92">
        <v>4.0605436378201047E-4</v>
      </c>
      <c r="AA1189" s="92">
        <v>3.7223796100972409E-4</v>
      </c>
      <c r="AB1189" s="92">
        <v>-1.3883267830904443E-4</v>
      </c>
      <c r="AC1189" s="119">
        <v>0.35970865188042495</v>
      </c>
      <c r="AD1189" s="119" t="s">
        <v>549</v>
      </c>
      <c r="AE1189" s="120" t="s">
        <v>549</v>
      </c>
      <c r="AF1189" s="119">
        <v>3.7520573803447137E-2</v>
      </c>
      <c r="AG1189" s="119" t="s">
        <v>549</v>
      </c>
      <c r="AH1189" s="120"/>
      <c r="AI1189" s="121"/>
      <c r="AJ1189" s="121"/>
      <c r="AK1189" s="121"/>
      <c r="AL1189" s="121"/>
      <c r="AM1189" s="122"/>
      <c r="AN1189" s="121"/>
      <c r="AP1189" s="87"/>
    </row>
    <row r="1190" spans="1:42">
      <c r="A1190" s="71" t="s">
        <v>126</v>
      </c>
      <c r="B1190" s="72" t="s">
        <v>100</v>
      </c>
      <c r="C1190" s="71" t="s">
        <v>45</v>
      </c>
      <c r="D1190" s="72" t="s">
        <v>109</v>
      </c>
      <c r="E1190" s="71" t="s">
        <v>102</v>
      </c>
      <c r="F1190" s="72" t="s">
        <v>647</v>
      </c>
      <c r="G1190" s="77"/>
      <c r="H1190" s="72" t="str">
        <f t="shared" si="26"/>
        <v>Tecumseh R134a 50 Hz 220V TA1380YGS-1E - PTCSIR</v>
      </c>
      <c r="I1190" s="91">
        <v>1316.5248600692869</v>
      </c>
      <c r="J1190" s="92">
        <v>53.412107256394464</v>
      </c>
      <c r="K1190" s="92">
        <v>-23.048569447889985</v>
      </c>
      <c r="L1190" s="92">
        <v>0.73876498927314027</v>
      </c>
      <c r="M1190" s="92">
        <v>-0.71105059103842294</v>
      </c>
      <c r="N1190" s="92">
        <v>0.19447137037527076</v>
      </c>
      <c r="O1190" s="92">
        <v>2.010675503375282E-3</v>
      </c>
      <c r="P1190" s="92">
        <v>-8.0727492817620379E-3</v>
      </c>
      <c r="Q1190" s="92">
        <v>1.6324916593495351E-3</v>
      </c>
      <c r="R1190" s="92">
        <v>-1.010234037372519E-3</v>
      </c>
      <c r="S1190" s="92">
        <v>300.04973400331454</v>
      </c>
      <c r="T1190" s="92">
        <v>7.5056327131238119</v>
      </c>
      <c r="U1190" s="92">
        <v>-5.9641350133213535</v>
      </c>
      <c r="V1190" s="92">
        <v>9.5663843266245177E-2</v>
      </c>
      <c r="W1190" s="92">
        <v>-9.2150241775585298E-2</v>
      </c>
      <c r="X1190" s="92">
        <v>0.12534069665963274</v>
      </c>
      <c r="Y1190" s="92">
        <v>-1.4622939322630053E-4</v>
      </c>
      <c r="Z1190" s="92">
        <v>-1.8017241001874176E-3</v>
      </c>
      <c r="AA1190" s="92">
        <v>4.089821532216905E-4</v>
      </c>
      <c r="AB1190" s="92">
        <v>-8.1465837049866734E-4</v>
      </c>
      <c r="AC1190" s="119">
        <v>0.12704681026139275</v>
      </c>
      <c r="AD1190" s="119" t="s">
        <v>549</v>
      </c>
      <c r="AE1190" s="120" t="s">
        <v>549</v>
      </c>
      <c r="AF1190" s="119">
        <v>4.2765886054246437E-2</v>
      </c>
      <c r="AG1190" s="119" t="s">
        <v>549</v>
      </c>
      <c r="AH1190" s="120"/>
      <c r="AI1190" s="121"/>
      <c r="AJ1190" s="121"/>
      <c r="AK1190" s="121"/>
      <c r="AL1190" s="121"/>
      <c r="AM1190" s="122"/>
      <c r="AN1190" s="121"/>
      <c r="AP1190" s="87"/>
    </row>
    <row r="1191" spans="1:42">
      <c r="A1191" s="71" t="s">
        <v>126</v>
      </c>
      <c r="B1191" s="72" t="s">
        <v>100</v>
      </c>
      <c r="C1191" s="71" t="s">
        <v>105</v>
      </c>
      <c r="D1191" s="72" t="s">
        <v>109</v>
      </c>
      <c r="E1191" s="71" t="s">
        <v>102</v>
      </c>
      <c r="F1191" s="72" t="s">
        <v>648</v>
      </c>
      <c r="G1191" s="77"/>
      <c r="H1191" s="72" t="str">
        <f t="shared" si="26"/>
        <v>Tecumseh R134a 60 Hz 220V TA1380YGS-2E - PTCSCR</v>
      </c>
      <c r="I1191" s="91">
        <v>1051.6847544226273</v>
      </c>
      <c r="J1191" s="92">
        <v>39.399252369469686</v>
      </c>
      <c r="K1191" s="92">
        <v>-8.573209756623891</v>
      </c>
      <c r="L1191" s="92">
        <v>0.62482237015103625</v>
      </c>
      <c r="M1191" s="92">
        <v>-0.18222163962494745</v>
      </c>
      <c r="N1191" s="92">
        <v>4.7409286120095033E-2</v>
      </c>
      <c r="O1191" s="92">
        <v>3.5741913493966622E-3</v>
      </c>
      <c r="P1191" s="92">
        <v>-3.2518838909245738E-3</v>
      </c>
      <c r="Q1191" s="92">
        <v>-8.651613736370121E-4</v>
      </c>
      <c r="R1191" s="92">
        <v>-5.9438853671899439E-4</v>
      </c>
      <c r="S1191" s="92">
        <v>42.641150792916946</v>
      </c>
      <c r="T1191" s="92">
        <v>1.6497785152484195</v>
      </c>
      <c r="U1191" s="92">
        <v>7.320214823410101</v>
      </c>
      <c r="V1191" s="92">
        <v>6.4350214740038075E-2</v>
      </c>
      <c r="W1191" s="92">
        <v>0.10158960565812938</v>
      </c>
      <c r="X1191" s="92">
        <v>-7.0907668251372444E-2</v>
      </c>
      <c r="Y1191" s="92">
        <v>9.1519602203581226E-4</v>
      </c>
      <c r="Z1191" s="92">
        <v>2.624072707659357E-4</v>
      </c>
      <c r="AA1191" s="92">
        <v>-1.8691356396909554E-5</v>
      </c>
      <c r="AB1191" s="92">
        <v>3.1830418752559238E-4</v>
      </c>
      <c r="AC1191" s="119">
        <v>8.8249420254560104E-2</v>
      </c>
      <c r="AD1191" s="119" t="s">
        <v>549</v>
      </c>
      <c r="AE1191" s="120" t="s">
        <v>549</v>
      </c>
      <c r="AF1191" s="119">
        <v>7.550317242161228E-2</v>
      </c>
      <c r="AG1191" s="119" t="s">
        <v>549</v>
      </c>
      <c r="AH1191" s="120"/>
      <c r="AI1191" s="121"/>
      <c r="AJ1191" s="121"/>
      <c r="AK1191" s="121"/>
      <c r="AL1191" s="121"/>
      <c r="AM1191" s="122"/>
      <c r="AN1191" s="121"/>
      <c r="AP1191" s="87"/>
    </row>
    <row r="1192" spans="1:42">
      <c r="A1192" s="71" t="s">
        <v>126</v>
      </c>
      <c r="B1192" s="72" t="s">
        <v>100</v>
      </c>
      <c r="C1192" s="71" t="s">
        <v>45</v>
      </c>
      <c r="D1192" s="72" t="s">
        <v>109</v>
      </c>
      <c r="E1192" s="71" t="s">
        <v>102</v>
      </c>
      <c r="F1192" s="72" t="s">
        <v>648</v>
      </c>
      <c r="G1192" s="77"/>
      <c r="H1192" s="72" t="str">
        <f t="shared" si="26"/>
        <v>Tecumseh R134a 50 Hz 220V TA1380YGS-2E - PTCSCR</v>
      </c>
      <c r="I1192" s="91">
        <v>1398.7523845741891</v>
      </c>
      <c r="J1192" s="92">
        <v>51.574331482929985</v>
      </c>
      <c r="K1192" s="92">
        <v>-29.100479365401927</v>
      </c>
      <c r="L1192" s="92">
        <v>0.67526971794053614</v>
      </c>
      <c r="M1192" s="92">
        <v>-0.70000347098893323</v>
      </c>
      <c r="N1192" s="92">
        <v>0.32168666280517705</v>
      </c>
      <c r="O1192" s="92">
        <v>1.4279616587004795E-3</v>
      </c>
      <c r="P1192" s="92">
        <v>-7.5827853325557268E-3</v>
      </c>
      <c r="Q1192" s="92">
        <v>1.8217836722074919E-3</v>
      </c>
      <c r="R1192" s="92">
        <v>-1.8308381642264788E-3</v>
      </c>
      <c r="S1192" s="92">
        <v>305.24943302593664</v>
      </c>
      <c r="T1192" s="92">
        <v>6.7726324056933755</v>
      </c>
      <c r="U1192" s="92">
        <v>-7.1657231868229463</v>
      </c>
      <c r="V1192" s="92">
        <v>6.3086661432115512E-2</v>
      </c>
      <c r="W1192" s="92">
        <v>-0.10104500099924205</v>
      </c>
      <c r="X1192" s="92">
        <v>0.14891004820088558</v>
      </c>
      <c r="Y1192" s="92">
        <v>-5.9198061545663182E-4</v>
      </c>
      <c r="Z1192" s="92">
        <v>-1.8337731897398843E-3</v>
      </c>
      <c r="AA1192" s="92">
        <v>4.8990587018037113E-4</v>
      </c>
      <c r="AB1192" s="92">
        <v>-9.6989582037607461E-4</v>
      </c>
      <c r="AC1192" s="119">
        <v>6.0620133812988919E-2</v>
      </c>
      <c r="AD1192" s="119" t="s">
        <v>549</v>
      </c>
      <c r="AE1192" s="120" t="s">
        <v>549</v>
      </c>
      <c r="AF1192" s="119">
        <v>8.347564680262283E-2</v>
      </c>
      <c r="AG1192" s="119" t="s">
        <v>549</v>
      </c>
      <c r="AH1192" s="120"/>
      <c r="AI1192" s="121"/>
      <c r="AJ1192" s="121"/>
      <c r="AK1192" s="121"/>
      <c r="AL1192" s="121"/>
      <c r="AM1192" s="122"/>
      <c r="AN1192" s="121"/>
      <c r="AP1192" s="87"/>
    </row>
    <row r="1193" spans="1:42">
      <c r="A1193" s="71" t="s">
        <v>126</v>
      </c>
      <c r="B1193" s="72" t="s">
        <v>100</v>
      </c>
      <c r="C1193" s="71" t="s">
        <v>45</v>
      </c>
      <c r="D1193" s="72" t="s">
        <v>109</v>
      </c>
      <c r="E1193" s="71" t="s">
        <v>102</v>
      </c>
      <c r="F1193" s="72" t="s">
        <v>649</v>
      </c>
      <c r="G1193" s="77"/>
      <c r="H1193" s="72" t="str">
        <f t="shared" si="26"/>
        <v>Tecumseh R134a 50 Hz 220V TA1390Y-FZ3C - PTCSCR</v>
      </c>
      <c r="I1193" s="91">
        <v>1084.3106019996228</v>
      </c>
      <c r="J1193" s="92">
        <v>45.661734814575212</v>
      </c>
      <c r="K1193" s="92">
        <v>-7.7869528879832348</v>
      </c>
      <c r="L1193" s="92">
        <v>1.0618142493456859</v>
      </c>
      <c r="M1193" s="92">
        <v>-3.9644978833749456E-2</v>
      </c>
      <c r="N1193" s="92">
        <v>2.7076288140223458E-2</v>
      </c>
      <c r="O1193" s="92">
        <v>1.0252489152393142E-2</v>
      </c>
      <c r="P1193" s="92">
        <v>-2.3086622387506871E-3</v>
      </c>
      <c r="Q1193" s="92">
        <v>-2.2319961199285128E-3</v>
      </c>
      <c r="R1193" s="92">
        <v>-5.1000508072655837E-4</v>
      </c>
      <c r="S1193" s="92">
        <v>53.064802213887518</v>
      </c>
      <c r="T1193" s="92">
        <v>-2.6086399235585569</v>
      </c>
      <c r="U1193" s="92">
        <v>5.2223811397678634</v>
      </c>
      <c r="V1193" s="92">
        <v>5.7968711969168363E-2</v>
      </c>
      <c r="W1193" s="92">
        <v>0.29396048585199186</v>
      </c>
      <c r="X1193" s="92">
        <v>-4.2952463537890232E-3</v>
      </c>
      <c r="Y1193" s="92">
        <v>2.0933414260818619E-3</v>
      </c>
      <c r="Z1193" s="92">
        <v>2.4788830490677359E-3</v>
      </c>
      <c r="AA1193" s="92">
        <v>-1.13141332310079E-3</v>
      </c>
      <c r="AB1193" s="92">
        <v>-2.4513503430233094E-4</v>
      </c>
      <c r="AC1193" s="119">
        <v>0.21397798138905763</v>
      </c>
      <c r="AD1193" s="119">
        <v>8.2480476921890862</v>
      </c>
      <c r="AE1193" s="120">
        <v>1.0871304792669288E-2</v>
      </c>
      <c r="AF1193" s="119">
        <v>0.10682999309878657</v>
      </c>
      <c r="AG1193" s="119">
        <v>4.2708219232441103</v>
      </c>
      <c r="AH1193" s="120">
        <v>6.1696472674567307E-3</v>
      </c>
      <c r="AI1193" s="121">
        <v>-34.4</v>
      </c>
      <c r="AJ1193" s="121">
        <v>-12.2</v>
      </c>
      <c r="AK1193" s="121">
        <v>37.799999999999997</v>
      </c>
      <c r="AL1193" s="121">
        <v>60</v>
      </c>
      <c r="AM1193" s="122">
        <v>42395</v>
      </c>
      <c r="AN1193" s="121" t="s">
        <v>481</v>
      </c>
      <c r="AP1193" s="87"/>
    </row>
    <row r="1194" spans="1:42">
      <c r="A1194" s="71" t="s">
        <v>126</v>
      </c>
      <c r="B1194" s="72" t="s">
        <v>100</v>
      </c>
      <c r="C1194" s="71" t="s">
        <v>105</v>
      </c>
      <c r="D1194" s="72" t="s">
        <v>106</v>
      </c>
      <c r="E1194" s="71" t="s">
        <v>102</v>
      </c>
      <c r="F1194" s="72" t="s">
        <v>650</v>
      </c>
      <c r="G1194" s="77"/>
      <c r="H1194" s="72" t="str">
        <f t="shared" si="26"/>
        <v>Tecumseh R134a 60 Hz 127V TA²1360Y-DS1G - PTCSIR</v>
      </c>
      <c r="I1194" s="91">
        <v>1207.3595647390039</v>
      </c>
      <c r="J1194" s="92">
        <v>35.996748464830823</v>
      </c>
      <c r="K1194" s="92">
        <v>-25.533633279139647</v>
      </c>
      <c r="L1194" s="92">
        <v>0.35772197192441235</v>
      </c>
      <c r="M1194" s="92">
        <v>-0.3702199143962438</v>
      </c>
      <c r="N1194" s="92">
        <v>0.35006779325378823</v>
      </c>
      <c r="O1194" s="92">
        <v>6.4652893212700942E-4</v>
      </c>
      <c r="P1194" s="92">
        <v>-1.8088242601050821E-3</v>
      </c>
      <c r="Q1194" s="92">
        <v>1.5868437384423772E-3</v>
      </c>
      <c r="R1194" s="92">
        <v>-2.2272949701273642E-3</v>
      </c>
      <c r="S1194" s="92">
        <v>136.7984660863446</v>
      </c>
      <c r="T1194" s="92">
        <v>-1.8059467236472431</v>
      </c>
      <c r="U1194" s="92">
        <v>-0.3226523083867211</v>
      </c>
      <c r="V1194" s="92">
        <v>-0.10984574715611427</v>
      </c>
      <c r="W1194" s="92">
        <v>0.10715244351490485</v>
      </c>
      <c r="X1194" s="92">
        <v>6.8018966635472786E-2</v>
      </c>
      <c r="Y1194" s="92">
        <v>-6.4996799598362846E-4</v>
      </c>
      <c r="Z1194" s="92">
        <v>2.080115564142965E-3</v>
      </c>
      <c r="AA1194" s="92">
        <v>4.2390969901395727E-4</v>
      </c>
      <c r="AB1194" s="92">
        <v>-5.2808273473856256E-4</v>
      </c>
      <c r="AC1194" s="119">
        <v>8.9919301726370346E-2</v>
      </c>
      <c r="AD1194" s="119">
        <v>3.4241463601885722</v>
      </c>
      <c r="AE1194" s="120">
        <v>1.0852914715315515E-2</v>
      </c>
      <c r="AF1194" s="119">
        <v>3.7776732545722808E-3</v>
      </c>
      <c r="AG1194" s="119">
        <v>0.19606701253719519</v>
      </c>
      <c r="AH1194" s="120">
        <v>1.3756248848876408E-3</v>
      </c>
      <c r="AI1194" s="121">
        <v>-40</v>
      </c>
      <c r="AJ1194" s="121">
        <v>-10</v>
      </c>
      <c r="AK1194" s="121">
        <v>37.799999999999997</v>
      </c>
      <c r="AL1194" s="121">
        <v>60</v>
      </c>
      <c r="AM1194" s="122">
        <v>42562</v>
      </c>
      <c r="AN1194" s="121" t="s">
        <v>481</v>
      </c>
      <c r="AP1194" s="87"/>
    </row>
    <row r="1195" spans="1:42">
      <c r="A1195" s="71" t="s">
        <v>126</v>
      </c>
      <c r="B1195" s="72" t="s">
        <v>100</v>
      </c>
      <c r="C1195" s="71" t="s">
        <v>105</v>
      </c>
      <c r="D1195" s="72" t="s">
        <v>106</v>
      </c>
      <c r="E1195" s="71" t="s">
        <v>102</v>
      </c>
      <c r="F1195" s="72" t="s">
        <v>651</v>
      </c>
      <c r="G1195" s="77"/>
      <c r="H1195" s="72" t="str">
        <f t="shared" si="26"/>
        <v>Tecumseh R134a 60 Hz 127V TA²1360Y-DS1H - PTCSIR</v>
      </c>
      <c r="I1195" s="91">
        <v>736.8114948263177</v>
      </c>
      <c r="J1195" s="92">
        <v>7.8301971845891831</v>
      </c>
      <c r="K1195" s="92">
        <v>-10.316513888405586</v>
      </c>
      <c r="L1195" s="92">
        <v>-0.35859067412938816</v>
      </c>
      <c r="M1195" s="92">
        <v>5.8718161000580998E-2</v>
      </c>
      <c r="N1195" s="92">
        <v>0.14982907637014301</v>
      </c>
      <c r="O1195" s="92">
        <v>-5.4375196949106456E-3</v>
      </c>
      <c r="P1195" s="92">
        <v>3.4913919603221026E-3</v>
      </c>
      <c r="Q1195" s="92">
        <v>8.9185043635334787E-5</v>
      </c>
      <c r="R1195" s="92">
        <v>-1.1534937592991344E-3</v>
      </c>
      <c r="S1195" s="92">
        <v>85.778556586814716</v>
      </c>
      <c r="T1195" s="92">
        <v>-12.333053976113211</v>
      </c>
      <c r="U1195" s="92">
        <v>-3.0778732145209307</v>
      </c>
      <c r="V1195" s="92">
        <v>-0.4765527197761088</v>
      </c>
      <c r="W1195" s="92">
        <v>0.176919335426098</v>
      </c>
      <c r="X1195" s="92">
        <v>0.15491259413800859</v>
      </c>
      <c r="Y1195" s="92">
        <v>-4.619260325053982E-3</v>
      </c>
      <c r="Z1195" s="92">
        <v>3.7056610973052063E-3</v>
      </c>
      <c r="AA1195" s="92">
        <v>7.6072615141835993E-4</v>
      </c>
      <c r="AB1195" s="92">
        <v>-1.1187900442380565E-3</v>
      </c>
      <c r="AC1195" s="119">
        <v>8.5733400955778319E-2</v>
      </c>
      <c r="AD1195" s="119">
        <v>3.231678400142084</v>
      </c>
      <c r="AE1195" s="120">
        <v>9.041013354006049E-3</v>
      </c>
      <c r="AF1195" s="119">
        <v>4.4017133550678159E-4</v>
      </c>
      <c r="AG1195" s="119">
        <v>1.731285850401475E-2</v>
      </c>
      <c r="AH1195" s="120">
        <v>5.0887219527891701E-4</v>
      </c>
      <c r="AI1195" s="121">
        <v>-34.4</v>
      </c>
      <c r="AJ1195" s="121">
        <v>-12.2</v>
      </c>
      <c r="AK1195" s="121">
        <v>37.799999999999997</v>
      </c>
      <c r="AL1195" s="121">
        <v>60</v>
      </c>
      <c r="AM1195" s="122">
        <v>42117</v>
      </c>
      <c r="AN1195" s="121" t="s">
        <v>481</v>
      </c>
      <c r="AP1195" s="87"/>
    </row>
    <row r="1196" spans="1:42">
      <c r="A1196" s="71" t="s">
        <v>126</v>
      </c>
      <c r="B1196" s="72" t="s">
        <v>100</v>
      </c>
      <c r="C1196" s="71" t="s">
        <v>45</v>
      </c>
      <c r="D1196" s="72" t="s">
        <v>109</v>
      </c>
      <c r="E1196" s="71" t="s">
        <v>102</v>
      </c>
      <c r="F1196" s="72" t="s">
        <v>652</v>
      </c>
      <c r="G1196" s="77"/>
      <c r="H1196" s="72" t="str">
        <f t="shared" si="26"/>
        <v>Tecumseh R134a 50 Hz 220V TA²1360Y-GS1H - PTCSIR</v>
      </c>
      <c r="I1196" s="91">
        <v>827.65090986772691</v>
      </c>
      <c r="J1196" s="92">
        <v>37.454075150688645</v>
      </c>
      <c r="K1196" s="92">
        <v>-6.9754209000849423</v>
      </c>
      <c r="L1196" s="92">
        <v>0.47280224287341727</v>
      </c>
      <c r="M1196" s="92">
        <v>-0.45949036930693365</v>
      </c>
      <c r="N1196" s="92">
        <v>-5.2238844322178714E-2</v>
      </c>
      <c r="O1196" s="92">
        <v>1.5447063738969137E-3</v>
      </c>
      <c r="P1196" s="92">
        <v>-3.7751637482024377E-3</v>
      </c>
      <c r="Q1196" s="92">
        <v>1.5421599274778634E-3</v>
      </c>
      <c r="R1196" s="92">
        <v>6.0631396903161909E-4</v>
      </c>
      <c r="S1196" s="92">
        <v>122.90099303848278</v>
      </c>
      <c r="T1196" s="92">
        <v>1.7242360613052106</v>
      </c>
      <c r="U1196" s="92">
        <v>0.83415102298585164</v>
      </c>
      <c r="V1196" s="92">
        <v>-1.6357333600673797E-2</v>
      </c>
      <c r="W1196" s="92">
        <v>1.6209739549546746E-2</v>
      </c>
      <c r="X1196" s="92">
        <v>5.9389089988522237E-3</v>
      </c>
      <c r="Y1196" s="92">
        <v>-1.9543233601790051E-4</v>
      </c>
      <c r="Z1196" s="92">
        <v>5.7204362452756589E-4</v>
      </c>
      <c r="AA1196" s="92">
        <v>4.2749142578264808E-4</v>
      </c>
      <c r="AB1196" s="92">
        <v>-1.2952527214974703E-5</v>
      </c>
      <c r="AC1196" s="119">
        <v>6.0214485712810295E-2</v>
      </c>
      <c r="AD1196" s="119">
        <v>2.1188616717214983</v>
      </c>
      <c r="AE1196" s="120">
        <v>1.020869706874023E-2</v>
      </c>
      <c r="AF1196" s="119">
        <v>2.1619629075576526E-3</v>
      </c>
      <c r="AG1196" s="119">
        <v>7.9123820893517299E-2</v>
      </c>
      <c r="AH1196" s="120">
        <v>9.4870762192623016E-4</v>
      </c>
      <c r="AI1196" s="121">
        <v>-40</v>
      </c>
      <c r="AJ1196" s="121">
        <v>-10</v>
      </c>
      <c r="AK1196" s="121">
        <v>37.799999999999997</v>
      </c>
      <c r="AL1196" s="121">
        <v>60</v>
      </c>
      <c r="AM1196" s="122">
        <v>42562</v>
      </c>
      <c r="AN1196" s="121" t="s">
        <v>481</v>
      </c>
      <c r="AP1196" s="87"/>
    </row>
    <row r="1197" spans="1:42">
      <c r="A1197" s="71" t="s">
        <v>126</v>
      </c>
      <c r="B1197" s="72" t="s">
        <v>100</v>
      </c>
      <c r="C1197" s="71" t="s">
        <v>105</v>
      </c>
      <c r="D1197" s="72" t="s">
        <v>109</v>
      </c>
      <c r="E1197" s="71" t="s">
        <v>102</v>
      </c>
      <c r="F1197" s="72" t="s">
        <v>652</v>
      </c>
      <c r="G1197" s="77"/>
      <c r="H1197" s="72" t="str">
        <f t="shared" si="26"/>
        <v>Tecumseh R134a 60 Hz 220V TA²1360Y-GS1H - PTCSIR</v>
      </c>
      <c r="I1197" s="91">
        <v>425.42525077780948</v>
      </c>
      <c r="J1197" s="92">
        <v>-6.3098977222455934</v>
      </c>
      <c r="K1197" s="92">
        <v>-2.0366375006388404</v>
      </c>
      <c r="L1197" s="92">
        <v>-0.55304402215921222</v>
      </c>
      <c r="M1197" s="92">
        <v>0.34517231824262268</v>
      </c>
      <c r="N1197" s="92">
        <v>9.3452260009707702E-2</v>
      </c>
      <c r="O1197" s="92">
        <v>-6.4088447188827766E-3</v>
      </c>
      <c r="P1197" s="92">
        <v>5.2993077228264702E-3</v>
      </c>
      <c r="Q1197" s="92">
        <v>-1.4977938855219382E-3</v>
      </c>
      <c r="R1197" s="92">
        <v>-1.2002737126571622E-3</v>
      </c>
      <c r="S1197" s="92">
        <v>16.498829747053048</v>
      </c>
      <c r="T1197" s="92">
        <v>-15.675468878477691</v>
      </c>
      <c r="U1197" s="92">
        <v>-1.8966396296668506</v>
      </c>
      <c r="V1197" s="92">
        <v>-0.45062781013819303</v>
      </c>
      <c r="W1197" s="92">
        <v>0.30392040424488276</v>
      </c>
      <c r="X1197" s="92">
        <v>0.17681235761687905</v>
      </c>
      <c r="Y1197" s="92">
        <v>-3.9331349658813641E-3</v>
      </c>
      <c r="Z1197" s="92">
        <v>3.9239971203781773E-3</v>
      </c>
      <c r="AA1197" s="92">
        <v>-3.8876675273973157E-4</v>
      </c>
      <c r="AB1197" s="92">
        <v>-1.5391642802777927E-3</v>
      </c>
      <c r="AC1197" s="119">
        <v>0.22985639465691687</v>
      </c>
      <c r="AD1197" s="119">
        <v>12.532022643849924</v>
      </c>
      <c r="AE1197" s="120">
        <v>1.6161364538255282E-2</v>
      </c>
      <c r="AF1197" s="119">
        <v>2.7155064735970512E-3</v>
      </c>
      <c r="AG1197" s="119">
        <v>0.11035912339645593</v>
      </c>
      <c r="AH1197" s="120">
        <v>1.1450124862201619E-3</v>
      </c>
      <c r="AI1197" s="121">
        <v>-40</v>
      </c>
      <c r="AJ1197" s="121">
        <v>-10</v>
      </c>
      <c r="AK1197" s="121">
        <v>37.799999999999997</v>
      </c>
      <c r="AL1197" s="121">
        <v>60</v>
      </c>
      <c r="AM1197" s="122">
        <v>42562</v>
      </c>
      <c r="AN1197" s="121" t="s">
        <v>481</v>
      </c>
      <c r="AP1197" s="87"/>
    </row>
    <row r="1198" spans="1:42">
      <c r="A1198" s="71" t="s">
        <v>126</v>
      </c>
      <c r="B1198" s="72" t="s">
        <v>100</v>
      </c>
      <c r="C1198" s="71" t="s">
        <v>105</v>
      </c>
      <c r="D1198" s="72" t="s">
        <v>106</v>
      </c>
      <c r="E1198" s="71" t="s">
        <v>102</v>
      </c>
      <c r="F1198" s="72" t="s">
        <v>653</v>
      </c>
      <c r="G1198" s="77"/>
      <c r="H1198" s="72" t="str">
        <f t="shared" si="26"/>
        <v>Tecumseh R134a 60 Hz 127V TA²1380Y-DS1H - PTCSIR</v>
      </c>
      <c r="I1198" s="91">
        <v>875.22990833562642</v>
      </c>
      <c r="J1198" s="92">
        <v>26.303782502010492</v>
      </c>
      <c r="K1198" s="92">
        <v>-4.4904288947765547</v>
      </c>
      <c r="L1198" s="92">
        <v>0.22117967275962605</v>
      </c>
      <c r="M1198" s="92">
        <v>-5.3077309455529159E-2</v>
      </c>
      <c r="N1198" s="92">
        <v>-7.1445251129745721E-3</v>
      </c>
      <c r="O1198" s="92">
        <v>5.491303769591863E-4</v>
      </c>
      <c r="P1198" s="92">
        <v>6.7278188638833394E-4</v>
      </c>
      <c r="Q1198" s="92">
        <v>-3.0932700434564871E-4</v>
      </c>
      <c r="R1198" s="92">
        <v>-1.1872242989023893E-4</v>
      </c>
      <c r="S1198" s="92">
        <v>59.279151843315802</v>
      </c>
      <c r="T1198" s="92">
        <v>-5.247422121755573</v>
      </c>
      <c r="U1198" s="92">
        <v>3.9442112910320493</v>
      </c>
      <c r="V1198" s="92">
        <v>-0.18918727710215261</v>
      </c>
      <c r="W1198" s="92">
        <v>0.17662523811921832</v>
      </c>
      <c r="X1198" s="92">
        <v>1.3454800713608578E-2</v>
      </c>
      <c r="Y1198" s="92">
        <v>-1.2772142702307122E-3</v>
      </c>
      <c r="Z1198" s="92">
        <v>2.6920026871666207E-3</v>
      </c>
      <c r="AA1198" s="92">
        <v>3.2822623556188823E-4</v>
      </c>
      <c r="AB1198" s="92">
        <v>-1.7854103323708664E-4</v>
      </c>
      <c r="AC1198" s="119">
        <v>0.12734040437379093</v>
      </c>
      <c r="AD1198" s="119">
        <v>4.9468768444480391</v>
      </c>
      <c r="AE1198" s="120">
        <v>8.0677675507660959E-3</v>
      </c>
      <c r="AF1198" s="119">
        <v>5.9326627517822363E-3</v>
      </c>
      <c r="AG1198" s="119">
        <v>0.2609094391579298</v>
      </c>
      <c r="AH1198" s="120">
        <v>1.3491183226051024E-3</v>
      </c>
      <c r="AI1198" s="121">
        <v>-40</v>
      </c>
      <c r="AJ1198" s="121">
        <v>-10</v>
      </c>
      <c r="AK1198" s="121">
        <v>37.799999999999997</v>
      </c>
      <c r="AL1198" s="121">
        <v>60</v>
      </c>
      <c r="AM1198" s="122">
        <v>42562</v>
      </c>
      <c r="AN1198" s="121" t="s">
        <v>481</v>
      </c>
      <c r="AP1198" s="87"/>
    </row>
    <row r="1199" spans="1:42">
      <c r="A1199" s="71" t="s">
        <v>126</v>
      </c>
      <c r="B1199" s="72" t="s">
        <v>100</v>
      </c>
      <c r="C1199" s="71" t="s">
        <v>45</v>
      </c>
      <c r="D1199" s="72" t="s">
        <v>109</v>
      </c>
      <c r="E1199" s="71" t="s">
        <v>102</v>
      </c>
      <c r="F1199" s="72" t="s">
        <v>654</v>
      </c>
      <c r="G1199" s="77"/>
      <c r="H1199" s="72" t="str">
        <f t="shared" ref="H1199:H1230" si="27">CONCATENATE(A1199," ",B1199," ",C1199," ",D1199," ",F1199)</f>
        <v>Tecumseh R134a 50 Hz 220V TA²1380Y-GS1H - PTCSIR</v>
      </c>
      <c r="I1199" s="91">
        <v>1038.2006957506119</v>
      </c>
      <c r="J1199" s="92">
        <v>41.917515642189272</v>
      </c>
      <c r="K1199" s="92">
        <v>-9.2337112840006519</v>
      </c>
      <c r="L1199" s="92">
        <v>0.2606549956209499</v>
      </c>
      <c r="M1199" s="92">
        <v>-0.64402633001400156</v>
      </c>
      <c r="N1199" s="92">
        <v>-8.1797133624334606E-2</v>
      </c>
      <c r="O1199" s="92">
        <v>-2.5015124843323941E-3</v>
      </c>
      <c r="P1199" s="92">
        <v>-4.1569794638413272E-3</v>
      </c>
      <c r="Q1199" s="92">
        <v>2.8362920032651319E-3</v>
      </c>
      <c r="R1199" s="92">
        <v>1.0574634800882394E-3</v>
      </c>
      <c r="S1199" s="92">
        <v>150.98221251576089</v>
      </c>
      <c r="T1199" s="92">
        <v>2.5174532715756484</v>
      </c>
      <c r="U1199" s="92">
        <v>1.5147329056965579</v>
      </c>
      <c r="V1199" s="92">
        <v>-0.11101308708180685</v>
      </c>
      <c r="W1199" s="92">
        <v>-6.811862549944793E-2</v>
      </c>
      <c r="X1199" s="92">
        <v>-2.4928283420046306E-2</v>
      </c>
      <c r="Y1199" s="92">
        <v>-2.0042512422973184E-3</v>
      </c>
      <c r="Z1199" s="92">
        <v>1.486716533165163E-4</v>
      </c>
      <c r="AA1199" s="92">
        <v>1.0687851938674961E-3</v>
      </c>
      <c r="AB1199" s="92">
        <v>2.9172791400167641E-4</v>
      </c>
      <c r="AC1199" s="119">
        <v>9.3746976247221878E-2</v>
      </c>
      <c r="AD1199" s="119">
        <v>4.531030731407605</v>
      </c>
      <c r="AE1199" s="120">
        <v>6.2198312324827643E-3</v>
      </c>
      <c r="AF1199" s="119">
        <v>2.4693908733413976E-3</v>
      </c>
      <c r="AG1199" s="119">
        <v>0.10478092490919516</v>
      </c>
      <c r="AH1199" s="120">
        <v>7.705177425547542E-4</v>
      </c>
      <c r="AI1199" s="121">
        <v>-40</v>
      </c>
      <c r="AJ1199" s="121">
        <v>-10</v>
      </c>
      <c r="AK1199" s="121">
        <v>37.799999999999997</v>
      </c>
      <c r="AL1199" s="121">
        <v>60</v>
      </c>
      <c r="AM1199" s="122">
        <v>42562</v>
      </c>
      <c r="AN1199" s="121" t="s">
        <v>481</v>
      </c>
      <c r="AP1199" s="87"/>
    </row>
    <row r="1200" spans="1:42">
      <c r="A1200" s="71" t="s">
        <v>126</v>
      </c>
      <c r="B1200" s="72" t="s">
        <v>100</v>
      </c>
      <c r="C1200" s="71" t="s">
        <v>105</v>
      </c>
      <c r="D1200" s="72" t="s">
        <v>109</v>
      </c>
      <c r="E1200" s="71" t="s">
        <v>102</v>
      </c>
      <c r="F1200" s="72" t="s">
        <v>654</v>
      </c>
      <c r="G1200" s="77"/>
      <c r="H1200" s="72" t="str">
        <f t="shared" si="27"/>
        <v>Tecumseh R134a 60 Hz 220V TA²1380Y-GS1H - PTCSIR</v>
      </c>
      <c r="I1200" s="91">
        <v>779.54814780532354</v>
      </c>
      <c r="J1200" s="92">
        <v>22.776225034121644</v>
      </c>
      <c r="K1200" s="92">
        <v>3.8339109924676911</v>
      </c>
      <c r="L1200" s="92">
        <v>-0.23671558550880981</v>
      </c>
      <c r="M1200" s="92">
        <v>-0.20075333170580417</v>
      </c>
      <c r="N1200" s="92">
        <v>-0.22472314244465186</v>
      </c>
      <c r="O1200" s="92">
        <v>-6.5170652846498738E-3</v>
      </c>
      <c r="P1200" s="92">
        <v>8.6390753280359814E-4</v>
      </c>
      <c r="Q1200" s="92">
        <v>9.5220096267834714E-4</v>
      </c>
      <c r="R1200" s="92">
        <v>1.4848036350092611E-3</v>
      </c>
      <c r="S1200" s="92">
        <v>-71.070379735831679</v>
      </c>
      <c r="T1200" s="92">
        <v>-11.174113482547732</v>
      </c>
      <c r="U1200" s="92">
        <v>10.658127326591753</v>
      </c>
      <c r="V1200" s="92">
        <v>-0.50248016049869115</v>
      </c>
      <c r="W1200" s="92">
        <v>0.17995562406000543</v>
      </c>
      <c r="X1200" s="92">
        <v>-0.12278427015272891</v>
      </c>
      <c r="Y1200" s="92">
        <v>-5.5214800231269496E-3</v>
      </c>
      <c r="Z1200" s="92">
        <v>3.482460656243358E-3</v>
      </c>
      <c r="AA1200" s="92">
        <v>5.4981485575441062E-4</v>
      </c>
      <c r="AB1200" s="92">
        <v>7.082289780604282E-4</v>
      </c>
      <c r="AC1200" s="119">
        <v>0.16807794569022647</v>
      </c>
      <c r="AD1200" s="119">
        <v>7.1736820531794274</v>
      </c>
      <c r="AE1200" s="120">
        <v>8.2017122786129572E-3</v>
      </c>
      <c r="AF1200" s="119">
        <v>3.8044340358795521E-3</v>
      </c>
      <c r="AG1200" s="119">
        <v>0.29195701591633599</v>
      </c>
      <c r="AH1200" s="120">
        <v>1.1666362970192794E-3</v>
      </c>
      <c r="AI1200" s="121">
        <v>-40</v>
      </c>
      <c r="AJ1200" s="121">
        <v>-10</v>
      </c>
      <c r="AK1200" s="121">
        <v>37.799999999999997</v>
      </c>
      <c r="AL1200" s="121">
        <v>60</v>
      </c>
      <c r="AM1200" s="122">
        <v>42562</v>
      </c>
      <c r="AN1200" s="121" t="s">
        <v>481</v>
      </c>
      <c r="AP1200" s="87"/>
    </row>
    <row r="1201" spans="1:42">
      <c r="A1201" s="71" t="s">
        <v>126</v>
      </c>
      <c r="B1201" s="72" t="s">
        <v>100</v>
      </c>
      <c r="C1201" s="71" t="s">
        <v>105</v>
      </c>
      <c r="D1201" s="72" t="s">
        <v>109</v>
      </c>
      <c r="E1201" s="71" t="s">
        <v>102</v>
      </c>
      <c r="F1201" s="72" t="s">
        <v>655</v>
      </c>
      <c r="G1201" s="77"/>
      <c r="H1201" s="72" t="str">
        <f t="shared" si="27"/>
        <v>Tecumseh R134a 60 Hz 220V THK1330YGS</v>
      </c>
      <c r="I1201" s="91">
        <v>135.24400374432699</v>
      </c>
      <c r="J1201" s="92">
        <v>19.293349294864264</v>
      </c>
      <c r="K1201" s="92">
        <v>17.739886133180324</v>
      </c>
      <c r="L1201" s="92">
        <v>0.26454372746285759</v>
      </c>
      <c r="M1201" s="92">
        <v>-0.18828671092228724</v>
      </c>
      <c r="N1201" s="92">
        <v>-0.46287968963265835</v>
      </c>
      <c r="O1201" s="92">
        <v>8.4474770017818992E-4</v>
      </c>
      <c r="P1201" s="92">
        <v>-2.3425002857014121E-3</v>
      </c>
      <c r="Q1201" s="92">
        <v>2.6726578924915923E-4</v>
      </c>
      <c r="R1201" s="92">
        <v>3.1939116853498067E-3</v>
      </c>
      <c r="S1201" s="92">
        <v>111.12860644815332</v>
      </c>
      <c r="T1201" s="92">
        <v>2.9716628321144158</v>
      </c>
      <c r="U1201" s="92">
        <v>6.7618137023961106E-2</v>
      </c>
      <c r="V1201" s="92">
        <v>6.2671927507310571E-2</v>
      </c>
      <c r="W1201" s="92">
        <v>8.102666596935669E-3</v>
      </c>
      <c r="X1201" s="92">
        <v>1.4999003984088804E-2</v>
      </c>
      <c r="Y1201" s="92">
        <v>3.9298793412925737E-4</v>
      </c>
      <c r="Z1201" s="92">
        <v>-3.4059683441258647E-4</v>
      </c>
      <c r="AA1201" s="92">
        <v>6.7211784180218337E-5</v>
      </c>
      <c r="AB1201" s="92">
        <v>-1.1697154241114675E-4</v>
      </c>
      <c r="AC1201" s="119">
        <v>8.5999999999999993E-2</v>
      </c>
      <c r="AD1201" s="119" t="s">
        <v>549</v>
      </c>
      <c r="AE1201" s="120" t="s">
        <v>549</v>
      </c>
      <c r="AF1201" s="119">
        <v>5.2999999999999999E-2</v>
      </c>
      <c r="AG1201" s="119" t="s">
        <v>549</v>
      </c>
      <c r="AH1201" s="120"/>
      <c r="AI1201" s="121"/>
      <c r="AJ1201" s="121"/>
      <c r="AK1201" s="121"/>
      <c r="AL1201" s="121"/>
      <c r="AM1201" s="122"/>
      <c r="AN1201" s="121"/>
      <c r="AP1201" s="87"/>
    </row>
    <row r="1202" spans="1:42">
      <c r="A1202" s="71" t="s">
        <v>126</v>
      </c>
      <c r="B1202" s="72" t="s">
        <v>100</v>
      </c>
      <c r="C1202" s="71" t="s">
        <v>105</v>
      </c>
      <c r="D1202" s="72" t="s">
        <v>106</v>
      </c>
      <c r="E1202" s="71" t="s">
        <v>102</v>
      </c>
      <c r="F1202" s="72" t="s">
        <v>656</v>
      </c>
      <c r="G1202" s="77"/>
      <c r="H1202" s="72" t="str">
        <f t="shared" si="27"/>
        <v>Tecumseh R134a 60 Hz 127V THL1358YCS</v>
      </c>
      <c r="I1202" s="91">
        <v>428.25253750514509</v>
      </c>
      <c r="J1202" s="92">
        <v>39.075763199383921</v>
      </c>
      <c r="K1202" s="92">
        <v>24.115215211945724</v>
      </c>
      <c r="L1202" s="92">
        <v>0.60813068182571628</v>
      </c>
      <c r="M1202" s="92">
        <v>-0.35613293177958327</v>
      </c>
      <c r="N1202" s="92">
        <v>-0.68350500163786843</v>
      </c>
      <c r="O1202" s="92">
        <v>2.5977639385198299E-3</v>
      </c>
      <c r="P1202" s="92">
        <v>-5.0145835985459832E-3</v>
      </c>
      <c r="Q1202" s="92">
        <v>2.7759571702927396E-4</v>
      </c>
      <c r="R1202" s="92">
        <v>4.7367046967920299E-3</v>
      </c>
      <c r="S1202" s="92">
        <v>87.346185601509859</v>
      </c>
      <c r="T1202" s="92">
        <v>5.216140950710165</v>
      </c>
      <c r="U1202" s="92">
        <v>7.8057422203783826</v>
      </c>
      <c r="V1202" s="92">
        <v>0.10734008008731501</v>
      </c>
      <c r="W1202" s="92">
        <v>1.8890948276575472E-2</v>
      </c>
      <c r="X1202" s="92">
        <v>-0.14959160296997653</v>
      </c>
      <c r="Y1202" s="92">
        <v>8.0508452506875125E-4</v>
      </c>
      <c r="Z1202" s="92">
        <v>-6.5142773485732744E-4</v>
      </c>
      <c r="AA1202" s="92">
        <v>-6.2310409975682902E-6</v>
      </c>
      <c r="AB1202" s="92">
        <v>1.027093158122594E-3</v>
      </c>
      <c r="AC1202" s="119">
        <v>0.1</v>
      </c>
      <c r="AD1202" s="119" t="s">
        <v>549</v>
      </c>
      <c r="AE1202" s="120" t="s">
        <v>549</v>
      </c>
      <c r="AF1202" s="119">
        <v>0.97499999999999998</v>
      </c>
      <c r="AG1202" s="119" t="s">
        <v>549</v>
      </c>
      <c r="AH1202" s="120"/>
      <c r="AI1202" s="121"/>
      <c r="AJ1202" s="121"/>
      <c r="AK1202" s="121"/>
      <c r="AL1202" s="121"/>
      <c r="AM1202" s="122"/>
      <c r="AN1202" s="121"/>
      <c r="AP1202" s="87"/>
    </row>
    <row r="1203" spans="1:42">
      <c r="A1203" s="71" t="s">
        <v>126</v>
      </c>
      <c r="B1203" s="72" t="s">
        <v>100</v>
      </c>
      <c r="C1203" s="71" t="s">
        <v>105</v>
      </c>
      <c r="D1203" s="72" t="s">
        <v>109</v>
      </c>
      <c r="E1203" s="71" t="s">
        <v>102</v>
      </c>
      <c r="F1203" s="72" t="s">
        <v>657</v>
      </c>
      <c r="G1203" s="77"/>
      <c r="H1203" s="72" t="str">
        <f t="shared" si="27"/>
        <v>Tecumseh R134a 60 Hz 220V THL1358YMS</v>
      </c>
      <c r="I1203" s="91">
        <v>428.25253750514509</v>
      </c>
      <c r="J1203" s="92">
        <v>39.075763199383921</v>
      </c>
      <c r="K1203" s="92">
        <v>24.115215211945724</v>
      </c>
      <c r="L1203" s="92">
        <v>0.60813068182571628</v>
      </c>
      <c r="M1203" s="92">
        <v>-0.35613293177958327</v>
      </c>
      <c r="N1203" s="92">
        <v>-0.68350500163786843</v>
      </c>
      <c r="O1203" s="92">
        <v>2.5977639385198299E-3</v>
      </c>
      <c r="P1203" s="92">
        <v>-5.0145835985459832E-3</v>
      </c>
      <c r="Q1203" s="92">
        <v>2.7759571702927396E-4</v>
      </c>
      <c r="R1203" s="92">
        <v>4.7367046967920299E-3</v>
      </c>
      <c r="S1203" s="92">
        <v>66.534461101982956</v>
      </c>
      <c r="T1203" s="92">
        <v>5.0500997503903609</v>
      </c>
      <c r="U1203" s="92">
        <v>7.1299499291058952</v>
      </c>
      <c r="V1203" s="92">
        <v>0.10937236057517874</v>
      </c>
      <c r="W1203" s="92">
        <v>1.2840190819239067E-2</v>
      </c>
      <c r="X1203" s="92">
        <v>-0.11923526504793315</v>
      </c>
      <c r="Y1203" s="92">
        <v>4.4051553792678275E-4</v>
      </c>
      <c r="Z1203" s="92">
        <v>-9.4520741756145687E-4</v>
      </c>
      <c r="AA1203" s="92">
        <v>-9.0589955608202238E-5</v>
      </c>
      <c r="AB1203" s="92">
        <v>7.4636699005944951E-4</v>
      </c>
      <c r="AC1203" s="119">
        <v>0.1</v>
      </c>
      <c r="AD1203" s="119" t="s">
        <v>549</v>
      </c>
      <c r="AE1203" s="120" t="s">
        <v>549</v>
      </c>
      <c r="AF1203" s="119">
        <v>0.05</v>
      </c>
      <c r="AG1203" s="119" t="s">
        <v>549</v>
      </c>
      <c r="AH1203" s="120"/>
      <c r="AI1203" s="121"/>
      <c r="AJ1203" s="121"/>
      <c r="AK1203" s="121"/>
      <c r="AL1203" s="121"/>
      <c r="AM1203" s="122"/>
      <c r="AN1203" s="121"/>
      <c r="AP1203" s="87"/>
    </row>
    <row r="1204" spans="1:42">
      <c r="A1204" s="71" t="s">
        <v>126</v>
      </c>
      <c r="B1204" s="72" t="s">
        <v>100</v>
      </c>
      <c r="C1204" s="71" t="s">
        <v>105</v>
      </c>
      <c r="D1204" s="72" t="s">
        <v>106</v>
      </c>
      <c r="E1204" s="71" t="s">
        <v>102</v>
      </c>
      <c r="F1204" s="72" t="s">
        <v>658</v>
      </c>
      <c r="G1204" s="77"/>
      <c r="H1204" s="72" t="str">
        <f t="shared" si="27"/>
        <v>Tecumseh R134a 60 Hz 127V TPH1380YDS</v>
      </c>
      <c r="I1204" s="91">
        <v>1187.7855360205876</v>
      </c>
      <c r="J1204" s="92">
        <v>38.066703835173158</v>
      </c>
      <c r="K1204" s="92">
        <v>-19.472707913792771</v>
      </c>
      <c r="L1204" s="92">
        <v>0.39795961510529604</v>
      </c>
      <c r="M1204" s="92">
        <v>-0.43143795942943308</v>
      </c>
      <c r="N1204" s="92">
        <v>0.19746223209899316</v>
      </c>
      <c r="O1204" s="92">
        <v>3.617904833966998E-4</v>
      </c>
      <c r="P1204" s="92">
        <v>-4.0921353822144678E-3</v>
      </c>
      <c r="Q1204" s="92">
        <v>1.0390428260183607E-3</v>
      </c>
      <c r="R1204" s="92">
        <v>-1.1607904182922774E-3</v>
      </c>
      <c r="S1204" s="92">
        <v>56.552608927916864</v>
      </c>
      <c r="T1204" s="92">
        <v>-4.4145612507012713</v>
      </c>
      <c r="U1204" s="92">
        <v>5.1871246080585101</v>
      </c>
      <c r="V1204" s="92">
        <v>-0.17740501202142156</v>
      </c>
      <c r="W1204" s="92">
        <v>0.11505941075535712</v>
      </c>
      <c r="X1204" s="92">
        <v>-3.8167418808712279E-2</v>
      </c>
      <c r="Y1204" s="92">
        <v>-1.5425227325599018E-3</v>
      </c>
      <c r="Z1204" s="92">
        <v>1.5179876482436221E-3</v>
      </c>
      <c r="AA1204" s="92">
        <v>3.4298552173020187E-4</v>
      </c>
      <c r="AB1204" s="92">
        <v>2.6786466004469521E-4</v>
      </c>
      <c r="AC1204" s="119">
        <v>0.08</v>
      </c>
      <c r="AD1204" s="119" t="s">
        <v>549</v>
      </c>
      <c r="AE1204" s="120" t="s">
        <v>549</v>
      </c>
      <c r="AF1204" s="119">
        <v>0.05</v>
      </c>
      <c r="AG1204" s="119" t="s">
        <v>549</v>
      </c>
      <c r="AH1204" s="120"/>
      <c r="AI1204" s="121"/>
      <c r="AJ1204" s="121"/>
      <c r="AK1204" s="121"/>
      <c r="AL1204" s="121"/>
      <c r="AM1204" s="122"/>
      <c r="AN1204" s="121"/>
      <c r="AP1204" s="87"/>
    </row>
    <row r="1205" spans="1:42">
      <c r="A1205" s="71" t="s">
        <v>126</v>
      </c>
      <c r="B1205" s="72" t="s">
        <v>100</v>
      </c>
      <c r="C1205" s="71" t="s">
        <v>105</v>
      </c>
      <c r="D1205" s="72" t="s">
        <v>109</v>
      </c>
      <c r="E1205" s="71" t="s">
        <v>102</v>
      </c>
      <c r="F1205" s="72" t="s">
        <v>659</v>
      </c>
      <c r="G1205" s="77"/>
      <c r="H1205" s="72" t="str">
        <f t="shared" si="27"/>
        <v>Tecumseh R134a 60 Hz 220V TPH1380YGS</v>
      </c>
      <c r="I1205" s="91">
        <v>1187.7855360205876</v>
      </c>
      <c r="J1205" s="92">
        <v>38.066703835173158</v>
      </c>
      <c r="K1205" s="92">
        <v>-19.472707913792771</v>
      </c>
      <c r="L1205" s="92">
        <v>0.39795961510529604</v>
      </c>
      <c r="M1205" s="92">
        <v>-0.43143795942943308</v>
      </c>
      <c r="N1205" s="92">
        <v>0.19746223209899316</v>
      </c>
      <c r="O1205" s="92">
        <v>3.617904833966998E-4</v>
      </c>
      <c r="P1205" s="92">
        <v>-4.0921353822144678E-3</v>
      </c>
      <c r="Q1205" s="92">
        <v>1.0390428260183607E-3</v>
      </c>
      <c r="R1205" s="92">
        <v>-1.1607904182922774E-3</v>
      </c>
      <c r="S1205" s="92">
        <v>135.22208036549065</v>
      </c>
      <c r="T1205" s="92">
        <v>5.5277214471875586</v>
      </c>
      <c r="U1205" s="92">
        <v>4.295993017684971</v>
      </c>
      <c r="V1205" s="92">
        <v>8.1572198152884065E-2</v>
      </c>
      <c r="W1205" s="92">
        <v>-5.2179213815720257E-2</v>
      </c>
      <c r="X1205" s="92">
        <v>-5.9291195833218999E-2</v>
      </c>
      <c r="Y1205" s="92">
        <v>5.6467981398735654E-5</v>
      </c>
      <c r="Z1205" s="92">
        <v>-1.2777032314670212E-3</v>
      </c>
      <c r="AA1205" s="92">
        <v>5.2604973370393507E-4</v>
      </c>
      <c r="AB1205" s="92">
        <v>4.3446472345109956E-4</v>
      </c>
      <c r="AC1205" s="119">
        <v>0.08</v>
      </c>
      <c r="AD1205" s="119" t="s">
        <v>549</v>
      </c>
      <c r="AE1205" s="120" t="s">
        <v>549</v>
      </c>
      <c r="AF1205" s="119">
        <v>5.2999999999999999E-2</v>
      </c>
      <c r="AG1205" s="119" t="s">
        <v>549</v>
      </c>
      <c r="AH1205" s="120"/>
      <c r="AI1205" s="121"/>
      <c r="AJ1205" s="121"/>
      <c r="AK1205" s="121"/>
      <c r="AL1205" s="121"/>
      <c r="AM1205" s="122"/>
      <c r="AN1205" s="121"/>
      <c r="AP1205" s="87"/>
    </row>
    <row r="1206" spans="1:42">
      <c r="A1206" s="71" t="s">
        <v>126</v>
      </c>
      <c r="B1206" s="72" t="s">
        <v>100</v>
      </c>
      <c r="C1206" s="71" t="s">
        <v>105</v>
      </c>
      <c r="D1206" s="72" t="s">
        <v>106</v>
      </c>
      <c r="E1206" s="71" t="s">
        <v>102</v>
      </c>
      <c r="F1206" s="72" t="s">
        <v>660</v>
      </c>
      <c r="G1206" s="77"/>
      <c r="H1206" s="72" t="str">
        <f t="shared" si="27"/>
        <v>Tecumseh R134a 60 Hz 127V TSB1374YCS</v>
      </c>
      <c r="I1206" s="91">
        <v>911.76681039456514</v>
      </c>
      <c r="J1206" s="92">
        <v>32.271683449289995</v>
      </c>
      <c r="K1206" s="92">
        <v>-7.7370829326285033</v>
      </c>
      <c r="L1206" s="92">
        <v>0.36922213576594975</v>
      </c>
      <c r="M1206" s="92">
        <v>-0.25209239358916924</v>
      </c>
      <c r="N1206" s="92">
        <v>8.4169472091103186E-3</v>
      </c>
      <c r="O1206" s="92">
        <v>6.8307547325290215E-4</v>
      </c>
      <c r="P1206" s="92">
        <v>-2.8860035160092152E-3</v>
      </c>
      <c r="Q1206" s="92">
        <v>1.3127552926446513E-4</v>
      </c>
      <c r="R1206" s="92">
        <v>-7.6883435042432731E-5</v>
      </c>
      <c r="S1206" s="92">
        <v>112.45090487896766</v>
      </c>
      <c r="T1206" s="92">
        <v>-0.27140535628967366</v>
      </c>
      <c r="U1206" s="92">
        <v>0.96844228766948892</v>
      </c>
      <c r="V1206" s="92">
        <v>-3.9793071020169782E-2</v>
      </c>
      <c r="W1206" s="92">
        <v>6.5039203588362959E-2</v>
      </c>
      <c r="X1206" s="92">
        <v>4.195373537001866E-2</v>
      </c>
      <c r="Y1206" s="92">
        <v>-1.363760528440741E-4</v>
      </c>
      <c r="Z1206" s="92">
        <v>8.8859577523787503E-4</v>
      </c>
      <c r="AA1206" s="92">
        <v>5.560710690221478E-4</v>
      </c>
      <c r="AB1206" s="92">
        <v>-3.323572074092485E-4</v>
      </c>
      <c r="AC1206" s="119">
        <v>0.23499999999999999</v>
      </c>
      <c r="AD1206" s="119" t="s">
        <v>549</v>
      </c>
      <c r="AE1206" s="120" t="s">
        <v>549</v>
      </c>
      <c r="AF1206" s="119">
        <v>6.3E-2</v>
      </c>
      <c r="AG1206" s="119" t="s">
        <v>549</v>
      </c>
      <c r="AH1206" s="120"/>
      <c r="AI1206" s="121"/>
      <c r="AJ1206" s="121"/>
      <c r="AK1206" s="121"/>
      <c r="AL1206" s="121"/>
      <c r="AM1206" s="122"/>
      <c r="AN1206" s="121"/>
      <c r="AP1206" s="87"/>
    </row>
    <row r="1207" spans="1:42">
      <c r="A1207" s="71" t="s">
        <v>126</v>
      </c>
      <c r="B1207" s="72" t="s">
        <v>100</v>
      </c>
      <c r="C1207" s="71" t="s">
        <v>105</v>
      </c>
      <c r="D1207" s="72" t="s">
        <v>109</v>
      </c>
      <c r="E1207" s="71" t="s">
        <v>102</v>
      </c>
      <c r="F1207" s="72" t="s">
        <v>661</v>
      </c>
      <c r="G1207" s="77"/>
      <c r="H1207" s="72" t="str">
        <f t="shared" si="27"/>
        <v>Tecumseh R134a 60 Hz 220V TSB1374YMS</v>
      </c>
      <c r="I1207" s="91">
        <v>911.76681039456514</v>
      </c>
      <c r="J1207" s="92">
        <v>32.271683449289995</v>
      </c>
      <c r="K1207" s="92">
        <v>-7.7370829326285033</v>
      </c>
      <c r="L1207" s="92">
        <v>0.3692221357659497</v>
      </c>
      <c r="M1207" s="92">
        <v>-0.25209239358916924</v>
      </c>
      <c r="N1207" s="92">
        <v>8.4169472091103186E-3</v>
      </c>
      <c r="O1207" s="92">
        <v>6.8307547325290215E-4</v>
      </c>
      <c r="P1207" s="92">
        <v>-2.8860035160092152E-3</v>
      </c>
      <c r="Q1207" s="92">
        <v>1.3127552926446513E-4</v>
      </c>
      <c r="R1207" s="92">
        <v>-7.6883435042432731E-5</v>
      </c>
      <c r="S1207" s="92">
        <v>145.30472654332965</v>
      </c>
      <c r="T1207" s="92">
        <v>2.0118412067380662</v>
      </c>
      <c r="U1207" s="92">
        <v>-2.422893786575322E-3</v>
      </c>
      <c r="V1207" s="92">
        <v>-2.5245430783813114E-2</v>
      </c>
      <c r="W1207" s="92">
        <v>-6.8152295317699925E-3</v>
      </c>
      <c r="X1207" s="92">
        <v>4.5723013925185851E-2</v>
      </c>
      <c r="Y1207" s="92">
        <v>-4.5098361775688407E-4</v>
      </c>
      <c r="Z1207" s="92">
        <v>1.9530312286672853E-4</v>
      </c>
      <c r="AA1207" s="92">
        <v>9.1518168286548046E-4</v>
      </c>
      <c r="AB1207" s="92">
        <v>-3.0727479514728234E-4</v>
      </c>
      <c r="AC1207" s="119">
        <v>0.23499999999999999</v>
      </c>
      <c r="AD1207" s="119" t="s">
        <v>549</v>
      </c>
      <c r="AE1207" s="120" t="s">
        <v>549</v>
      </c>
      <c r="AF1207" s="119">
        <v>9.9000000000000005E-2</v>
      </c>
      <c r="AG1207" s="119" t="s">
        <v>549</v>
      </c>
      <c r="AH1207" s="120"/>
      <c r="AI1207" s="121"/>
      <c r="AJ1207" s="121"/>
      <c r="AK1207" s="121"/>
      <c r="AL1207" s="121"/>
      <c r="AM1207" s="122"/>
      <c r="AN1207" s="121"/>
      <c r="AP1207" s="87"/>
    </row>
    <row r="1208" spans="1:42">
      <c r="A1208" s="71" t="s">
        <v>126</v>
      </c>
      <c r="B1208" s="72" t="s">
        <v>100</v>
      </c>
      <c r="C1208" s="71" t="s">
        <v>105</v>
      </c>
      <c r="D1208" s="72" t="s">
        <v>106</v>
      </c>
      <c r="E1208" s="71" t="s">
        <v>102</v>
      </c>
      <c r="F1208" s="72" t="s">
        <v>662</v>
      </c>
      <c r="G1208" s="77"/>
      <c r="H1208" s="72" t="str">
        <f t="shared" si="27"/>
        <v>Tecumseh R134a 60 Hz 127V TSB1380YDS</v>
      </c>
      <c r="I1208" s="91">
        <v>1071.8360990375716</v>
      </c>
      <c r="J1208" s="92">
        <v>38.090725281351347</v>
      </c>
      <c r="K1208" s="92">
        <v>-9.1366947496362805</v>
      </c>
      <c r="L1208" s="92">
        <v>0.44561613584813986</v>
      </c>
      <c r="M1208" s="92">
        <v>-0.29845524276558016</v>
      </c>
      <c r="N1208" s="92">
        <v>8.951544689960152E-3</v>
      </c>
      <c r="O1208" s="92">
        <v>9.1044748436806919E-4</v>
      </c>
      <c r="P1208" s="92">
        <v>-3.5691130974753386E-3</v>
      </c>
      <c r="Q1208" s="92">
        <v>9.8059586661581704E-5</v>
      </c>
      <c r="R1208" s="92">
        <v>-8.0792731940893035E-5</v>
      </c>
      <c r="S1208" s="92">
        <v>230.66480383479322</v>
      </c>
      <c r="T1208" s="92">
        <v>4.149855101436406E-2</v>
      </c>
      <c r="U1208" s="92">
        <v>-3.98008862444832</v>
      </c>
      <c r="V1208" s="92">
        <v>-4.7106430629415004E-2</v>
      </c>
      <c r="W1208" s="92">
        <v>6.0333939098733476E-2</v>
      </c>
      <c r="X1208" s="92">
        <v>0.14324225846136948</v>
      </c>
      <c r="Y1208" s="92">
        <v>-1.9932341749492543E-4</v>
      </c>
      <c r="Z1208" s="92">
        <v>9.4254787488926863E-4</v>
      </c>
      <c r="AA1208" s="92">
        <v>8.2486489875789235E-4</v>
      </c>
      <c r="AB1208" s="92">
        <v>-9.4464867194770286E-4</v>
      </c>
      <c r="AC1208" s="119">
        <v>0.33700000000000002</v>
      </c>
      <c r="AD1208" s="119" t="s">
        <v>549</v>
      </c>
      <c r="AE1208" s="120" t="s">
        <v>549</v>
      </c>
      <c r="AF1208" s="119">
        <v>5.3999999999999999E-2</v>
      </c>
      <c r="AG1208" s="119" t="s">
        <v>549</v>
      </c>
      <c r="AH1208" s="120"/>
      <c r="AI1208" s="121"/>
      <c r="AJ1208" s="121"/>
      <c r="AK1208" s="121"/>
      <c r="AL1208" s="121"/>
      <c r="AM1208" s="122"/>
      <c r="AN1208" s="121"/>
      <c r="AP1208" s="87"/>
    </row>
    <row r="1209" spans="1:42">
      <c r="A1209" s="71" t="s">
        <v>126</v>
      </c>
      <c r="B1209" s="72" t="s">
        <v>100</v>
      </c>
      <c r="C1209" s="71" t="s">
        <v>105</v>
      </c>
      <c r="D1209" s="72" t="s">
        <v>109</v>
      </c>
      <c r="E1209" s="71" t="s">
        <v>102</v>
      </c>
      <c r="F1209" s="72" t="s">
        <v>663</v>
      </c>
      <c r="G1209" s="77"/>
      <c r="H1209" s="72" t="str">
        <f t="shared" si="27"/>
        <v>Tecumseh R134a 60 Hz 220V TSB1380YGS</v>
      </c>
      <c r="I1209" s="91">
        <v>1071.8375189428778</v>
      </c>
      <c r="J1209" s="92">
        <v>38.090752415952196</v>
      </c>
      <c r="K1209" s="92">
        <v>-9.1367897991824041</v>
      </c>
      <c r="L1209" s="92">
        <v>0.44564158173142981</v>
      </c>
      <c r="M1209" s="92">
        <v>-0.29843419423078899</v>
      </c>
      <c r="N1209" s="92">
        <v>8.9581551031220029E-3</v>
      </c>
      <c r="O1209" s="92">
        <v>9.108573583556886E-4</v>
      </c>
      <c r="P1209" s="92">
        <v>-3.5690395675545064E-3</v>
      </c>
      <c r="Q1209" s="92">
        <v>9.7892944941749987E-5</v>
      </c>
      <c r="R1209" s="92">
        <v>-8.0859874123830386E-5</v>
      </c>
      <c r="S1209" s="92">
        <v>230.66491638001995</v>
      </c>
      <c r="T1209" s="92">
        <v>4.1498552162929213E-2</v>
      </c>
      <c r="U1209" s="92">
        <v>-3.9800941970649641</v>
      </c>
      <c r="V1209" s="92">
        <v>-4.7106415908772348E-2</v>
      </c>
      <c r="W1209" s="92">
        <v>6.0333935365862422E-2</v>
      </c>
      <c r="X1209" s="92">
        <v>0.14324228766672809</v>
      </c>
      <c r="Y1209" s="92">
        <v>-1.993234661996087E-4</v>
      </c>
      <c r="Z1209" s="92">
        <v>9.425486535002991E-4</v>
      </c>
      <c r="AA1209" s="92">
        <v>8.248644532770097E-4</v>
      </c>
      <c r="AB1209" s="92">
        <v>-9.4464839639743785E-4</v>
      </c>
      <c r="AC1209" s="119">
        <v>0.33700000000000002</v>
      </c>
      <c r="AD1209" s="119" t="s">
        <v>549</v>
      </c>
      <c r="AE1209" s="120" t="s">
        <v>549</v>
      </c>
      <c r="AF1209" s="119">
        <v>5.3999999999999999E-2</v>
      </c>
      <c r="AG1209" s="119" t="s">
        <v>549</v>
      </c>
      <c r="AH1209" s="120"/>
      <c r="AI1209" s="121"/>
      <c r="AJ1209" s="121"/>
      <c r="AK1209" s="121"/>
      <c r="AL1209" s="121"/>
      <c r="AM1209" s="122"/>
      <c r="AN1209" s="121"/>
      <c r="AP1209" s="87"/>
    </row>
    <row r="1210" spans="1:42">
      <c r="A1210" s="72" t="s">
        <v>128</v>
      </c>
      <c r="B1210" s="72" t="s">
        <v>44</v>
      </c>
      <c r="C1210" s="71" t="s">
        <v>45</v>
      </c>
      <c r="D1210" s="72" t="s">
        <v>46</v>
      </c>
      <c r="E1210" s="71" t="s">
        <v>102</v>
      </c>
      <c r="F1210" s="72" t="s">
        <v>664</v>
      </c>
      <c r="G1210" s="77"/>
      <c r="H1210" s="72" t="str">
        <f t="shared" si="27"/>
        <v>Wanbao Isobutane 50 Hz 230V ETA60</v>
      </c>
      <c r="I1210" s="91">
        <v>2.082801782182198</v>
      </c>
      <c r="J1210" s="92">
        <v>-12.924306472456299</v>
      </c>
      <c r="K1210" s="92">
        <v>9.6126801038656922</v>
      </c>
      <c r="L1210" s="92">
        <v>-0.33463303733244781</v>
      </c>
      <c r="M1210" s="92">
        <v>0.52522944129906335</v>
      </c>
      <c r="N1210" s="92">
        <v>-0.11034536684416721</v>
      </c>
      <c r="O1210" s="92">
        <v>-2.3940600353408183E-3</v>
      </c>
      <c r="P1210" s="92">
        <v>4.1867039668262492E-3</v>
      </c>
      <c r="Q1210" s="92">
        <v>-3.8811765548882509E-3</v>
      </c>
      <c r="R1210" s="92">
        <v>9.3194419267216881E-5</v>
      </c>
      <c r="S1210" s="92">
        <v>0.20463745717853077</v>
      </c>
      <c r="T1210" s="92">
        <v>-9.3255024067650147</v>
      </c>
      <c r="U1210" s="92">
        <v>-0.49234388527336698</v>
      </c>
      <c r="V1210" s="92">
        <v>-0.14619745250672903</v>
      </c>
      <c r="W1210" s="92">
        <v>0.28737748558232812</v>
      </c>
      <c r="X1210" s="92">
        <v>0.1172592334950887</v>
      </c>
      <c r="Y1210" s="92">
        <v>6.7160189396166475E-5</v>
      </c>
      <c r="Z1210" s="92">
        <v>3.115973363814268E-3</v>
      </c>
      <c r="AA1210" s="92">
        <v>-9.7147703014824544E-4</v>
      </c>
      <c r="AB1210" s="92">
        <v>-1.0915179322414689E-3</v>
      </c>
      <c r="AC1210" s="119">
        <v>2.5809760094759834E-3</v>
      </c>
      <c r="AD1210" s="119">
        <v>3.4701375422656859</v>
      </c>
      <c r="AE1210" s="120">
        <v>1.0888042700421947E-2</v>
      </c>
      <c r="AF1210" s="119">
        <v>7.7205435871720274E-4</v>
      </c>
      <c r="AG1210" s="119">
        <v>0.48310198251612291</v>
      </c>
      <c r="AH1210" s="120"/>
      <c r="AI1210" s="121"/>
      <c r="AJ1210" s="121"/>
      <c r="AK1210" s="121"/>
      <c r="AL1210" s="121"/>
      <c r="AM1210" s="122"/>
      <c r="AN1210" s="121"/>
      <c r="AP1210" s="87"/>
    </row>
    <row r="1211" spans="1:42">
      <c r="A1211" s="72" t="s">
        <v>128</v>
      </c>
      <c r="B1211" s="72" t="s">
        <v>44</v>
      </c>
      <c r="C1211" s="71" t="s">
        <v>45</v>
      </c>
      <c r="D1211" s="72" t="s">
        <v>46</v>
      </c>
      <c r="E1211" s="71" t="s">
        <v>102</v>
      </c>
      <c r="F1211" s="72" t="s">
        <v>665</v>
      </c>
      <c r="G1211" s="77"/>
      <c r="H1211" s="72" t="str">
        <f t="shared" si="27"/>
        <v>Wanbao Isobutane 50 Hz 230V ETB60</v>
      </c>
      <c r="I1211" s="91">
        <v>2.0827953427656443</v>
      </c>
      <c r="J1211" s="92">
        <v>-12.92408936996088</v>
      </c>
      <c r="K1211" s="92">
        <v>9.6124223203085482</v>
      </c>
      <c r="L1211" s="92">
        <v>-0.33462926610347549</v>
      </c>
      <c r="M1211" s="92">
        <v>0.52520419069733959</v>
      </c>
      <c r="N1211" s="92">
        <v>-0.11034354286715495</v>
      </c>
      <c r="O1211" s="92">
        <v>-2.3939664142144561E-3</v>
      </c>
      <c r="P1211" s="92">
        <v>4.1864430531919489E-3</v>
      </c>
      <c r="Q1211" s="92">
        <v>-3.8810150650898001E-3</v>
      </c>
      <c r="R1211" s="92">
        <v>9.3193640492455324E-5</v>
      </c>
      <c r="S1211" s="92">
        <v>0.20449004279369762</v>
      </c>
      <c r="T1211" s="92">
        <v>-7.0938369627764732</v>
      </c>
      <c r="U1211" s="92">
        <v>-0.3635608568669183</v>
      </c>
      <c r="V1211" s="92">
        <v>-0.1106509553776758</v>
      </c>
      <c r="W1211" s="92">
        <v>0.21918084428357051</v>
      </c>
      <c r="X1211" s="92">
        <v>8.9197314797490032E-2</v>
      </c>
      <c r="Y1211" s="92">
        <v>6.7874154978090088E-5</v>
      </c>
      <c r="Z1211" s="92">
        <v>2.382602254520496E-3</v>
      </c>
      <c r="AA1211" s="92">
        <v>-7.3670848862092463E-4</v>
      </c>
      <c r="AB1211" s="92">
        <v>-8.3000404570998546E-4</v>
      </c>
      <c r="AC1211" s="119">
        <v>2.5244495959635509E-3</v>
      </c>
      <c r="AD1211" s="119">
        <v>3.4711760974044799</v>
      </c>
      <c r="AE1211" s="120">
        <v>1.0894172059368002E-2</v>
      </c>
      <c r="AF1211" s="119">
        <v>3.1795633879244125E-4</v>
      </c>
      <c r="AG1211" s="119">
        <v>0.28515534602061976</v>
      </c>
      <c r="AH1211" s="120"/>
      <c r="AI1211" s="121"/>
      <c r="AJ1211" s="121"/>
      <c r="AK1211" s="121"/>
      <c r="AL1211" s="121"/>
      <c r="AM1211" s="122"/>
      <c r="AN1211" s="121"/>
      <c r="AP1211" s="87"/>
    </row>
    <row r="1212" spans="1:42">
      <c r="A1212" s="72" t="s">
        <v>128</v>
      </c>
      <c r="B1212" s="72" t="s">
        <v>44</v>
      </c>
      <c r="C1212" s="71" t="s">
        <v>45</v>
      </c>
      <c r="D1212" s="72" t="s">
        <v>46</v>
      </c>
      <c r="E1212" s="71" t="s">
        <v>102</v>
      </c>
      <c r="F1212" s="72" t="s">
        <v>666</v>
      </c>
      <c r="G1212" s="77"/>
      <c r="H1212" s="72" t="str">
        <f t="shared" si="27"/>
        <v>Wanbao Isobutane 50 Hz 230V ETC95</v>
      </c>
      <c r="I1212" s="91">
        <v>2.3699346352135033</v>
      </c>
      <c r="J1212" s="92">
        <v>-23.258079864989284</v>
      </c>
      <c r="K1212" s="92">
        <v>15.154646741130406</v>
      </c>
      <c r="L1212" s="92">
        <v>-0.6353013448039152</v>
      </c>
      <c r="M1212" s="92">
        <v>0.86550556801981071</v>
      </c>
      <c r="N1212" s="92">
        <v>-0.16759150455173366</v>
      </c>
      <c r="O1212" s="92">
        <v>-5.0881908560556363E-3</v>
      </c>
      <c r="P1212" s="92">
        <v>6.8351555380719966E-3</v>
      </c>
      <c r="Q1212" s="92">
        <v>-6.4462596609870578E-3</v>
      </c>
      <c r="R1212" s="92">
        <v>4.0135828242144595E-5</v>
      </c>
      <c r="S1212" s="92">
        <v>0.16743024830480252</v>
      </c>
      <c r="T1212" s="92">
        <v>-11.339087496709322</v>
      </c>
      <c r="U1212" s="92">
        <v>-0.57715308890770334</v>
      </c>
      <c r="V1212" s="92">
        <v>-0.17411600299825034</v>
      </c>
      <c r="W1212" s="92">
        <v>0.3530275502045836</v>
      </c>
      <c r="X1212" s="92">
        <v>0.14321060857702692</v>
      </c>
      <c r="Y1212" s="92">
        <v>1.6943671562433897E-4</v>
      </c>
      <c r="Z1212" s="92">
        <v>3.8431444493034752E-3</v>
      </c>
      <c r="AA1212" s="92">
        <v>-1.1879607247746015E-3</v>
      </c>
      <c r="AB1212" s="92">
        <v>-1.3331511750858626E-3</v>
      </c>
      <c r="AC1212" s="119">
        <v>7.6306209889952454E-3</v>
      </c>
      <c r="AD1212" s="119">
        <v>9.6958725416869935</v>
      </c>
      <c r="AE1212" s="120">
        <v>1.0935047354583081E-2</v>
      </c>
      <c r="AF1212" s="119">
        <v>8.801603518509549E-4</v>
      </c>
      <c r="AG1212" s="119">
        <v>0.74160050677773681</v>
      </c>
      <c r="AH1212" s="120"/>
      <c r="AI1212" s="121"/>
      <c r="AJ1212" s="121"/>
      <c r="AK1212" s="121"/>
      <c r="AL1212" s="121"/>
      <c r="AM1212" s="122"/>
      <c r="AN1212" s="121"/>
      <c r="AP1212" s="87"/>
    </row>
    <row r="1213" spans="1:42">
      <c r="A1213" s="71" t="s">
        <v>128</v>
      </c>
      <c r="B1213" s="72" t="s">
        <v>44</v>
      </c>
      <c r="C1213" s="71" t="s">
        <v>45</v>
      </c>
      <c r="D1213" s="72" t="s">
        <v>46</v>
      </c>
      <c r="E1213" s="71" t="s">
        <v>102</v>
      </c>
      <c r="F1213" s="72" t="s">
        <v>667</v>
      </c>
      <c r="G1213" s="77"/>
      <c r="H1213" s="72" t="str">
        <f t="shared" si="27"/>
        <v>Wanbao Isobutane 50 Hz 230V ETH110</v>
      </c>
      <c r="I1213" s="91">
        <v>163.26697349683312</v>
      </c>
      <c r="J1213" s="92">
        <v>-15.047345376739438</v>
      </c>
      <c r="K1213" s="92">
        <v>11.993599518514811</v>
      </c>
      <c r="L1213" s="92">
        <v>-0.25511277192855403</v>
      </c>
      <c r="M1213" s="92">
        <v>0.98107732550456073</v>
      </c>
      <c r="N1213" s="92">
        <v>-7.1807577834559752E-2</v>
      </c>
      <c r="O1213" s="92">
        <v>4.7919310848462432E-4</v>
      </c>
      <c r="P1213" s="92">
        <v>7.8438012980157554E-3</v>
      </c>
      <c r="Q1213" s="92">
        <v>-7.2418266089519321E-3</v>
      </c>
      <c r="R1213" s="92">
        <v>-8.1715946770204758E-4</v>
      </c>
      <c r="S1213" s="92">
        <v>105.49313051830214</v>
      </c>
      <c r="T1213" s="92">
        <v>-8.5243469944154597</v>
      </c>
      <c r="U1213" s="92">
        <v>-5.1093000237273554</v>
      </c>
      <c r="V1213" s="92">
        <v>-4.3324436581285396E-3</v>
      </c>
      <c r="W1213" s="92">
        <v>0.42239737464556754</v>
      </c>
      <c r="X1213" s="92">
        <v>0.27122544004097376</v>
      </c>
      <c r="Y1213" s="92">
        <v>2.9172252743635235E-3</v>
      </c>
      <c r="Z1213" s="92">
        <v>4.5939771728331288E-3</v>
      </c>
      <c r="AA1213" s="92">
        <v>-1.4233158945845764E-3</v>
      </c>
      <c r="AB1213" s="92">
        <v>-2.3352470479418063E-3</v>
      </c>
      <c r="AC1213" s="119">
        <v>1.067084173967614E-2</v>
      </c>
      <c r="AD1213" s="119">
        <v>11.670299863335574</v>
      </c>
      <c r="AE1213" s="120">
        <v>1.0740595022811415E-2</v>
      </c>
      <c r="AF1213" s="119">
        <v>6.2294095836223798E-4</v>
      </c>
      <c r="AG1213" s="119">
        <v>1.0402921452089371</v>
      </c>
      <c r="AH1213" s="120">
        <v>3.9544762865060829E-3</v>
      </c>
      <c r="AI1213" s="121">
        <v>-35</v>
      </c>
      <c r="AJ1213" s="121">
        <v>-10</v>
      </c>
      <c r="AK1213" s="121">
        <v>35</v>
      </c>
      <c r="AL1213" s="121">
        <v>55</v>
      </c>
      <c r="AM1213" s="122">
        <v>41541</v>
      </c>
      <c r="AN1213" s="121" t="s">
        <v>668</v>
      </c>
      <c r="AP1213" s="87"/>
    </row>
    <row r="1214" spans="1:42">
      <c r="A1214" s="71" t="s">
        <v>128</v>
      </c>
      <c r="B1214" s="72" t="s">
        <v>44</v>
      </c>
      <c r="C1214" s="71" t="s">
        <v>45</v>
      </c>
      <c r="D1214" s="72" t="s">
        <v>46</v>
      </c>
      <c r="E1214" s="71" t="s">
        <v>102</v>
      </c>
      <c r="F1214" s="71" t="s">
        <v>669</v>
      </c>
      <c r="G1214" s="77"/>
      <c r="H1214" s="72" t="str">
        <f t="shared" si="27"/>
        <v>Wanbao Isobutane 50 Hz 230V ETH110 (Elux. tested)</v>
      </c>
      <c r="I1214" s="91">
        <v>795.91826883519082</v>
      </c>
      <c r="J1214" s="92">
        <v>12.327175194471257</v>
      </c>
      <c r="K1214" s="92">
        <v>-16.875514686942406</v>
      </c>
      <c r="L1214" s="92">
        <v>-0.2070114020308455</v>
      </c>
      <c r="M1214" s="92">
        <v>-1.0600543283494007E-2</v>
      </c>
      <c r="N1214" s="92">
        <v>0.31215491414449481</v>
      </c>
      <c r="O1214" s="92">
        <v>-8.3648408996715926E-3</v>
      </c>
      <c r="P1214" s="92">
        <v>-3.9331183530810507E-3</v>
      </c>
      <c r="Q1214" s="92">
        <v>-2.7093281277043332E-3</v>
      </c>
      <c r="R1214" s="92">
        <v>-2.7243743091020611E-3</v>
      </c>
      <c r="S1214" s="92">
        <v>167.85622150211381</v>
      </c>
      <c r="T1214" s="92">
        <v>-4.0056260020917716</v>
      </c>
      <c r="U1214" s="92">
        <v>-5.3453016597877667</v>
      </c>
      <c r="V1214" s="92">
        <v>-0.12207188203384521</v>
      </c>
      <c r="W1214" s="92">
        <v>0.16291036666768807</v>
      </c>
      <c r="X1214" s="92">
        <v>0.18646192026109276</v>
      </c>
      <c r="Y1214" s="92">
        <v>-1.2351920099497888E-3</v>
      </c>
      <c r="Z1214" s="92">
        <v>1.2837023304747644E-3</v>
      </c>
      <c r="AA1214" s="92">
        <v>-6.1413918865901656E-4</v>
      </c>
      <c r="AB1214" s="92">
        <v>-1.4687769650720197E-3</v>
      </c>
      <c r="AC1214" s="119">
        <v>4.8505919786049182E-5</v>
      </c>
      <c r="AD1214" s="119">
        <v>1.2078792969562892E-3</v>
      </c>
      <c r="AE1214" s="120">
        <v>1.8282958327434676E-4</v>
      </c>
      <c r="AF1214" s="119">
        <v>1.589363856852287E-5</v>
      </c>
      <c r="AG1214" s="119">
        <v>2.7804033938019519E-4</v>
      </c>
      <c r="AH1214" s="120">
        <v>8.0476216615353699E-5</v>
      </c>
      <c r="AI1214" s="121">
        <v>-35</v>
      </c>
      <c r="AJ1214" s="121">
        <v>-10</v>
      </c>
      <c r="AK1214" s="121">
        <v>35</v>
      </c>
      <c r="AL1214" s="121">
        <v>60</v>
      </c>
      <c r="AM1214" s="122">
        <v>41745</v>
      </c>
      <c r="AN1214" s="121" t="s">
        <v>504</v>
      </c>
      <c r="AP1214" s="87"/>
    </row>
    <row r="1215" spans="1:42">
      <c r="A1215" s="72" t="s">
        <v>128</v>
      </c>
      <c r="B1215" s="72" t="s">
        <v>44</v>
      </c>
      <c r="C1215" s="71" t="s">
        <v>45</v>
      </c>
      <c r="D1215" s="72" t="s">
        <v>46</v>
      </c>
      <c r="E1215" s="71" t="s">
        <v>102</v>
      </c>
      <c r="F1215" s="72" t="s">
        <v>670</v>
      </c>
      <c r="G1215" s="77"/>
      <c r="H1215" s="72" t="str">
        <f t="shared" si="27"/>
        <v>Wanbao Isobutane 50 Hz 230V ETH95</v>
      </c>
      <c r="I1215" s="91">
        <v>2.3700781070299684</v>
      </c>
      <c r="J1215" s="92">
        <v>-23.270026231830638</v>
      </c>
      <c r="K1215" s="92">
        <v>15.148342515752955</v>
      </c>
      <c r="L1215" s="92">
        <v>-0.63590906109715217</v>
      </c>
      <c r="M1215" s="92">
        <v>0.86536787835447759</v>
      </c>
      <c r="N1215" s="92">
        <v>-0.16749573564866194</v>
      </c>
      <c r="O1215" s="92">
        <v>-5.0940551007666469E-3</v>
      </c>
      <c r="P1215" s="92">
        <v>6.8390766345211313E-3</v>
      </c>
      <c r="Q1215" s="92">
        <v>-6.4425712550233612E-3</v>
      </c>
      <c r="R1215" s="92">
        <v>4.0140433099370493E-5</v>
      </c>
      <c r="S1215" s="92">
        <v>0.16743902549482462</v>
      </c>
      <c r="T1215" s="92">
        <v>-12.094725368074995</v>
      </c>
      <c r="U1215" s="92">
        <v>-0.57073858357055685</v>
      </c>
      <c r="V1215" s="92">
        <v>-0.18628814762739804</v>
      </c>
      <c r="W1215" s="92">
        <v>0.37655565332687413</v>
      </c>
      <c r="X1215" s="92">
        <v>0.15190384620057087</v>
      </c>
      <c r="Y1215" s="92">
        <v>1.7033955916186664E-4</v>
      </c>
      <c r="Z1215" s="92">
        <v>4.098214316920464E-3</v>
      </c>
      <c r="AA1215" s="92">
        <v>-1.2650193164020541E-3</v>
      </c>
      <c r="AB1215" s="92">
        <v>-1.4155514332313721E-3</v>
      </c>
      <c r="AC1215" s="119">
        <v>8.5041745283595746E-3</v>
      </c>
      <c r="AD1215" s="119">
        <v>9.6938435596623584</v>
      </c>
      <c r="AE1215" s="120">
        <v>1.0932753381038307E-2</v>
      </c>
      <c r="AF1215" s="119">
        <v>1.5590852626116893E-3</v>
      </c>
      <c r="AG1215" s="119">
        <v>0.84252981799367332</v>
      </c>
      <c r="AH1215" s="120"/>
      <c r="AI1215" s="121"/>
      <c r="AJ1215" s="121"/>
      <c r="AK1215" s="121"/>
      <c r="AL1215" s="121"/>
      <c r="AM1215" s="122"/>
      <c r="AN1215" s="121"/>
      <c r="AP1215" s="87"/>
    </row>
    <row r="1216" spans="1:42">
      <c r="A1216" s="72" t="s">
        <v>128</v>
      </c>
      <c r="B1216" s="72" t="s">
        <v>44</v>
      </c>
      <c r="C1216" s="71" t="s">
        <v>45</v>
      </c>
      <c r="D1216" s="72" t="s">
        <v>46</v>
      </c>
      <c r="E1216" s="71" t="s">
        <v>102</v>
      </c>
      <c r="F1216" s="72" t="s">
        <v>671</v>
      </c>
      <c r="G1216" s="77"/>
      <c r="H1216" s="72" t="str">
        <f t="shared" si="27"/>
        <v>Wanbao Isobutane 50 Hz 230V ETJ110</v>
      </c>
      <c r="I1216" s="91">
        <v>2.3780073217726718</v>
      </c>
      <c r="J1216" s="92">
        <v>-25.71872105578252</v>
      </c>
      <c r="K1216" s="92">
        <v>17.12410064263026</v>
      </c>
      <c r="L1216" s="92">
        <v>-0.68678801630169017</v>
      </c>
      <c r="M1216" s="92">
        <v>0.98215264351700804</v>
      </c>
      <c r="N1216" s="92">
        <v>-0.18745377758664541</v>
      </c>
      <c r="O1216" s="92">
        <v>-5.2606665811048628E-3</v>
      </c>
      <c r="P1216" s="92">
        <v>7.8711697175416848E-3</v>
      </c>
      <c r="Q1216" s="92">
        <v>-7.2387094793568132E-3</v>
      </c>
      <c r="R1216" s="92">
        <v>4.0150964745924566E-5</v>
      </c>
      <c r="S1216" s="92">
        <v>0.16945678282514751</v>
      </c>
      <c r="T1216" s="92">
        <v>-12.906798857370505</v>
      </c>
      <c r="U1216" s="92">
        <v>-0.6642680825682048</v>
      </c>
      <c r="V1216" s="92">
        <v>-0.20118646961403805</v>
      </c>
      <c r="W1216" s="92">
        <v>0.39869015353806664</v>
      </c>
      <c r="X1216" s="92">
        <v>0.1622076135569139</v>
      </c>
      <c r="Y1216" s="92">
        <v>1.380139052485862E-4</v>
      </c>
      <c r="Z1216" s="92">
        <v>4.3545056235806999E-3</v>
      </c>
      <c r="AA1216" s="92">
        <v>-1.33075305095851E-3</v>
      </c>
      <c r="AB1216" s="92">
        <v>-1.5075847686907451E-3</v>
      </c>
      <c r="AC1216" s="119">
        <v>8.6641407520856844E-3</v>
      </c>
      <c r="AD1216" s="119">
        <v>11.662782938032315</v>
      </c>
      <c r="AE1216" s="120">
        <v>1.0712230034206054E-2</v>
      </c>
      <c r="AF1216" s="119">
        <v>1.2890789310954992E-3</v>
      </c>
      <c r="AG1216" s="119">
        <v>0.9501420898019739</v>
      </c>
      <c r="AH1216" s="120"/>
      <c r="AI1216" s="121"/>
      <c r="AJ1216" s="121"/>
      <c r="AK1216" s="121"/>
      <c r="AL1216" s="121"/>
      <c r="AM1216" s="122"/>
      <c r="AN1216" s="121"/>
      <c r="AP1216" s="87"/>
    </row>
    <row r="1217" spans="1:42">
      <c r="A1217" s="72" t="s">
        <v>128</v>
      </c>
      <c r="B1217" s="72" t="s">
        <v>44</v>
      </c>
      <c r="C1217" s="71" t="s">
        <v>45</v>
      </c>
      <c r="D1217" s="72" t="s">
        <v>46</v>
      </c>
      <c r="E1217" s="71" t="s">
        <v>102</v>
      </c>
      <c r="F1217" s="72" t="s">
        <v>672</v>
      </c>
      <c r="G1217" s="77"/>
      <c r="H1217" s="72" t="str">
        <f t="shared" si="27"/>
        <v>Wanbao Isobutane 50 Hz 230V ETJ95</v>
      </c>
      <c r="I1217" s="91">
        <v>2.3701654477576368</v>
      </c>
      <c r="J1217" s="92">
        <v>-23.281179531084284</v>
      </c>
      <c r="K1217" s="92">
        <v>15.143105116193004</v>
      </c>
      <c r="L1217" s="92">
        <v>-0.6363911832575071</v>
      </c>
      <c r="M1217" s="92">
        <v>0.86536554669297494</v>
      </c>
      <c r="N1217" s="92">
        <v>-0.16739203364301092</v>
      </c>
      <c r="O1217" s="92">
        <v>-5.0967093529902174E-3</v>
      </c>
      <c r="P1217" s="92">
        <v>6.8461407785831707E-3</v>
      </c>
      <c r="Q1217" s="92">
        <v>-6.4386995214608701E-3</v>
      </c>
      <c r="R1217" s="92">
        <v>4.0143630571491024E-5</v>
      </c>
      <c r="S1217" s="92">
        <v>0.16743384203694858</v>
      </c>
      <c r="T1217" s="92">
        <v>-11.503309056028897</v>
      </c>
      <c r="U1217" s="92">
        <v>-0.57528537680829361</v>
      </c>
      <c r="V1217" s="92">
        <v>-0.17664645035966497</v>
      </c>
      <c r="W1217" s="92">
        <v>0.35842988182120006</v>
      </c>
      <c r="X1217" s="92">
        <v>0.14517080655523595</v>
      </c>
      <c r="Y1217" s="92">
        <v>1.6958810417880071E-4</v>
      </c>
      <c r="Z1217" s="92">
        <v>3.8987668034777805E-3</v>
      </c>
      <c r="AA1217" s="92">
        <v>-1.2082907429478299E-3</v>
      </c>
      <c r="AB1217" s="92">
        <v>-1.3523140278760392E-3</v>
      </c>
      <c r="AC1217" s="119">
        <v>9.727521681083498E-3</v>
      </c>
      <c r="AD1217" s="119">
        <v>9.6893680013867041</v>
      </c>
      <c r="AE1217" s="120">
        <v>1.0924591537300828E-2</v>
      </c>
      <c r="AF1217" s="119">
        <v>1.0624994996759902E-3</v>
      </c>
      <c r="AG1217" s="119">
        <v>0.7593984507146907</v>
      </c>
      <c r="AH1217" s="120"/>
      <c r="AI1217" s="121"/>
      <c r="AJ1217" s="121"/>
      <c r="AK1217" s="121"/>
      <c r="AL1217" s="121"/>
      <c r="AM1217" s="122"/>
      <c r="AN1217" s="121"/>
      <c r="AP1217" s="87"/>
    </row>
    <row r="1218" spans="1:42">
      <c r="A1218" s="72" t="s">
        <v>128</v>
      </c>
      <c r="B1218" s="72" t="s">
        <v>44</v>
      </c>
      <c r="C1218" s="71" t="s">
        <v>45</v>
      </c>
      <c r="D1218" s="72" t="s">
        <v>46</v>
      </c>
      <c r="E1218" s="71" t="s">
        <v>102</v>
      </c>
      <c r="F1218" s="72" t="s">
        <v>673</v>
      </c>
      <c r="G1218" s="77"/>
      <c r="H1218" s="72" t="str">
        <f t="shared" si="27"/>
        <v>Wanbao Isobutane 50 Hz 230V ETY80</v>
      </c>
      <c r="I1218" s="91">
        <v>3.0065034304755587</v>
      </c>
      <c r="J1218" s="92">
        <v>-7.8421147184373972</v>
      </c>
      <c r="K1218" s="92">
        <v>18.726681920748511</v>
      </c>
      <c r="L1218" s="92">
        <v>-6.49635917438878E-2</v>
      </c>
      <c r="M1218" s="92">
        <v>0.71235466711101736</v>
      </c>
      <c r="N1218" s="92">
        <v>-0.27910368158706672</v>
      </c>
      <c r="O1218" s="92">
        <v>1.8880258683394242E-3</v>
      </c>
      <c r="P1218" s="92">
        <v>5.5836875933541075E-3</v>
      </c>
      <c r="Q1218" s="92">
        <v>-5.3239806897021433E-3</v>
      </c>
      <c r="R1218" s="92">
        <v>1.0752340852969184E-3</v>
      </c>
      <c r="S1218" s="92">
        <v>0.38781972129539211</v>
      </c>
      <c r="T1218" s="92">
        <v>-3.2201878277239815</v>
      </c>
      <c r="U1218" s="92">
        <v>3.6791938046225723</v>
      </c>
      <c r="V1218" s="92">
        <v>0.13959616823759963</v>
      </c>
      <c r="W1218" s="92">
        <v>0.33450838934681348</v>
      </c>
      <c r="X1218" s="92">
        <v>4.0390019309709271E-2</v>
      </c>
      <c r="Y1218" s="92">
        <v>4.2195773193530912E-3</v>
      </c>
      <c r="Z1218" s="92">
        <v>3.6422049583011169E-3</v>
      </c>
      <c r="AA1218" s="92">
        <v>-1.1222800533489861E-3</v>
      </c>
      <c r="AB1218" s="92">
        <v>-5.569723945019272E-4</v>
      </c>
      <c r="AC1218" s="119">
        <v>1.0736846967128606E-2</v>
      </c>
      <c r="AD1218" s="119">
        <v>6.5638111718117429</v>
      </c>
      <c r="AE1218" s="120">
        <v>1.0968249738984583E-2</v>
      </c>
      <c r="AF1218" s="119">
        <v>1.3216234708864389E-3</v>
      </c>
      <c r="AG1218" s="119">
        <v>0.65526602077428975</v>
      </c>
      <c r="AH1218" s="120"/>
      <c r="AI1218" s="121"/>
      <c r="AJ1218" s="121"/>
      <c r="AK1218" s="121"/>
      <c r="AL1218" s="121"/>
      <c r="AM1218" s="122"/>
      <c r="AN1218" s="121"/>
      <c r="AP1218" s="87"/>
    </row>
    <row r="1219" spans="1:42">
      <c r="A1219" s="72" t="s">
        <v>128</v>
      </c>
      <c r="B1219" s="72" t="s">
        <v>44</v>
      </c>
      <c r="C1219" s="71" t="s">
        <v>45</v>
      </c>
      <c r="D1219" s="72" t="s">
        <v>46</v>
      </c>
      <c r="E1219" s="71" t="s">
        <v>102</v>
      </c>
      <c r="F1219" s="72" t="s">
        <v>674</v>
      </c>
      <c r="G1219" s="77"/>
      <c r="H1219" s="72" t="str">
        <f t="shared" si="27"/>
        <v>Wanbao Isobutane 50 Hz 230V ETY95</v>
      </c>
      <c r="I1219" s="91">
        <v>2.1112491515146492</v>
      </c>
      <c r="J1219" s="92">
        <v>-21.402048146235373</v>
      </c>
      <c r="K1219" s="92">
        <v>15.399675095507268</v>
      </c>
      <c r="L1219" s="92">
        <v>-0.5686949872041871</v>
      </c>
      <c r="M1219" s="92">
        <v>0.84302710504981171</v>
      </c>
      <c r="N1219" s="92">
        <v>-0.17721870665245115</v>
      </c>
      <c r="O1219" s="92">
        <v>-4.3441604849453934E-3</v>
      </c>
      <c r="P1219" s="92">
        <v>6.6070400522547429E-3</v>
      </c>
      <c r="Q1219" s="92">
        <v>-6.3038208466869115E-3</v>
      </c>
      <c r="R1219" s="92">
        <v>1.3685679806395057E-4</v>
      </c>
      <c r="S1219" s="92">
        <v>0.17243418438766023</v>
      </c>
      <c r="T1219" s="92">
        <v>-13.281264221047898</v>
      </c>
      <c r="U1219" s="92">
        <v>-0.74406438445952705</v>
      </c>
      <c r="V1219" s="92">
        <v>-0.20732622000002465</v>
      </c>
      <c r="W1219" s="92">
        <v>0.40966813609710212</v>
      </c>
      <c r="X1219" s="92">
        <v>0.1677940579091827</v>
      </c>
      <c r="Y1219" s="92">
        <v>1.2185109973560662E-4</v>
      </c>
      <c r="Z1219" s="92">
        <v>4.4603486804710313E-3</v>
      </c>
      <c r="AA1219" s="92">
        <v>-1.3800055568794472E-3</v>
      </c>
      <c r="AB1219" s="92">
        <v>-1.5591255727627996E-3</v>
      </c>
      <c r="AC1219" s="119">
        <v>5.8627957887562457E-3</v>
      </c>
      <c r="AD1219" s="119">
        <v>9.0046850891217467</v>
      </c>
      <c r="AE1219" s="120">
        <v>1.0851089951031075E-2</v>
      </c>
      <c r="AF1219" s="119">
        <v>9.7217457069385808E-4</v>
      </c>
      <c r="AG1219" s="119">
        <v>0.98381903566016815</v>
      </c>
      <c r="AH1219" s="120"/>
      <c r="AI1219" s="121"/>
      <c r="AJ1219" s="121"/>
      <c r="AK1219" s="121"/>
      <c r="AL1219" s="121"/>
      <c r="AM1219" s="122"/>
      <c r="AN1219" s="121"/>
      <c r="AP1219" s="87"/>
    </row>
    <row r="1220" spans="1:42">
      <c r="A1220" s="72" t="s">
        <v>128</v>
      </c>
      <c r="B1220" s="72" t="s">
        <v>44</v>
      </c>
      <c r="C1220" s="71" t="s">
        <v>45</v>
      </c>
      <c r="D1220" s="72" t="s">
        <v>46</v>
      </c>
      <c r="E1220" s="71" t="s">
        <v>102</v>
      </c>
      <c r="F1220" s="72" t="s">
        <v>675</v>
      </c>
      <c r="G1220" s="77"/>
      <c r="H1220" s="72" t="str">
        <f t="shared" si="27"/>
        <v>Wanbao Isobutane 50 Hz 230V ETZ110</v>
      </c>
      <c r="I1220" s="91">
        <v>1.3790933776072438</v>
      </c>
      <c r="J1220" s="92">
        <v>-15.539012486585181</v>
      </c>
      <c r="K1220" s="92">
        <v>22.034168358144239</v>
      </c>
      <c r="L1220" s="92">
        <v>-0.29295195279027564</v>
      </c>
      <c r="M1220" s="92">
        <v>0.94577084570971204</v>
      </c>
      <c r="N1220" s="92">
        <v>-0.30605493678478701</v>
      </c>
      <c r="O1220" s="92">
        <v>-2.7312026482065598E-4</v>
      </c>
      <c r="P1220" s="92">
        <v>7.3873408414316466E-3</v>
      </c>
      <c r="Q1220" s="92">
        <v>-7.0840860723561782E-3</v>
      </c>
      <c r="R1220" s="92">
        <v>9.4462651883608917E-4</v>
      </c>
      <c r="S1220" s="92">
        <v>4.5137694660368679E-3</v>
      </c>
      <c r="T1220" s="92">
        <v>-1.6428284315235675</v>
      </c>
      <c r="U1220" s="92">
        <v>6.1443965483052789</v>
      </c>
      <c r="V1220" s="92">
        <v>0.2802829523891664</v>
      </c>
      <c r="W1220" s="92">
        <v>0.4292847557134431</v>
      </c>
      <c r="X1220" s="92">
        <v>1.9667543524194604E-2</v>
      </c>
      <c r="Y1220" s="92">
        <v>6.7690982221961671E-3</v>
      </c>
      <c r="Z1220" s="92">
        <v>4.6786099118875874E-3</v>
      </c>
      <c r="AA1220" s="92">
        <v>-1.4385163856545846E-3</v>
      </c>
      <c r="AB1220" s="92">
        <v>-4.7624412526830535E-4</v>
      </c>
      <c r="AC1220" s="119">
        <v>2.3468845263900789E-2</v>
      </c>
      <c r="AD1220" s="119">
        <v>11.138986231749556</v>
      </c>
      <c r="AE1220" s="120">
        <v>1.0830830344687037E-2</v>
      </c>
      <c r="AF1220" s="119">
        <v>2.3213768383890014E-3</v>
      </c>
      <c r="AG1220" s="119">
        <v>1.108453939755867</v>
      </c>
      <c r="AH1220" s="120"/>
      <c r="AI1220" s="121"/>
      <c r="AJ1220" s="121"/>
      <c r="AK1220" s="121"/>
      <c r="AL1220" s="121"/>
      <c r="AM1220" s="122"/>
      <c r="AN1220" s="121"/>
      <c r="AP1220" s="87"/>
    </row>
    <row r="1221" spans="1:42">
      <c r="A1221" s="72" t="s">
        <v>128</v>
      </c>
      <c r="B1221" s="72" t="s">
        <v>44</v>
      </c>
      <c r="C1221" s="71" t="s">
        <v>45</v>
      </c>
      <c r="D1221" s="72" t="s">
        <v>46</v>
      </c>
      <c r="E1221" s="71" t="s">
        <v>102</v>
      </c>
      <c r="F1221" s="72" t="s">
        <v>676</v>
      </c>
      <c r="G1221" s="77"/>
      <c r="H1221" s="72" t="str">
        <f t="shared" si="27"/>
        <v>Wanbao Isobutane 50 Hz 230V ETZ72</v>
      </c>
      <c r="I1221" s="91">
        <v>1.8246165966279593</v>
      </c>
      <c r="J1221" s="92">
        <v>-5.2846943946781657</v>
      </c>
      <c r="K1221" s="92">
        <v>15.75072375908775</v>
      </c>
      <c r="L1221" s="92">
        <v>0.17794933621023318</v>
      </c>
      <c r="M1221" s="92">
        <v>0.80262147482713964</v>
      </c>
      <c r="N1221" s="92">
        <v>-0.13743384722793639</v>
      </c>
      <c r="O1221" s="92">
        <v>5.745899882439922E-3</v>
      </c>
      <c r="P1221" s="92">
        <v>6.6786123129063749E-3</v>
      </c>
      <c r="Q1221" s="92">
        <v>-5.0355949285448478E-3</v>
      </c>
      <c r="R1221" s="92">
        <v>2.9147447930606605E-5</v>
      </c>
      <c r="S1221" s="92">
        <v>0.17342222770450252</v>
      </c>
      <c r="T1221" s="92">
        <v>-9.309002666187121</v>
      </c>
      <c r="U1221" s="92">
        <v>-0.44485522498332719</v>
      </c>
      <c r="V1221" s="92">
        <v>-0.14427772815552123</v>
      </c>
      <c r="W1221" s="92">
        <v>0.28872855962780009</v>
      </c>
      <c r="X1221" s="92">
        <v>0.11676243418354311</v>
      </c>
      <c r="Y1221" s="92">
        <v>1.1143239014465244E-4</v>
      </c>
      <c r="Z1221" s="92">
        <v>3.1396876245810188E-3</v>
      </c>
      <c r="AA1221" s="92">
        <v>-9.6944309789274757E-4</v>
      </c>
      <c r="AB1221" s="92">
        <v>-1.0877353711686258E-3</v>
      </c>
      <c r="AC1221" s="119">
        <v>6.5822432556217024E-3</v>
      </c>
      <c r="AD1221" s="119">
        <v>6.7862663862964681</v>
      </c>
      <c r="AE1221" s="120">
        <v>1.0265070381526204E-2</v>
      </c>
      <c r="AF1221" s="119">
        <v>1.0304695427043734E-3</v>
      </c>
      <c r="AG1221" s="119">
        <v>0.50657168604549263</v>
      </c>
      <c r="AH1221" s="120"/>
      <c r="AI1221" s="121"/>
      <c r="AJ1221" s="121"/>
      <c r="AK1221" s="121"/>
      <c r="AL1221" s="121"/>
      <c r="AM1221" s="122"/>
      <c r="AN1221" s="121"/>
      <c r="AP1221" s="87"/>
    </row>
    <row r="1222" spans="1:42">
      <c r="A1222" s="72" t="s">
        <v>128</v>
      </c>
      <c r="B1222" s="72" t="s">
        <v>44</v>
      </c>
      <c r="C1222" s="71" t="s">
        <v>45</v>
      </c>
      <c r="D1222" s="72" t="s">
        <v>46</v>
      </c>
      <c r="E1222" s="71" t="s">
        <v>102</v>
      </c>
      <c r="F1222" s="72" t="s">
        <v>677</v>
      </c>
      <c r="G1222" s="77"/>
      <c r="H1222" s="72" t="str">
        <f t="shared" si="27"/>
        <v>Wanbao Isobutane 50 Hz 230V ETZ95</v>
      </c>
      <c r="I1222" s="91">
        <v>1.3753669068209893</v>
      </c>
      <c r="J1222" s="92">
        <v>-13.743501575926558</v>
      </c>
      <c r="K1222" s="92">
        <v>19.737397124411427</v>
      </c>
      <c r="L1222" s="92">
        <v>-0.26112591885475545</v>
      </c>
      <c r="M1222" s="92">
        <v>0.83997341212347443</v>
      </c>
      <c r="N1222" s="92">
        <v>-0.27609355862085588</v>
      </c>
      <c r="O1222" s="92">
        <v>-2.7462208909051738E-4</v>
      </c>
      <c r="P1222" s="92">
        <v>6.5566936708733523E-3</v>
      </c>
      <c r="Q1222" s="92">
        <v>-6.2980986870856005E-3</v>
      </c>
      <c r="R1222" s="92">
        <v>8.704339457830067E-4</v>
      </c>
      <c r="S1222" s="92">
        <v>4.51377447786109E-3</v>
      </c>
      <c r="T1222" s="92">
        <v>-1.6235929114055412</v>
      </c>
      <c r="U1222" s="92">
        <v>5.7904544535805051</v>
      </c>
      <c r="V1222" s="92">
        <v>0.26413738039163437</v>
      </c>
      <c r="W1222" s="92">
        <v>0.4085093494724687</v>
      </c>
      <c r="X1222" s="92">
        <v>1.9795736873708728E-2</v>
      </c>
      <c r="Y1222" s="92">
        <v>6.3960787264105449E-3</v>
      </c>
      <c r="Z1222" s="92">
        <v>4.4417389836333403E-3</v>
      </c>
      <c r="AA1222" s="92">
        <v>-1.3777201352093633E-3</v>
      </c>
      <c r="AB1222" s="92">
        <v>-4.6221647115655409E-4</v>
      </c>
      <c r="AC1222" s="119">
        <v>1.4151783593183219E-2</v>
      </c>
      <c r="AD1222" s="119">
        <v>8.9953131450842232</v>
      </c>
      <c r="AE1222" s="120">
        <v>1.0886907456757926E-2</v>
      </c>
      <c r="AF1222" s="119">
        <v>1.269717602304706E-3</v>
      </c>
      <c r="AG1222" s="119">
        <v>0.98001519891701128</v>
      </c>
      <c r="AH1222" s="120"/>
      <c r="AI1222" s="121"/>
      <c r="AJ1222" s="121"/>
      <c r="AK1222" s="121"/>
      <c r="AL1222" s="121"/>
      <c r="AM1222" s="122"/>
      <c r="AN1222" s="121"/>
      <c r="AP1222" s="87"/>
    </row>
    <row r="1223" spans="1:42">
      <c r="A1223" s="71" t="s">
        <v>128</v>
      </c>
      <c r="B1223" s="72" t="s">
        <v>44</v>
      </c>
      <c r="C1223" s="71" t="s">
        <v>45</v>
      </c>
      <c r="D1223" s="72" t="s">
        <v>46</v>
      </c>
      <c r="E1223" s="71" t="s">
        <v>102</v>
      </c>
      <c r="F1223" s="72" t="s">
        <v>678</v>
      </c>
      <c r="G1223" s="77"/>
      <c r="H1223" s="72" t="str">
        <f t="shared" si="27"/>
        <v>Wanbao Isobutane 50 Hz 230V EYD40L RANGE IMPROVED</v>
      </c>
      <c r="I1223" s="91">
        <v>180.02346489236601</v>
      </c>
      <c r="J1223" s="92">
        <v>3.8418728600313994</v>
      </c>
      <c r="K1223" s="92">
        <v>0.85130911425195033</v>
      </c>
      <c r="L1223" s="92">
        <v>-6.828391078379123E-2</v>
      </c>
      <c r="M1223" s="92">
        <v>-6.7546721929322342E-3</v>
      </c>
      <c r="N1223" s="92">
        <v>-4.6015386010891141E-2</v>
      </c>
      <c r="O1223" s="92">
        <v>-1.9272150715939E-3</v>
      </c>
      <c r="P1223" s="92">
        <v>-4.0257750566001114E-4</v>
      </c>
      <c r="Q1223" s="92">
        <v>-4.0315076931423559E-4</v>
      </c>
      <c r="R1223" s="92">
        <v>2.6029302506928951E-4</v>
      </c>
      <c r="S1223" s="92">
        <v>-0.34563997182631229</v>
      </c>
      <c r="T1223" s="92">
        <v>-2.3857816739236957</v>
      </c>
      <c r="U1223" s="92">
        <v>1.9068661951995802</v>
      </c>
      <c r="V1223" s="92">
        <v>-4.9454371623252828E-2</v>
      </c>
      <c r="W1223" s="92">
        <v>7.3559130390796298E-2</v>
      </c>
      <c r="X1223" s="92">
        <v>-1.2592091061275608E-2</v>
      </c>
      <c r="Y1223" s="92">
        <v>-2.5540892428865849E-5</v>
      </c>
      <c r="Z1223" s="92">
        <v>9.5618573362960121E-4</v>
      </c>
      <c r="AA1223" s="92">
        <v>5.312465730161704E-6</v>
      </c>
      <c r="AB1223" s="92">
        <v>1.0345989422579927E-4</v>
      </c>
      <c r="AC1223" s="119">
        <v>0.23911976351378125</v>
      </c>
      <c r="AD1223" s="119">
        <v>11.16016294697164</v>
      </c>
      <c r="AE1223" s="120">
        <v>3.1784235413234253E-2</v>
      </c>
      <c r="AF1223" s="119">
        <v>8.4717192491339993E-2</v>
      </c>
      <c r="AG1223" s="119">
        <v>2.709961919464456</v>
      </c>
      <c r="AH1223" s="120">
        <v>1.7553407501950436E-2</v>
      </c>
      <c r="AI1223" s="121">
        <v>-35</v>
      </c>
      <c r="AJ1223" s="121">
        <v>-15</v>
      </c>
      <c r="AK1223" s="121">
        <v>25</v>
      </c>
      <c r="AL1223" s="121">
        <v>55</v>
      </c>
      <c r="AM1223" s="122" t="s">
        <v>679</v>
      </c>
      <c r="AN1223" s="121" t="s">
        <v>680</v>
      </c>
      <c r="AP1223" s="87"/>
    </row>
    <row r="1224" spans="1:42">
      <c r="A1224" s="72" t="s">
        <v>128</v>
      </c>
      <c r="B1224" s="72" t="s">
        <v>100</v>
      </c>
      <c r="C1224" s="71" t="s">
        <v>45</v>
      </c>
      <c r="D1224" s="72" t="s">
        <v>46</v>
      </c>
      <c r="E1224" s="71" t="s">
        <v>102</v>
      </c>
      <c r="F1224" s="72" t="s">
        <v>681</v>
      </c>
      <c r="G1224" s="77"/>
      <c r="H1224" s="72" t="str">
        <f t="shared" si="27"/>
        <v>Wanbao R134a 50 Hz 230V ASD43K</v>
      </c>
      <c r="I1224" s="91">
        <v>12.060474452442985</v>
      </c>
      <c r="J1224" s="92">
        <v>29.383619844775211</v>
      </c>
      <c r="K1224" s="92">
        <v>38.12680478018499</v>
      </c>
      <c r="L1224" s="92">
        <v>0.76613155178700854</v>
      </c>
      <c r="M1224" s="92">
        <v>1.5194711913050206E-2</v>
      </c>
      <c r="N1224" s="92">
        <v>-0.9283373429966274</v>
      </c>
      <c r="O1224" s="92">
        <v>1.0991573512447455E-2</v>
      </c>
      <c r="P1224" s="92">
        <v>3.5521864858626077E-3</v>
      </c>
      <c r="Q1224" s="92">
        <v>7.8870267310872648E-4</v>
      </c>
      <c r="R1224" s="92">
        <v>7.0555095958196711E-3</v>
      </c>
      <c r="S1224" s="92">
        <v>0.49904617764450054</v>
      </c>
      <c r="T1224" s="92">
        <v>5.3363500942326931</v>
      </c>
      <c r="U1224" s="92">
        <v>9.9239662547661869</v>
      </c>
      <c r="V1224" s="92">
        <v>-3.4920822543270317E-3</v>
      </c>
      <c r="W1224" s="92">
        <v>-0.12505766438190941</v>
      </c>
      <c r="X1224" s="92">
        <v>-0.22313354201623997</v>
      </c>
      <c r="Y1224" s="92">
        <v>1.422799216859876E-3</v>
      </c>
      <c r="Z1224" s="92">
        <v>3.1039294832881639E-3</v>
      </c>
      <c r="AA1224" s="92">
        <v>3.2528274518427523E-3</v>
      </c>
      <c r="AB1224" s="92">
        <v>2.1320569437995808E-3</v>
      </c>
      <c r="AC1224" s="119">
        <v>8.4010620994088517E-3</v>
      </c>
      <c r="AD1224" s="119">
        <v>0.17896137672381868</v>
      </c>
      <c r="AE1224" s="120">
        <v>2.4935175904458227E-3</v>
      </c>
      <c r="AF1224" s="119">
        <v>4.6792234246364654E-4</v>
      </c>
      <c r="AG1224" s="119">
        <v>0.84345338253870894</v>
      </c>
      <c r="AH1224" s="120"/>
      <c r="AI1224" s="121"/>
      <c r="AJ1224" s="121"/>
      <c r="AK1224" s="121"/>
      <c r="AL1224" s="121"/>
      <c r="AM1224" s="122"/>
      <c r="AN1224" s="121"/>
      <c r="AP1224" s="87"/>
    </row>
    <row r="1225" spans="1:42">
      <c r="A1225" s="72" t="s">
        <v>128</v>
      </c>
      <c r="B1225" s="72" t="s">
        <v>100</v>
      </c>
      <c r="C1225" s="71" t="s">
        <v>45</v>
      </c>
      <c r="D1225" s="72" t="s">
        <v>46</v>
      </c>
      <c r="E1225" s="71" t="s">
        <v>102</v>
      </c>
      <c r="F1225" s="72" t="s">
        <v>682</v>
      </c>
      <c r="G1225" s="77"/>
      <c r="H1225" s="72" t="str">
        <f t="shared" si="27"/>
        <v>Wanbao R134a 50 Hz 230V ASD53K</v>
      </c>
      <c r="I1225" s="91">
        <v>16.07964340305217</v>
      </c>
      <c r="J1225" s="92">
        <v>14.772689306505193</v>
      </c>
      <c r="K1225" s="92">
        <v>33.245971367621244</v>
      </c>
      <c r="L1225" s="92">
        <v>4.9015797482904702E-2</v>
      </c>
      <c r="M1225" s="92">
        <v>4.7297382441720184E-3</v>
      </c>
      <c r="N1225" s="92">
        <v>-0.82917450833476802</v>
      </c>
      <c r="O1225" s="92">
        <v>-2.5033723057131187E-3</v>
      </c>
      <c r="P1225" s="92">
        <v>-1.2041619971085825E-4</v>
      </c>
      <c r="Q1225" s="92">
        <v>-9.0146020002588006E-4</v>
      </c>
      <c r="R1225" s="92">
        <v>6.0787905264187885E-3</v>
      </c>
      <c r="S1225" s="92">
        <v>0.74444727947576439</v>
      </c>
      <c r="T1225" s="92">
        <v>-21.681229263723555</v>
      </c>
      <c r="U1225" s="92">
        <v>-0.59025199361743141</v>
      </c>
      <c r="V1225" s="92">
        <v>-1.5634515330732519</v>
      </c>
      <c r="W1225" s="92">
        <v>-0.49383453717369619</v>
      </c>
      <c r="X1225" s="92">
        <v>-0.10078079158863247</v>
      </c>
      <c r="Y1225" s="92">
        <v>-1.9935124713100241E-2</v>
      </c>
      <c r="Z1225" s="92">
        <v>5.1832178845929002E-3</v>
      </c>
      <c r="AA1225" s="92">
        <v>8.4000750379632835E-3</v>
      </c>
      <c r="AB1225" s="92">
        <v>2.0964548628582915E-3</v>
      </c>
      <c r="AC1225" s="119">
        <v>3.3664535919633184E-2</v>
      </c>
      <c r="AD1225" s="119">
        <v>1.3659704092029028</v>
      </c>
      <c r="AE1225" s="120">
        <v>5.0761557670202387E-3</v>
      </c>
      <c r="AF1225" s="119">
        <v>5.575363642034278E-3</v>
      </c>
      <c r="AG1225" s="119">
        <v>17.315308784717896</v>
      </c>
      <c r="AH1225" s="120"/>
      <c r="AI1225" s="121"/>
      <c r="AJ1225" s="121"/>
      <c r="AK1225" s="121"/>
      <c r="AL1225" s="121"/>
      <c r="AM1225" s="122"/>
      <c r="AN1225" s="121"/>
      <c r="AP1225" s="87"/>
    </row>
    <row r="1226" spans="1:42">
      <c r="A1226" s="72" t="s">
        <v>128</v>
      </c>
      <c r="B1226" s="72" t="s">
        <v>100</v>
      </c>
      <c r="C1226" s="71" t="s">
        <v>45</v>
      </c>
      <c r="D1226" s="72" t="s">
        <v>46</v>
      </c>
      <c r="E1226" s="71" t="s">
        <v>102</v>
      </c>
      <c r="F1226" s="72" t="s">
        <v>683</v>
      </c>
      <c r="G1226" s="77"/>
      <c r="H1226" s="72" t="str">
        <f t="shared" si="27"/>
        <v>Wanbao R134a 50 Hz 230V ASD65</v>
      </c>
      <c r="I1226" s="91">
        <v>2.1220732021214879</v>
      </c>
      <c r="J1226" s="92">
        <v>-35.920253238332627</v>
      </c>
      <c r="K1226" s="92">
        <v>13.546609386675991</v>
      </c>
      <c r="L1226" s="92">
        <v>-2.1384296579719257</v>
      </c>
      <c r="M1226" s="92">
        <v>-1.922869273032744E-2</v>
      </c>
      <c r="N1226" s="92">
        <v>-0.4175509064839793</v>
      </c>
      <c r="O1226" s="92">
        <v>-2.8075212962340602E-2</v>
      </c>
      <c r="P1226" s="92">
        <v>4.1950462245749377E-3</v>
      </c>
      <c r="Q1226" s="92">
        <v>9.8299110878437789E-4</v>
      </c>
      <c r="R1226" s="92">
        <v>3.3161356362034198E-3</v>
      </c>
      <c r="S1226" s="92">
        <v>0.63044526486345076</v>
      </c>
      <c r="T1226" s="92">
        <v>2.1419440050275225</v>
      </c>
      <c r="U1226" s="92">
        <v>10.775714387185467</v>
      </c>
      <c r="V1226" s="92">
        <v>0.26099741208011012</v>
      </c>
      <c r="W1226" s="92">
        <v>0.31465784214437648</v>
      </c>
      <c r="X1226" s="92">
        <v>-0.11703156986947283</v>
      </c>
      <c r="Y1226" s="92">
        <v>3.7992972984602784E-5</v>
      </c>
      <c r="Z1226" s="92">
        <v>-3.9228841385453381E-3</v>
      </c>
      <c r="AA1226" s="92">
        <v>-4.4887924128264164E-3</v>
      </c>
      <c r="AB1226" s="92">
        <v>1.259403311030933E-4</v>
      </c>
      <c r="AC1226" s="119">
        <v>8.1952684297615531E-3</v>
      </c>
      <c r="AD1226" s="119">
        <v>0.42151292610358188</v>
      </c>
      <c r="AE1226" s="120">
        <v>2.1400213803721225E-3</v>
      </c>
      <c r="AF1226" s="119">
        <v>2.7899615989301484E-4</v>
      </c>
      <c r="AG1226" s="119">
        <v>3.8828967786544315E-2</v>
      </c>
      <c r="AH1226" s="120"/>
      <c r="AI1226" s="121"/>
      <c r="AJ1226" s="121"/>
      <c r="AK1226" s="121"/>
      <c r="AL1226" s="121"/>
      <c r="AM1226" s="122"/>
      <c r="AN1226" s="121"/>
      <c r="AP1226" s="87"/>
    </row>
    <row r="1227" spans="1:42">
      <c r="A1227" s="72" t="s">
        <v>128</v>
      </c>
      <c r="B1227" s="72" t="s">
        <v>100</v>
      </c>
      <c r="C1227" s="71" t="s">
        <v>45</v>
      </c>
      <c r="D1227" s="72" t="s">
        <v>46</v>
      </c>
      <c r="E1227" s="71" t="s">
        <v>102</v>
      </c>
      <c r="F1227" s="72" t="s">
        <v>684</v>
      </c>
      <c r="G1227" s="77"/>
      <c r="H1227" s="72" t="str">
        <f t="shared" si="27"/>
        <v>Wanbao R134a 50 Hz 230V ASF51X</v>
      </c>
      <c r="I1227" s="91">
        <v>13.169913054977325</v>
      </c>
      <c r="J1227" s="92">
        <v>19.673578058308689</v>
      </c>
      <c r="K1227" s="92">
        <v>39.167428280340864</v>
      </c>
      <c r="L1227" s="92">
        <v>0.29070932628270779</v>
      </c>
      <c r="M1227" s="92">
        <v>0.13827042176550169</v>
      </c>
      <c r="N1227" s="92">
        <v>-0.9301723539586273</v>
      </c>
      <c r="O1227" s="92">
        <v>-8.19265112427551E-4</v>
      </c>
      <c r="P1227" s="92">
        <v>-2.0748731555037263E-3</v>
      </c>
      <c r="Q1227" s="92">
        <v>-3.6513298036641734E-3</v>
      </c>
      <c r="R1227" s="92">
        <v>6.2969582290695724E-3</v>
      </c>
      <c r="S1227" s="92">
        <v>0.57746294807174592</v>
      </c>
      <c r="T1227" s="92">
        <v>-3.4849938692811961</v>
      </c>
      <c r="U1227" s="92">
        <v>8.400559139853792</v>
      </c>
      <c r="V1227" s="92">
        <v>0.28427596031711033</v>
      </c>
      <c r="W1227" s="92">
        <v>0.65099450979661622</v>
      </c>
      <c r="X1227" s="92">
        <v>5.6095016080442671E-3</v>
      </c>
      <c r="Y1227" s="92">
        <v>4.3761799526198328E-3</v>
      </c>
      <c r="Z1227" s="92">
        <v>2.1207928523288796E-3</v>
      </c>
      <c r="AA1227" s="92">
        <v>-6.0442120969104608E-3</v>
      </c>
      <c r="AB1227" s="92">
        <v>-1.221202781175053E-3</v>
      </c>
      <c r="AC1227" s="119">
        <v>0.34242120590659075</v>
      </c>
      <c r="AD1227" s="119">
        <v>3.8234228125565877</v>
      </c>
      <c r="AE1227" s="120">
        <v>6.565496383480229E-3</v>
      </c>
      <c r="AF1227" s="119">
        <v>0.85023673982508285</v>
      </c>
      <c r="AG1227" s="119">
        <v>8.3367377748292348</v>
      </c>
      <c r="AH1227" s="120"/>
      <c r="AI1227" s="121"/>
      <c r="AJ1227" s="121"/>
      <c r="AK1227" s="121"/>
      <c r="AL1227" s="121"/>
      <c r="AM1227" s="122"/>
      <c r="AN1227" s="121"/>
      <c r="AP1227" s="87"/>
    </row>
    <row r="1228" spans="1:42">
      <c r="A1228" s="72" t="s">
        <v>128</v>
      </c>
      <c r="B1228" s="72" t="s">
        <v>100</v>
      </c>
      <c r="C1228" s="71" t="s">
        <v>45</v>
      </c>
      <c r="D1228" s="72" t="s">
        <v>46</v>
      </c>
      <c r="E1228" s="71" t="s">
        <v>102</v>
      </c>
      <c r="F1228" s="72" t="s">
        <v>685</v>
      </c>
      <c r="G1228" s="77"/>
      <c r="H1228" s="72" t="str">
        <f t="shared" si="27"/>
        <v>Wanbao R134a 50 Hz 230V ASF53K</v>
      </c>
      <c r="I1228" s="91">
        <v>2.1126245896572717</v>
      </c>
      <c r="J1228" s="92">
        <v>-28.268854362574508</v>
      </c>
      <c r="K1228" s="92">
        <v>12.141661217102941</v>
      </c>
      <c r="L1228" s="92">
        <v>-1.7126395264871275</v>
      </c>
      <c r="M1228" s="92">
        <v>-1.9286608219789361E-2</v>
      </c>
      <c r="N1228" s="92">
        <v>-0.36916590263528154</v>
      </c>
      <c r="O1228" s="92">
        <v>-2.21475918272491E-2</v>
      </c>
      <c r="P1228" s="92">
        <v>4.0073535136917506E-3</v>
      </c>
      <c r="Q1228" s="92">
        <v>1.1643038544765782E-3</v>
      </c>
      <c r="R1228" s="92">
        <v>2.9955920309259103E-3</v>
      </c>
      <c r="S1228" s="92">
        <v>0.63019743783022364</v>
      </c>
      <c r="T1228" s="92">
        <v>1.4445050162859556</v>
      </c>
      <c r="U1228" s="92">
        <v>7.1826087683156921</v>
      </c>
      <c r="V1228" s="92">
        <v>-0.13404157074068063</v>
      </c>
      <c r="W1228" s="92">
        <v>-0.12350815262303109</v>
      </c>
      <c r="X1228" s="92">
        <v>-0.15384702440195275</v>
      </c>
      <c r="Y1228" s="92">
        <v>4.2568059705928484E-5</v>
      </c>
      <c r="Z1228" s="92">
        <v>3.1192083389839178E-3</v>
      </c>
      <c r="AA1228" s="92">
        <v>3.2440773399548734E-3</v>
      </c>
      <c r="AB1228" s="92">
        <v>1.568445479132007E-3</v>
      </c>
      <c r="AC1228" s="119">
        <v>8.3695461543320114E-4</v>
      </c>
      <c r="AD1228" s="119">
        <v>0.15566942060313407</v>
      </c>
      <c r="AE1228" s="120">
        <v>1.5807812560663275E-3</v>
      </c>
      <c r="AF1228" s="119">
        <v>4.9360579278191567E-6</v>
      </c>
      <c r="AG1228" s="119">
        <v>1.1172560246483997E-4</v>
      </c>
      <c r="AH1228" s="120"/>
      <c r="AI1228" s="121"/>
      <c r="AJ1228" s="121"/>
      <c r="AK1228" s="121"/>
      <c r="AL1228" s="121"/>
      <c r="AM1228" s="122"/>
      <c r="AN1228" s="121"/>
      <c r="AP1228" s="87"/>
    </row>
    <row r="1229" spans="1:42">
      <c r="A1229" s="72" t="s">
        <v>128</v>
      </c>
      <c r="B1229" s="72" t="s">
        <v>100</v>
      </c>
      <c r="C1229" s="71" t="s">
        <v>45</v>
      </c>
      <c r="D1229" s="72" t="s">
        <v>46</v>
      </c>
      <c r="E1229" s="71" t="s">
        <v>102</v>
      </c>
      <c r="F1229" s="72" t="s">
        <v>686</v>
      </c>
      <c r="G1229" s="77"/>
      <c r="H1229" s="72" t="str">
        <f t="shared" si="27"/>
        <v>Wanbao R134a 50 Hz 230V ASF65K</v>
      </c>
      <c r="I1229" s="91">
        <v>2.120579335478693</v>
      </c>
      <c r="J1229" s="92">
        <v>-33.068478134399641</v>
      </c>
      <c r="K1229" s="92">
        <v>13.586851550183454</v>
      </c>
      <c r="L1229" s="92">
        <v>-1.985208750626871</v>
      </c>
      <c r="M1229" s="92">
        <v>-1.9129350107415111E-2</v>
      </c>
      <c r="N1229" s="92">
        <v>-0.41398120282512113</v>
      </c>
      <c r="O1229" s="92">
        <v>-2.5801659791165402E-2</v>
      </c>
      <c r="P1229" s="92">
        <v>4.2996557257825672E-3</v>
      </c>
      <c r="Q1229" s="92">
        <v>1.1326091317062561E-3</v>
      </c>
      <c r="R1229" s="92">
        <v>3.320069281440091E-3</v>
      </c>
      <c r="S1229" s="92">
        <v>0.63328559189436284</v>
      </c>
      <c r="T1229" s="92">
        <v>2.819746944490424</v>
      </c>
      <c r="U1229" s="92">
        <v>9.6252182138889015</v>
      </c>
      <c r="V1229" s="92">
        <v>-0.13114722028064887</v>
      </c>
      <c r="W1229" s="92">
        <v>-0.13673409544620482</v>
      </c>
      <c r="X1229" s="92">
        <v>-0.21348603780548989</v>
      </c>
      <c r="Y1229" s="92">
        <v>4.0348791169797977E-5</v>
      </c>
      <c r="Z1229" s="92">
        <v>3.7031087938363067E-3</v>
      </c>
      <c r="AA1229" s="92">
        <v>3.7488066265389613E-3</v>
      </c>
      <c r="AB1229" s="92">
        <v>2.1320634650082802E-3</v>
      </c>
      <c r="AC1229" s="119">
        <v>5.6569526202495035E-3</v>
      </c>
      <c r="AD1229" s="119">
        <v>0.31139287234747559</v>
      </c>
      <c r="AE1229" s="120">
        <v>1.8714988838981425E-3</v>
      </c>
      <c r="AF1229" s="119">
        <v>3.9756597255060754E-4</v>
      </c>
      <c r="AG1229" s="119">
        <v>1.0624696541184617</v>
      </c>
      <c r="AH1229" s="120"/>
      <c r="AI1229" s="121"/>
      <c r="AJ1229" s="121"/>
      <c r="AK1229" s="121"/>
      <c r="AL1229" s="121"/>
      <c r="AM1229" s="122"/>
      <c r="AN1229" s="121"/>
      <c r="AP1229" s="87"/>
    </row>
    <row r="1230" spans="1:42">
      <c r="A1230" s="72" t="s">
        <v>128</v>
      </c>
      <c r="B1230" s="72" t="s">
        <v>100</v>
      </c>
      <c r="C1230" s="71" t="s">
        <v>45</v>
      </c>
      <c r="D1230" s="72" t="s">
        <v>46</v>
      </c>
      <c r="E1230" s="71" t="s">
        <v>102</v>
      </c>
      <c r="F1230" s="72" t="s">
        <v>687</v>
      </c>
      <c r="G1230" s="77"/>
      <c r="H1230" s="72" t="str">
        <f t="shared" si="27"/>
        <v>Wanbao R134a 50 Hz 230V ATK60L</v>
      </c>
      <c r="I1230" s="91">
        <v>1909.6156475090388</v>
      </c>
      <c r="J1230" s="92">
        <v>79.66496973309718</v>
      </c>
      <c r="K1230" s="92">
        <v>-42.94811924741925</v>
      </c>
      <c r="L1230" s="92">
        <v>1.3487285016921218</v>
      </c>
      <c r="M1230" s="92">
        <v>-1.0606199736925561</v>
      </c>
      <c r="N1230" s="92">
        <v>0.45556424403306245</v>
      </c>
      <c r="O1230" s="92">
        <v>5.2676145237929009E-3</v>
      </c>
      <c r="P1230" s="92">
        <v>-1.5451735890575014E-2</v>
      </c>
      <c r="Q1230" s="92">
        <v>-1.7264741019527863E-5</v>
      </c>
      <c r="R1230" s="92">
        <v>-2.9719657812807181E-3</v>
      </c>
      <c r="S1230" s="92">
        <v>706.59582356977876</v>
      </c>
      <c r="T1230" s="92">
        <v>25.792766136991926</v>
      </c>
      <c r="U1230" s="92">
        <v>-19.3710498280698</v>
      </c>
      <c r="V1230" s="92">
        <v>0.37435461201387848</v>
      </c>
      <c r="W1230" s="92">
        <v>-0.47103091394700941</v>
      </c>
      <c r="X1230" s="92">
        <v>0.27054933605615217</v>
      </c>
      <c r="Y1230" s="92">
        <v>1.8809063487407332E-3</v>
      </c>
      <c r="Z1230" s="92">
        <v>-3.574625789235791E-3</v>
      </c>
      <c r="AA1230" s="92">
        <v>2.9036580746360573E-3</v>
      </c>
      <c r="AB1230" s="92">
        <v>-1.2724574774723154E-3</v>
      </c>
      <c r="AC1230" s="119">
        <v>0.43118146583806477</v>
      </c>
      <c r="AD1230" s="119">
        <v>15.07869877532104</v>
      </c>
      <c r="AE1230" s="120">
        <v>1.2440315382918074E-2</v>
      </c>
      <c r="AF1230" s="119">
        <v>8.7276892001273525E-3</v>
      </c>
      <c r="AG1230" s="119">
        <v>0.35101388722789856</v>
      </c>
      <c r="AH1230" s="120"/>
      <c r="AI1230" s="121"/>
      <c r="AJ1230" s="121"/>
      <c r="AK1230" s="121"/>
      <c r="AL1230" s="121"/>
      <c r="AM1230" s="122"/>
      <c r="AN1230" s="121"/>
      <c r="AP1230" s="87"/>
    </row>
    <row r="1231" spans="1:42">
      <c r="A1231" s="3"/>
      <c r="B1231" s="3"/>
      <c r="C1231" s="3"/>
      <c r="D1231" s="3"/>
      <c r="E1231" s="3"/>
      <c r="F1231" s="3"/>
      <c r="G1231" s="3"/>
      <c r="H1231" s="3"/>
      <c r="I1231" s="100"/>
      <c r="J1231" s="101"/>
      <c r="K1231" s="101"/>
      <c r="L1231" s="101"/>
      <c r="M1231" s="101"/>
      <c r="N1231" s="101"/>
      <c r="O1231" s="101"/>
      <c r="P1231" s="101"/>
      <c r="Q1231" s="101"/>
      <c r="R1231" s="101"/>
      <c r="S1231" s="101"/>
      <c r="T1231" s="101"/>
      <c r="U1231" s="101"/>
      <c r="V1231" s="101"/>
      <c r="W1231" s="101"/>
      <c r="X1231" s="101"/>
      <c r="Y1231" s="101"/>
      <c r="Z1231" s="101"/>
      <c r="AA1231" s="101"/>
      <c r="AB1231" s="101"/>
      <c r="AC1231" s="119"/>
      <c r="AD1231" s="119"/>
      <c r="AE1231" s="120"/>
      <c r="AF1231" s="119"/>
      <c r="AG1231" s="119"/>
      <c r="AH1231" s="120"/>
      <c r="AI1231" s="121"/>
      <c r="AJ1231" s="121"/>
      <c r="AK1231" s="121"/>
      <c r="AL1231" s="121"/>
      <c r="AM1231" s="122"/>
      <c r="AN1231" s="121"/>
      <c r="AP1231" s="87"/>
    </row>
    <row r="1232" spans="1:42">
      <c r="A1232" s="3"/>
      <c r="B1232" s="3"/>
      <c r="C1232" s="3"/>
      <c r="D1232" s="3"/>
      <c r="E1232" s="3"/>
      <c r="F1232" s="3"/>
      <c r="G1232" s="3"/>
      <c r="H1232" s="3"/>
      <c r="I1232" s="100"/>
      <c r="J1232" s="101"/>
      <c r="K1232" s="101"/>
      <c r="L1232" s="101"/>
      <c r="M1232" s="101"/>
      <c r="N1232" s="101"/>
      <c r="O1232" s="101"/>
      <c r="P1232" s="101"/>
      <c r="Q1232" s="101"/>
      <c r="R1232" s="101"/>
      <c r="S1232" s="101"/>
      <c r="T1232" s="101"/>
      <c r="U1232" s="101"/>
      <c r="V1232" s="101"/>
      <c r="W1232" s="101"/>
      <c r="X1232" s="101"/>
      <c r="Y1232" s="101"/>
      <c r="Z1232" s="101"/>
      <c r="AA1232" s="101"/>
      <c r="AB1232" s="101"/>
      <c r="AC1232" s="119"/>
      <c r="AD1232" s="119"/>
      <c r="AE1232" s="120"/>
      <c r="AF1232" s="119"/>
      <c r="AG1232" s="119"/>
      <c r="AH1232" s="120"/>
      <c r="AI1232" s="121"/>
      <c r="AJ1232" s="121"/>
      <c r="AK1232" s="121"/>
      <c r="AL1232" s="121"/>
      <c r="AM1232" s="122"/>
      <c r="AN1232" s="121"/>
      <c r="AP1232" s="87"/>
    </row>
    <row r="1233" spans="1:42">
      <c r="A1233" s="3"/>
      <c r="B1233" s="3"/>
      <c r="C1233" s="3"/>
      <c r="D1233" s="3"/>
      <c r="E1233" s="3"/>
      <c r="F1233" s="3"/>
      <c r="G1233" s="3"/>
      <c r="H1233" s="3"/>
      <c r="I1233" s="100"/>
      <c r="J1233" s="101"/>
      <c r="K1233" s="101"/>
      <c r="L1233" s="101"/>
      <c r="M1233" s="101"/>
      <c r="N1233" s="101"/>
      <c r="O1233" s="101"/>
      <c r="P1233" s="101"/>
      <c r="Q1233" s="101"/>
      <c r="R1233" s="101"/>
      <c r="S1233" s="101"/>
      <c r="T1233" s="101"/>
      <c r="U1233" s="101"/>
      <c r="V1233" s="101"/>
      <c r="W1233" s="101"/>
      <c r="X1233" s="101"/>
      <c r="Y1233" s="101"/>
      <c r="Z1233" s="101"/>
      <c r="AA1233" s="101"/>
      <c r="AB1233" s="101"/>
      <c r="AC1233" s="119"/>
      <c r="AD1233" s="119"/>
      <c r="AE1233" s="120"/>
      <c r="AF1233" s="119"/>
      <c r="AG1233" s="119"/>
      <c r="AH1233" s="120"/>
      <c r="AI1233" s="121"/>
      <c r="AJ1233" s="121"/>
      <c r="AK1233" s="121"/>
      <c r="AL1233" s="121"/>
      <c r="AM1233" s="122"/>
      <c r="AN1233" s="121"/>
      <c r="AP1233" s="87"/>
    </row>
    <row r="1234" spans="1:42">
      <c r="A1234" s="3"/>
      <c r="B1234" s="3"/>
      <c r="C1234" s="3"/>
      <c r="D1234" s="3"/>
      <c r="E1234" s="3"/>
      <c r="F1234" s="3"/>
      <c r="G1234" s="3"/>
      <c r="H1234" s="3"/>
      <c r="I1234" s="100"/>
      <c r="J1234" s="101"/>
      <c r="K1234" s="101"/>
      <c r="L1234" s="101"/>
      <c r="M1234" s="101"/>
      <c r="N1234" s="101"/>
      <c r="O1234" s="101"/>
      <c r="P1234" s="101"/>
      <c r="Q1234" s="101"/>
      <c r="R1234" s="101"/>
      <c r="S1234" s="101"/>
      <c r="T1234" s="101"/>
      <c r="U1234" s="101"/>
      <c r="V1234" s="101"/>
      <c r="W1234" s="101"/>
      <c r="X1234" s="101"/>
      <c r="Y1234" s="101"/>
      <c r="Z1234" s="101"/>
      <c r="AA1234" s="101"/>
      <c r="AB1234" s="101"/>
      <c r="AC1234" s="119"/>
      <c r="AD1234" s="119"/>
      <c r="AE1234" s="120"/>
      <c r="AF1234" s="119"/>
      <c r="AG1234" s="119"/>
      <c r="AH1234" s="120"/>
      <c r="AI1234" s="121"/>
      <c r="AJ1234" s="121"/>
      <c r="AK1234" s="121"/>
      <c r="AL1234" s="121"/>
      <c r="AM1234" s="122"/>
      <c r="AN1234" s="121"/>
      <c r="AP1234" s="87"/>
    </row>
    <row r="1235" spans="1:42">
      <c r="A1235" s="3"/>
      <c r="B1235" s="3"/>
      <c r="C1235" s="3"/>
      <c r="D1235" s="3"/>
      <c r="E1235" s="3"/>
      <c r="F1235" s="3"/>
      <c r="G1235" s="3"/>
      <c r="H1235" s="3"/>
      <c r="I1235" s="100"/>
      <c r="J1235" s="101"/>
      <c r="K1235" s="101"/>
      <c r="L1235" s="101"/>
      <c r="M1235" s="101"/>
      <c r="N1235" s="101"/>
      <c r="O1235" s="101"/>
      <c r="P1235" s="101"/>
      <c r="Q1235" s="101"/>
      <c r="R1235" s="101"/>
      <c r="S1235" s="101"/>
      <c r="T1235" s="101"/>
      <c r="U1235" s="101"/>
      <c r="V1235" s="101"/>
      <c r="W1235" s="101"/>
      <c r="X1235" s="101"/>
      <c r="Y1235" s="101"/>
      <c r="Z1235" s="101"/>
      <c r="AA1235" s="101"/>
      <c r="AB1235" s="101"/>
      <c r="AC1235" s="119"/>
      <c r="AD1235" s="119"/>
      <c r="AE1235" s="120"/>
      <c r="AF1235" s="119"/>
      <c r="AG1235" s="119"/>
      <c r="AH1235" s="120"/>
      <c r="AI1235" s="121"/>
      <c r="AJ1235" s="121"/>
      <c r="AK1235" s="121"/>
      <c r="AL1235" s="121"/>
      <c r="AM1235" s="122"/>
      <c r="AN1235" s="121"/>
      <c r="AP1235" s="87"/>
    </row>
    <row r="1236" spans="1:42">
      <c r="A1236" s="3"/>
      <c r="B1236" s="3"/>
      <c r="C1236" s="3"/>
      <c r="D1236" s="3"/>
      <c r="E1236" s="3"/>
      <c r="F1236" s="3"/>
      <c r="G1236" s="3"/>
      <c r="H1236" s="3"/>
      <c r="I1236" s="100"/>
      <c r="J1236" s="101"/>
      <c r="K1236" s="101"/>
      <c r="L1236" s="101"/>
      <c r="M1236" s="101"/>
      <c r="N1236" s="101"/>
      <c r="O1236" s="101"/>
      <c r="P1236" s="101"/>
      <c r="Q1236" s="101"/>
      <c r="R1236" s="101"/>
      <c r="S1236" s="101"/>
      <c r="T1236" s="101"/>
      <c r="U1236" s="101"/>
      <c r="V1236" s="101"/>
      <c r="W1236" s="101"/>
      <c r="X1236" s="101"/>
      <c r="Y1236" s="101"/>
      <c r="Z1236" s="101"/>
      <c r="AA1236" s="101"/>
      <c r="AB1236" s="101"/>
      <c r="AC1236" s="119"/>
      <c r="AD1236" s="119"/>
      <c r="AE1236" s="120"/>
      <c r="AF1236" s="119"/>
      <c r="AG1236" s="119"/>
      <c r="AH1236" s="120"/>
      <c r="AI1236" s="121"/>
      <c r="AJ1236" s="121"/>
      <c r="AK1236" s="121"/>
      <c r="AL1236" s="121"/>
      <c r="AM1236" s="122"/>
      <c r="AN1236" s="121"/>
      <c r="AP1236" s="87"/>
    </row>
    <row r="1237" spans="1:42">
      <c r="A1237" s="3"/>
      <c r="B1237" s="3"/>
      <c r="C1237" s="3"/>
      <c r="D1237" s="3"/>
      <c r="E1237" s="3"/>
      <c r="F1237" s="3"/>
      <c r="G1237" s="3"/>
      <c r="H1237" s="3"/>
      <c r="I1237" s="100"/>
      <c r="J1237" s="101"/>
      <c r="K1237" s="101"/>
      <c r="L1237" s="101"/>
      <c r="M1237" s="101"/>
      <c r="N1237" s="101"/>
      <c r="O1237" s="101"/>
      <c r="P1237" s="101"/>
      <c r="Q1237" s="101"/>
      <c r="R1237" s="101"/>
      <c r="S1237" s="101"/>
      <c r="T1237" s="101"/>
      <c r="U1237" s="101"/>
      <c r="V1237" s="101"/>
      <c r="W1237" s="101"/>
      <c r="X1237" s="101"/>
      <c r="Y1237" s="101"/>
      <c r="Z1237" s="101"/>
      <c r="AA1237" s="101"/>
      <c r="AB1237" s="101"/>
      <c r="AC1237" s="119"/>
      <c r="AD1237" s="119"/>
      <c r="AE1237" s="120"/>
      <c r="AF1237" s="119"/>
      <c r="AG1237" s="119"/>
      <c r="AH1237" s="120"/>
      <c r="AI1237" s="121"/>
      <c r="AJ1237" s="121"/>
      <c r="AK1237" s="121"/>
      <c r="AL1237" s="121"/>
      <c r="AM1237" s="122"/>
      <c r="AN1237" s="121"/>
      <c r="AP1237" s="87"/>
    </row>
    <row r="1238" spans="1:42">
      <c r="A1238" s="3"/>
      <c r="B1238" s="3"/>
      <c r="C1238" s="3"/>
      <c r="D1238" s="3"/>
      <c r="E1238" s="3"/>
      <c r="F1238" s="3"/>
      <c r="G1238" s="3"/>
      <c r="H1238" s="3"/>
      <c r="I1238" s="100"/>
      <c r="J1238" s="101"/>
      <c r="K1238" s="101"/>
      <c r="L1238" s="101"/>
      <c r="M1238" s="101"/>
      <c r="N1238" s="101"/>
      <c r="O1238" s="101"/>
      <c r="P1238" s="101"/>
      <c r="Q1238" s="101"/>
      <c r="R1238" s="101"/>
      <c r="S1238" s="101"/>
      <c r="T1238" s="101"/>
      <c r="U1238" s="101"/>
      <c r="V1238" s="101"/>
      <c r="W1238" s="101"/>
      <c r="X1238" s="101"/>
      <c r="Y1238" s="101"/>
      <c r="Z1238" s="101"/>
      <c r="AA1238" s="101"/>
      <c r="AB1238" s="101"/>
      <c r="AC1238" s="119"/>
      <c r="AD1238" s="119"/>
      <c r="AE1238" s="120"/>
      <c r="AF1238" s="119"/>
      <c r="AG1238" s="119"/>
      <c r="AH1238" s="120"/>
      <c r="AI1238" s="121"/>
      <c r="AJ1238" s="121"/>
      <c r="AK1238" s="121"/>
      <c r="AL1238" s="121"/>
      <c r="AM1238" s="122"/>
      <c r="AN1238" s="121"/>
      <c r="AP1238" s="87"/>
    </row>
    <row r="1239" spans="1:42">
      <c r="A1239" s="3"/>
      <c r="B1239" s="3"/>
      <c r="C1239" s="3"/>
      <c r="D1239" s="3"/>
      <c r="E1239" s="3"/>
      <c r="F1239" s="3"/>
      <c r="G1239" s="3"/>
      <c r="H1239" s="3"/>
      <c r="I1239" s="100"/>
      <c r="J1239" s="101"/>
      <c r="K1239" s="101"/>
      <c r="L1239" s="101"/>
      <c r="M1239" s="101"/>
      <c r="N1239" s="101"/>
      <c r="O1239" s="101"/>
      <c r="P1239" s="101"/>
      <c r="Q1239" s="101"/>
      <c r="R1239" s="101"/>
      <c r="S1239" s="101"/>
      <c r="T1239" s="101"/>
      <c r="U1239" s="101"/>
      <c r="V1239" s="101"/>
      <c r="W1239" s="101"/>
      <c r="X1239" s="101"/>
      <c r="Y1239" s="101"/>
      <c r="Z1239" s="101"/>
      <c r="AA1239" s="101"/>
      <c r="AB1239" s="101"/>
      <c r="AC1239" s="119"/>
      <c r="AD1239" s="119"/>
      <c r="AE1239" s="120"/>
      <c r="AF1239" s="119"/>
      <c r="AG1239" s="119"/>
      <c r="AH1239" s="120"/>
      <c r="AI1239" s="121"/>
      <c r="AJ1239" s="121"/>
      <c r="AK1239" s="121"/>
      <c r="AL1239" s="121"/>
      <c r="AM1239" s="122"/>
      <c r="AN1239" s="121"/>
      <c r="AP1239" s="87"/>
    </row>
    <row r="1240" spans="1:42">
      <c r="A1240" s="3"/>
      <c r="B1240" s="3"/>
      <c r="C1240" s="3"/>
      <c r="D1240" s="3"/>
      <c r="E1240" s="3"/>
      <c r="F1240" s="3"/>
      <c r="G1240" s="3"/>
      <c r="H1240" s="3"/>
      <c r="I1240" s="100"/>
      <c r="J1240" s="101"/>
      <c r="K1240" s="101"/>
      <c r="L1240" s="101"/>
      <c r="M1240" s="101"/>
      <c r="N1240" s="101"/>
      <c r="O1240" s="101"/>
      <c r="P1240" s="101"/>
      <c r="Q1240" s="101"/>
      <c r="R1240" s="101"/>
      <c r="S1240" s="101"/>
      <c r="T1240" s="101"/>
      <c r="U1240" s="101"/>
      <c r="V1240" s="101"/>
      <c r="W1240" s="101"/>
      <c r="X1240" s="101"/>
      <c r="Y1240" s="101"/>
      <c r="Z1240" s="101"/>
      <c r="AA1240" s="101"/>
      <c r="AB1240" s="101"/>
      <c r="AC1240" s="119"/>
      <c r="AD1240" s="119"/>
      <c r="AE1240" s="120"/>
      <c r="AF1240" s="119"/>
      <c r="AG1240" s="119"/>
      <c r="AH1240" s="120"/>
      <c r="AI1240" s="121"/>
      <c r="AJ1240" s="121"/>
      <c r="AK1240" s="121"/>
      <c r="AL1240" s="121"/>
      <c r="AM1240" s="122"/>
      <c r="AN1240" s="121"/>
      <c r="AP1240" s="87"/>
    </row>
    <row r="1241" spans="1:42">
      <c r="A1241" s="3"/>
      <c r="B1241" s="3"/>
      <c r="C1241" s="3"/>
      <c r="D1241" s="3"/>
      <c r="E1241" s="3"/>
      <c r="F1241" s="3"/>
      <c r="G1241" s="3"/>
      <c r="H1241" s="3"/>
      <c r="I1241" s="100"/>
      <c r="J1241" s="101"/>
      <c r="K1241" s="101"/>
      <c r="L1241" s="101"/>
      <c r="M1241" s="101"/>
      <c r="N1241" s="101"/>
      <c r="O1241" s="101"/>
      <c r="P1241" s="101"/>
      <c r="Q1241" s="101"/>
      <c r="R1241" s="101"/>
      <c r="S1241" s="101"/>
      <c r="T1241" s="101"/>
      <c r="U1241" s="101"/>
      <c r="V1241" s="101"/>
      <c r="W1241" s="101"/>
      <c r="X1241" s="101"/>
      <c r="Y1241" s="101"/>
      <c r="Z1241" s="101"/>
      <c r="AA1241" s="101"/>
      <c r="AB1241" s="101"/>
      <c r="AC1241" s="119"/>
      <c r="AD1241" s="119"/>
      <c r="AE1241" s="120"/>
      <c r="AF1241" s="119"/>
      <c r="AG1241" s="119"/>
      <c r="AH1241" s="120"/>
      <c r="AI1241" s="121"/>
      <c r="AJ1241" s="121"/>
      <c r="AK1241" s="121"/>
      <c r="AL1241" s="121"/>
      <c r="AM1241" s="122"/>
      <c r="AN1241" s="121"/>
      <c r="AP1241" s="87"/>
    </row>
    <row r="1242" spans="1:42">
      <c r="A1242" s="3"/>
      <c r="B1242" s="3"/>
      <c r="C1242" s="3"/>
      <c r="D1242" s="3"/>
      <c r="E1242" s="3"/>
      <c r="F1242" s="3"/>
      <c r="G1242" s="3"/>
      <c r="H1242" s="3"/>
      <c r="I1242" s="100"/>
      <c r="J1242" s="101"/>
      <c r="K1242" s="101"/>
      <c r="L1242" s="101"/>
      <c r="M1242" s="101"/>
      <c r="N1242" s="101"/>
      <c r="O1242" s="101"/>
      <c r="P1242" s="101"/>
      <c r="Q1242" s="101"/>
      <c r="R1242" s="101"/>
      <c r="S1242" s="101"/>
      <c r="T1242" s="101"/>
      <c r="U1242" s="101"/>
      <c r="V1242" s="101"/>
      <c r="W1242" s="101"/>
      <c r="X1242" s="101"/>
      <c r="Y1242" s="101"/>
      <c r="Z1242" s="101"/>
      <c r="AA1242" s="101"/>
      <c r="AB1242" s="101"/>
      <c r="AC1242" s="119"/>
      <c r="AD1242" s="119"/>
      <c r="AE1242" s="120"/>
      <c r="AF1242" s="119"/>
      <c r="AG1242" s="119"/>
      <c r="AH1242" s="120"/>
      <c r="AI1242" s="121"/>
      <c r="AJ1242" s="121"/>
      <c r="AK1242" s="121"/>
      <c r="AL1242" s="121"/>
      <c r="AM1242" s="122"/>
      <c r="AN1242" s="121"/>
      <c r="AP1242" s="87"/>
    </row>
    <row r="1243" spans="1:42">
      <c r="A1243" s="3"/>
      <c r="B1243" s="3"/>
      <c r="C1243" s="3"/>
      <c r="D1243" s="3"/>
      <c r="E1243" s="3"/>
      <c r="F1243" s="3"/>
      <c r="G1243" s="3"/>
      <c r="H1243" s="3"/>
      <c r="I1243" s="100"/>
      <c r="J1243" s="101"/>
      <c r="K1243" s="101"/>
      <c r="L1243" s="101"/>
      <c r="M1243" s="101"/>
      <c r="N1243" s="101"/>
      <c r="O1243" s="101"/>
      <c r="P1243" s="101"/>
      <c r="Q1243" s="101"/>
      <c r="R1243" s="101"/>
      <c r="S1243" s="101"/>
      <c r="T1243" s="101"/>
      <c r="U1243" s="101"/>
      <c r="V1243" s="101"/>
      <c r="W1243" s="101"/>
      <c r="X1243" s="101"/>
      <c r="Y1243" s="101"/>
      <c r="Z1243" s="101"/>
      <c r="AA1243" s="101"/>
      <c r="AB1243" s="101"/>
      <c r="AC1243" s="119"/>
      <c r="AD1243" s="119"/>
      <c r="AE1243" s="120"/>
      <c r="AF1243" s="119"/>
      <c r="AG1243" s="119"/>
      <c r="AH1243" s="120"/>
      <c r="AI1243" s="121"/>
      <c r="AJ1243" s="121"/>
      <c r="AK1243" s="121"/>
      <c r="AL1243" s="121"/>
      <c r="AM1243" s="122"/>
      <c r="AN1243" s="121"/>
      <c r="AP1243" s="87"/>
    </row>
    <row r="1244" spans="1:42">
      <c r="A1244" s="3"/>
      <c r="B1244" s="3"/>
      <c r="C1244" s="3"/>
      <c r="D1244" s="3"/>
      <c r="E1244" s="3"/>
      <c r="F1244" s="3"/>
      <c r="G1244" s="3"/>
      <c r="H1244" s="3"/>
      <c r="I1244" s="100"/>
      <c r="J1244" s="101"/>
      <c r="K1244" s="101"/>
      <c r="L1244" s="101"/>
      <c r="M1244" s="101"/>
      <c r="N1244" s="101"/>
      <c r="O1244" s="101"/>
      <c r="P1244" s="101"/>
      <c r="Q1244" s="101"/>
      <c r="R1244" s="101"/>
      <c r="S1244" s="101"/>
      <c r="T1244" s="101"/>
      <c r="U1244" s="101"/>
      <c r="V1244" s="101"/>
      <c r="W1244" s="101"/>
      <c r="X1244" s="101"/>
      <c r="Y1244" s="101"/>
      <c r="Z1244" s="101"/>
      <c r="AA1244" s="101"/>
      <c r="AB1244" s="101"/>
      <c r="AC1244" s="119"/>
      <c r="AD1244" s="119"/>
      <c r="AE1244" s="120"/>
      <c r="AF1244" s="119"/>
      <c r="AG1244" s="119"/>
      <c r="AH1244" s="120"/>
      <c r="AI1244" s="121"/>
      <c r="AJ1244" s="121"/>
      <c r="AK1244" s="121"/>
      <c r="AL1244" s="121"/>
      <c r="AM1244" s="122"/>
      <c r="AN1244" s="121"/>
      <c r="AP1244" s="87"/>
    </row>
    <row r="1245" spans="1:42">
      <c r="A1245" s="3"/>
      <c r="B1245" s="3"/>
      <c r="C1245" s="3"/>
      <c r="D1245" s="3"/>
      <c r="E1245" s="3"/>
      <c r="F1245" s="3"/>
      <c r="G1245" s="3"/>
      <c r="H1245" s="3"/>
      <c r="I1245" s="100"/>
      <c r="J1245" s="101"/>
      <c r="K1245" s="101"/>
      <c r="L1245" s="101"/>
      <c r="M1245" s="101"/>
      <c r="N1245" s="101"/>
      <c r="O1245" s="101"/>
      <c r="P1245" s="101"/>
      <c r="Q1245" s="101"/>
      <c r="R1245" s="101"/>
      <c r="S1245" s="101"/>
      <c r="T1245" s="101"/>
      <c r="U1245" s="101"/>
      <c r="V1245" s="101"/>
      <c r="W1245" s="101"/>
      <c r="X1245" s="101"/>
      <c r="Y1245" s="101"/>
      <c r="Z1245" s="101"/>
      <c r="AA1245" s="101"/>
      <c r="AB1245" s="101"/>
      <c r="AC1245" s="119"/>
      <c r="AD1245" s="119"/>
      <c r="AE1245" s="120"/>
      <c r="AF1245" s="119"/>
      <c r="AG1245" s="119"/>
      <c r="AH1245" s="120"/>
      <c r="AI1245" s="121"/>
      <c r="AJ1245" s="121"/>
      <c r="AK1245" s="121"/>
      <c r="AL1245" s="121"/>
      <c r="AM1245" s="122"/>
      <c r="AN1245" s="121"/>
      <c r="AP1245" s="87"/>
    </row>
    <row r="1246" spans="1:42">
      <c r="A1246" s="3"/>
      <c r="B1246" s="3"/>
      <c r="C1246" s="3"/>
      <c r="D1246" s="3"/>
      <c r="E1246" s="3"/>
      <c r="F1246" s="3"/>
      <c r="G1246" s="3"/>
      <c r="H1246" s="3"/>
      <c r="I1246" s="100"/>
      <c r="J1246" s="101"/>
      <c r="K1246" s="101"/>
      <c r="L1246" s="101"/>
      <c r="M1246" s="101"/>
      <c r="N1246" s="101"/>
      <c r="O1246" s="101"/>
      <c r="P1246" s="101"/>
      <c r="Q1246" s="101"/>
      <c r="R1246" s="101"/>
      <c r="S1246" s="101"/>
      <c r="T1246" s="101"/>
      <c r="U1246" s="101"/>
      <c r="V1246" s="101"/>
      <c r="W1246" s="101"/>
      <c r="X1246" s="101"/>
      <c r="Y1246" s="101"/>
      <c r="Z1246" s="101"/>
      <c r="AA1246" s="101"/>
      <c r="AB1246" s="101"/>
      <c r="AC1246" s="119"/>
      <c r="AD1246" s="119"/>
      <c r="AE1246" s="120"/>
      <c r="AF1246" s="119"/>
      <c r="AG1246" s="119"/>
      <c r="AH1246" s="120"/>
      <c r="AI1246" s="121"/>
      <c r="AJ1246" s="121"/>
      <c r="AK1246" s="121"/>
      <c r="AL1246" s="121"/>
      <c r="AM1246" s="122"/>
      <c r="AN1246" s="121"/>
      <c r="AP1246" s="87"/>
    </row>
    <row r="1247" spans="1:42">
      <c r="A1247" s="3"/>
      <c r="B1247" s="3"/>
      <c r="C1247" s="3"/>
      <c r="D1247" s="3"/>
      <c r="E1247" s="3"/>
      <c r="F1247" s="3"/>
      <c r="G1247" s="3"/>
      <c r="H1247" s="3"/>
      <c r="I1247" s="100"/>
      <c r="J1247" s="101"/>
      <c r="K1247" s="101"/>
      <c r="L1247" s="101"/>
      <c r="M1247" s="101"/>
      <c r="N1247" s="101"/>
      <c r="O1247" s="101"/>
      <c r="P1247" s="101"/>
      <c r="Q1247" s="101"/>
      <c r="R1247" s="101"/>
      <c r="S1247" s="101"/>
      <c r="T1247" s="101"/>
      <c r="U1247" s="101"/>
      <c r="V1247" s="101"/>
      <c r="W1247" s="101"/>
      <c r="X1247" s="101"/>
      <c r="Y1247" s="101"/>
      <c r="Z1247" s="101"/>
      <c r="AA1247" s="101"/>
      <c r="AB1247" s="101"/>
      <c r="AC1247" s="119"/>
      <c r="AD1247" s="119"/>
      <c r="AE1247" s="120"/>
      <c r="AF1247" s="119"/>
      <c r="AG1247" s="119"/>
      <c r="AH1247" s="120"/>
      <c r="AI1247" s="121"/>
      <c r="AJ1247" s="121"/>
      <c r="AK1247" s="121"/>
      <c r="AL1247" s="121"/>
      <c r="AM1247" s="122"/>
      <c r="AN1247" s="121"/>
      <c r="AP1247" s="87"/>
    </row>
    <row r="1248" spans="1:42">
      <c r="A1248" s="3"/>
      <c r="B1248" s="3"/>
      <c r="C1248" s="3"/>
      <c r="D1248" s="3"/>
      <c r="E1248" s="3"/>
      <c r="F1248" s="3"/>
      <c r="G1248" s="3"/>
      <c r="H1248" s="3"/>
      <c r="I1248" s="100"/>
      <c r="J1248" s="101"/>
      <c r="K1248" s="101"/>
      <c r="L1248" s="101"/>
      <c r="M1248" s="101"/>
      <c r="N1248" s="101"/>
      <c r="O1248" s="101"/>
      <c r="P1248" s="101"/>
      <c r="Q1248" s="101"/>
      <c r="R1248" s="101"/>
      <c r="S1248" s="101"/>
      <c r="T1248" s="101"/>
      <c r="U1248" s="101"/>
      <c r="V1248" s="101"/>
      <c r="W1248" s="101"/>
      <c r="X1248" s="101"/>
      <c r="Y1248" s="101"/>
      <c r="Z1248" s="101"/>
      <c r="AA1248" s="101"/>
      <c r="AB1248" s="101"/>
      <c r="AC1248" s="119"/>
      <c r="AD1248" s="119"/>
      <c r="AE1248" s="120"/>
      <c r="AF1248" s="119"/>
      <c r="AG1248" s="119"/>
      <c r="AH1248" s="120"/>
      <c r="AI1248" s="121"/>
      <c r="AJ1248" s="121"/>
      <c r="AK1248" s="121"/>
      <c r="AL1248" s="121"/>
      <c r="AM1248" s="122"/>
      <c r="AN1248" s="121"/>
      <c r="AP1248" s="87"/>
    </row>
    <row r="1249" spans="1:42">
      <c r="A1249" s="3"/>
      <c r="B1249" s="3"/>
      <c r="C1249" s="3"/>
      <c r="D1249" s="3"/>
      <c r="E1249" s="3"/>
      <c r="F1249" s="3"/>
      <c r="G1249" s="3"/>
      <c r="H1249" s="3"/>
      <c r="I1249" s="100"/>
      <c r="J1249" s="101"/>
      <c r="K1249" s="101"/>
      <c r="L1249" s="101"/>
      <c r="M1249" s="101"/>
      <c r="N1249" s="101"/>
      <c r="O1249" s="101"/>
      <c r="P1249" s="101"/>
      <c r="Q1249" s="101"/>
      <c r="R1249" s="101"/>
      <c r="S1249" s="101"/>
      <c r="T1249" s="101"/>
      <c r="U1249" s="101"/>
      <c r="V1249" s="101"/>
      <c r="W1249" s="101"/>
      <c r="X1249" s="101"/>
      <c r="Y1249" s="101"/>
      <c r="Z1249" s="101"/>
      <c r="AA1249" s="101"/>
      <c r="AB1249" s="101"/>
      <c r="AC1249" s="119"/>
      <c r="AD1249" s="119"/>
      <c r="AE1249" s="120"/>
      <c r="AF1249" s="119"/>
      <c r="AG1249" s="119"/>
      <c r="AH1249" s="120"/>
      <c r="AI1249" s="121"/>
      <c r="AJ1249" s="121"/>
      <c r="AK1249" s="121"/>
      <c r="AL1249" s="121"/>
      <c r="AM1249" s="122"/>
      <c r="AN1249" s="121"/>
      <c r="AP1249" s="87"/>
    </row>
    <row r="1250" spans="1:42">
      <c r="A1250" s="3"/>
      <c r="B1250" s="3"/>
      <c r="C1250" s="3"/>
      <c r="D1250" s="3"/>
      <c r="E1250" s="3"/>
      <c r="F1250" s="3"/>
      <c r="G1250" s="3"/>
      <c r="H1250" s="3"/>
      <c r="I1250" s="100"/>
      <c r="J1250" s="101"/>
      <c r="K1250" s="101"/>
      <c r="L1250" s="101"/>
      <c r="M1250" s="101"/>
      <c r="N1250" s="101"/>
      <c r="O1250" s="101"/>
      <c r="P1250" s="101"/>
      <c r="Q1250" s="101"/>
      <c r="R1250" s="101"/>
      <c r="S1250" s="101"/>
      <c r="T1250" s="101"/>
      <c r="U1250" s="101"/>
      <c r="V1250" s="101"/>
      <c r="W1250" s="101"/>
      <c r="X1250" s="101"/>
      <c r="Y1250" s="101"/>
      <c r="Z1250" s="101"/>
      <c r="AA1250" s="101"/>
      <c r="AB1250" s="101"/>
      <c r="AC1250" s="119"/>
      <c r="AD1250" s="119"/>
      <c r="AE1250" s="120"/>
      <c r="AF1250" s="119"/>
      <c r="AG1250" s="119"/>
      <c r="AH1250" s="120"/>
      <c r="AI1250" s="121"/>
      <c r="AJ1250" s="121"/>
      <c r="AK1250" s="121"/>
      <c r="AL1250" s="121"/>
      <c r="AM1250" s="122"/>
      <c r="AN1250" s="121"/>
      <c r="AP1250" s="87"/>
    </row>
    <row r="1251" spans="1:42">
      <c r="A1251" s="3"/>
      <c r="B1251" s="3"/>
      <c r="C1251" s="3"/>
      <c r="D1251" s="3"/>
      <c r="E1251" s="3"/>
      <c r="F1251" s="3"/>
      <c r="G1251" s="3"/>
      <c r="H1251" s="3"/>
      <c r="I1251" s="100"/>
      <c r="J1251" s="101"/>
      <c r="K1251" s="101"/>
      <c r="L1251" s="101"/>
      <c r="M1251" s="101"/>
      <c r="N1251" s="101"/>
      <c r="O1251" s="101"/>
      <c r="P1251" s="101"/>
      <c r="Q1251" s="101"/>
      <c r="R1251" s="101"/>
      <c r="S1251" s="101"/>
      <c r="T1251" s="101"/>
      <c r="U1251" s="101"/>
      <c r="V1251" s="101"/>
      <c r="W1251" s="101"/>
      <c r="X1251" s="101"/>
      <c r="Y1251" s="101"/>
      <c r="Z1251" s="101"/>
      <c r="AA1251" s="101"/>
      <c r="AB1251" s="101"/>
      <c r="AC1251" s="119"/>
      <c r="AD1251" s="119"/>
      <c r="AE1251" s="120"/>
      <c r="AF1251" s="119"/>
      <c r="AG1251" s="119"/>
      <c r="AH1251" s="120"/>
      <c r="AI1251" s="121"/>
      <c r="AJ1251" s="121"/>
      <c r="AK1251" s="121"/>
      <c r="AL1251" s="121"/>
      <c r="AM1251" s="122"/>
      <c r="AN1251" s="121"/>
      <c r="AP1251" s="87"/>
    </row>
    <row r="1252" spans="1:42">
      <c r="A1252" s="3"/>
      <c r="B1252" s="3"/>
      <c r="C1252" s="3"/>
      <c r="D1252" s="3"/>
      <c r="E1252" s="3"/>
      <c r="F1252" s="3"/>
      <c r="G1252" s="3"/>
      <c r="H1252" s="3"/>
      <c r="I1252" s="100"/>
      <c r="J1252" s="101"/>
      <c r="K1252" s="101"/>
      <c r="L1252" s="101"/>
      <c r="M1252" s="101"/>
      <c r="N1252" s="101"/>
      <c r="O1252" s="101"/>
      <c r="P1252" s="101"/>
      <c r="Q1252" s="101"/>
      <c r="R1252" s="101"/>
      <c r="S1252" s="101"/>
      <c r="T1252" s="101"/>
      <c r="U1252" s="101"/>
      <c r="V1252" s="101"/>
      <c r="W1252" s="101"/>
      <c r="X1252" s="101"/>
      <c r="Y1252" s="101"/>
      <c r="Z1252" s="101"/>
      <c r="AA1252" s="101"/>
      <c r="AB1252" s="101"/>
      <c r="AC1252" s="119"/>
      <c r="AD1252" s="119"/>
      <c r="AE1252" s="120"/>
      <c r="AF1252" s="119"/>
      <c r="AG1252" s="119"/>
      <c r="AH1252" s="120"/>
      <c r="AI1252" s="121"/>
      <c r="AJ1252" s="121"/>
      <c r="AK1252" s="121"/>
      <c r="AL1252" s="121"/>
      <c r="AM1252" s="122"/>
      <c r="AN1252" s="121"/>
      <c r="AP1252" s="87"/>
    </row>
    <row r="1253" spans="1:42">
      <c r="A1253" s="3"/>
      <c r="B1253" s="3"/>
      <c r="C1253" s="3"/>
      <c r="D1253" s="3"/>
      <c r="E1253" s="3"/>
      <c r="F1253" s="3"/>
      <c r="G1253" s="3"/>
      <c r="H1253" s="3"/>
      <c r="I1253" s="100"/>
      <c r="J1253" s="101"/>
      <c r="K1253" s="101"/>
      <c r="L1253" s="101"/>
      <c r="M1253" s="101"/>
      <c r="N1253" s="101"/>
      <c r="O1253" s="101"/>
      <c r="P1253" s="101"/>
      <c r="Q1253" s="101"/>
      <c r="R1253" s="101"/>
      <c r="S1253" s="101"/>
      <c r="T1253" s="101"/>
      <c r="U1253" s="101"/>
      <c r="V1253" s="101"/>
      <c r="W1253" s="101"/>
      <c r="X1253" s="101"/>
      <c r="Y1253" s="101"/>
      <c r="Z1253" s="101"/>
      <c r="AA1253" s="101"/>
      <c r="AB1253" s="101"/>
      <c r="AC1253" s="119"/>
      <c r="AD1253" s="119"/>
      <c r="AE1253" s="120"/>
      <c r="AF1253" s="119"/>
      <c r="AG1253" s="119"/>
      <c r="AH1253" s="120"/>
      <c r="AI1253" s="121"/>
      <c r="AJ1253" s="121"/>
      <c r="AK1253" s="121"/>
      <c r="AL1253" s="121"/>
      <c r="AM1253" s="122"/>
      <c r="AN1253" s="121"/>
      <c r="AP1253" s="87"/>
    </row>
    <row r="1254" spans="1:42">
      <c r="A1254" s="3"/>
      <c r="B1254" s="3"/>
      <c r="C1254" s="3"/>
      <c r="D1254" s="3"/>
      <c r="E1254" s="3"/>
      <c r="F1254" s="3"/>
      <c r="G1254" s="3"/>
      <c r="H1254" s="3"/>
      <c r="I1254" s="100"/>
      <c r="J1254" s="101"/>
      <c r="K1254" s="101"/>
      <c r="L1254" s="101"/>
      <c r="M1254" s="101"/>
      <c r="N1254" s="101"/>
      <c r="O1254" s="101"/>
      <c r="P1254" s="101"/>
      <c r="Q1254" s="101"/>
      <c r="R1254" s="101"/>
      <c r="S1254" s="101"/>
      <c r="T1254" s="101"/>
      <c r="U1254" s="101"/>
      <c r="V1254" s="101"/>
      <c r="W1254" s="101"/>
      <c r="X1254" s="101"/>
      <c r="Y1254" s="101"/>
      <c r="Z1254" s="101"/>
      <c r="AA1254" s="101"/>
      <c r="AB1254" s="101"/>
      <c r="AC1254" s="119"/>
      <c r="AD1254" s="119"/>
      <c r="AE1254" s="120"/>
      <c r="AF1254" s="119"/>
      <c r="AG1254" s="119"/>
      <c r="AH1254" s="120"/>
      <c r="AI1254" s="121"/>
      <c r="AJ1254" s="121"/>
      <c r="AK1254" s="121"/>
      <c r="AL1254" s="121"/>
      <c r="AM1254" s="122"/>
      <c r="AN1254" s="121"/>
      <c r="AP1254" s="87"/>
    </row>
    <row r="1255" spans="1:42">
      <c r="A1255" s="3"/>
      <c r="B1255" s="3"/>
      <c r="C1255" s="3"/>
      <c r="D1255" s="3"/>
      <c r="E1255" s="3"/>
      <c r="F1255" s="3"/>
      <c r="G1255" s="3"/>
      <c r="H1255" s="3"/>
      <c r="I1255" s="100"/>
      <c r="J1255" s="101"/>
      <c r="K1255" s="101"/>
      <c r="L1255" s="101"/>
      <c r="M1255" s="101"/>
      <c r="N1255" s="101"/>
      <c r="O1255" s="101"/>
      <c r="P1255" s="101"/>
      <c r="Q1255" s="101"/>
      <c r="R1255" s="101"/>
      <c r="S1255" s="101"/>
      <c r="T1255" s="101"/>
      <c r="U1255" s="101"/>
      <c r="V1255" s="101"/>
      <c r="W1255" s="101"/>
      <c r="X1255" s="101"/>
      <c r="Y1255" s="101"/>
      <c r="Z1255" s="101"/>
      <c r="AA1255" s="101"/>
      <c r="AB1255" s="101"/>
      <c r="AC1255" s="119"/>
      <c r="AD1255" s="119"/>
      <c r="AE1255" s="120"/>
      <c r="AF1255" s="119"/>
      <c r="AG1255" s="119"/>
      <c r="AH1255" s="120"/>
      <c r="AI1255" s="121"/>
      <c r="AJ1255" s="121"/>
      <c r="AK1255" s="121"/>
      <c r="AL1255" s="121"/>
      <c r="AM1255" s="122"/>
      <c r="AN1255" s="121"/>
      <c r="AP1255" s="87"/>
    </row>
    <row r="1256" spans="1:42">
      <c r="A1256" s="3"/>
      <c r="B1256" s="3"/>
      <c r="C1256" s="3"/>
      <c r="D1256" s="3"/>
      <c r="E1256" s="3"/>
      <c r="F1256" s="3"/>
      <c r="G1256" s="3"/>
      <c r="H1256" s="3"/>
      <c r="I1256" s="100"/>
      <c r="J1256" s="101"/>
      <c r="K1256" s="101"/>
      <c r="L1256" s="101"/>
      <c r="M1256" s="101"/>
      <c r="N1256" s="101"/>
      <c r="O1256" s="101"/>
      <c r="P1256" s="101"/>
      <c r="Q1256" s="101"/>
      <c r="R1256" s="101"/>
      <c r="S1256" s="101"/>
      <c r="T1256" s="101"/>
      <c r="U1256" s="101"/>
      <c r="V1256" s="101"/>
      <c r="W1256" s="101"/>
      <c r="X1256" s="101"/>
      <c r="Y1256" s="101"/>
      <c r="Z1256" s="101"/>
      <c r="AA1256" s="101"/>
      <c r="AB1256" s="101"/>
      <c r="AC1256" s="119"/>
      <c r="AD1256" s="119"/>
      <c r="AE1256" s="120"/>
      <c r="AF1256" s="119"/>
      <c r="AG1256" s="119"/>
      <c r="AH1256" s="120"/>
      <c r="AI1256" s="121"/>
      <c r="AJ1256" s="121"/>
      <c r="AK1256" s="121"/>
      <c r="AL1256" s="121"/>
      <c r="AM1256" s="122"/>
      <c r="AN1256" s="121"/>
      <c r="AP1256" s="87"/>
    </row>
    <row r="1257" spans="1:42">
      <c r="A1257" s="3"/>
      <c r="B1257" s="3"/>
      <c r="C1257" s="3"/>
      <c r="D1257" s="3"/>
      <c r="E1257" s="3"/>
      <c r="F1257" s="3"/>
      <c r="G1257" s="3"/>
      <c r="H1257" s="3"/>
      <c r="I1257" s="100"/>
      <c r="J1257" s="101"/>
      <c r="K1257" s="101"/>
      <c r="L1257" s="101"/>
      <c r="M1257" s="101"/>
      <c r="N1257" s="101"/>
      <c r="O1257" s="101"/>
      <c r="P1257" s="101"/>
      <c r="Q1257" s="101"/>
      <c r="R1257" s="101"/>
      <c r="S1257" s="101"/>
      <c r="T1257" s="101"/>
      <c r="U1257" s="101"/>
      <c r="V1257" s="101"/>
      <c r="W1257" s="101"/>
      <c r="X1257" s="101"/>
      <c r="Y1257" s="101"/>
      <c r="Z1257" s="101"/>
      <c r="AA1257" s="101"/>
      <c r="AB1257" s="101"/>
      <c r="AC1257" s="119"/>
      <c r="AD1257" s="119"/>
      <c r="AE1257" s="120"/>
      <c r="AF1257" s="119"/>
      <c r="AG1257" s="119"/>
      <c r="AH1257" s="120"/>
      <c r="AI1257" s="121"/>
      <c r="AJ1257" s="121"/>
      <c r="AK1257" s="121"/>
      <c r="AL1257" s="121"/>
      <c r="AM1257" s="122"/>
      <c r="AN1257" s="121"/>
      <c r="AP1257" s="87"/>
    </row>
    <row r="1258" spans="1:42">
      <c r="A1258" s="3"/>
      <c r="B1258" s="3"/>
      <c r="C1258" s="3"/>
      <c r="D1258" s="3"/>
      <c r="E1258" s="3"/>
      <c r="F1258" s="3"/>
      <c r="G1258" s="3"/>
      <c r="H1258" s="3"/>
      <c r="I1258" s="100"/>
      <c r="J1258" s="101"/>
      <c r="K1258" s="101"/>
      <c r="L1258" s="101"/>
      <c r="M1258" s="101"/>
      <c r="N1258" s="101"/>
      <c r="O1258" s="101"/>
      <c r="P1258" s="101"/>
      <c r="Q1258" s="101"/>
      <c r="R1258" s="101"/>
      <c r="S1258" s="101"/>
      <c r="T1258" s="101"/>
      <c r="U1258" s="101"/>
      <c r="V1258" s="101"/>
      <c r="W1258" s="101"/>
      <c r="X1258" s="101"/>
      <c r="Y1258" s="101"/>
      <c r="Z1258" s="101"/>
      <c r="AA1258" s="101"/>
      <c r="AB1258" s="101"/>
      <c r="AC1258" s="119"/>
      <c r="AD1258" s="119"/>
      <c r="AE1258" s="120"/>
      <c r="AF1258" s="119"/>
      <c r="AG1258" s="119"/>
      <c r="AH1258" s="120"/>
      <c r="AI1258" s="121"/>
      <c r="AJ1258" s="121"/>
      <c r="AK1258" s="121"/>
      <c r="AL1258" s="121"/>
      <c r="AM1258" s="122"/>
      <c r="AN1258" s="121"/>
      <c r="AP1258" s="87"/>
    </row>
    <row r="1259" spans="1:42">
      <c r="A1259" s="3"/>
      <c r="B1259" s="3"/>
      <c r="C1259" s="3"/>
      <c r="D1259" s="3"/>
      <c r="E1259" s="3"/>
      <c r="F1259" s="3"/>
      <c r="G1259" s="3"/>
      <c r="H1259" s="3"/>
      <c r="I1259" s="100"/>
      <c r="J1259" s="101"/>
      <c r="K1259" s="101"/>
      <c r="L1259" s="101"/>
      <c r="M1259" s="101"/>
      <c r="N1259" s="101"/>
      <c r="O1259" s="101"/>
      <c r="P1259" s="101"/>
      <c r="Q1259" s="101"/>
      <c r="R1259" s="101"/>
      <c r="S1259" s="101"/>
      <c r="T1259" s="101"/>
      <c r="U1259" s="101"/>
      <c r="V1259" s="101"/>
      <c r="W1259" s="101"/>
      <c r="X1259" s="101"/>
      <c r="Y1259" s="101"/>
      <c r="Z1259" s="101"/>
      <c r="AA1259" s="101"/>
      <c r="AB1259" s="101"/>
      <c r="AC1259" s="119"/>
      <c r="AD1259" s="119"/>
      <c r="AE1259" s="120"/>
      <c r="AF1259" s="119"/>
      <c r="AG1259" s="119"/>
      <c r="AH1259" s="120"/>
      <c r="AI1259" s="121"/>
      <c r="AJ1259" s="121"/>
      <c r="AK1259" s="121"/>
      <c r="AL1259" s="121"/>
      <c r="AM1259" s="122"/>
      <c r="AN1259" s="121"/>
      <c r="AP1259" s="87"/>
    </row>
    <row r="1260" spans="1:42">
      <c r="A1260" s="3"/>
      <c r="B1260" s="3"/>
      <c r="C1260" s="3"/>
      <c r="D1260" s="3"/>
      <c r="E1260" s="3"/>
      <c r="F1260" s="3"/>
      <c r="G1260" s="3"/>
      <c r="H1260" s="3"/>
      <c r="I1260" s="100"/>
      <c r="J1260" s="101"/>
      <c r="K1260" s="101"/>
      <c r="L1260" s="101"/>
      <c r="M1260" s="101"/>
      <c r="N1260" s="101"/>
      <c r="O1260" s="101"/>
      <c r="P1260" s="101"/>
      <c r="Q1260" s="101"/>
      <c r="R1260" s="101"/>
      <c r="S1260" s="101"/>
      <c r="T1260" s="101"/>
      <c r="U1260" s="101"/>
      <c r="V1260" s="101"/>
      <c r="W1260" s="101"/>
      <c r="X1260" s="101"/>
      <c r="Y1260" s="101"/>
      <c r="Z1260" s="101"/>
      <c r="AA1260" s="101"/>
      <c r="AB1260" s="101"/>
      <c r="AC1260" s="119"/>
      <c r="AD1260" s="119"/>
      <c r="AE1260" s="120"/>
      <c r="AF1260" s="119"/>
      <c r="AG1260" s="119"/>
      <c r="AH1260" s="120"/>
      <c r="AI1260" s="121"/>
      <c r="AJ1260" s="121"/>
      <c r="AK1260" s="121"/>
      <c r="AL1260" s="121"/>
      <c r="AM1260" s="122"/>
      <c r="AN1260" s="121"/>
      <c r="AP1260" s="87"/>
    </row>
    <row r="1261" spans="1:42">
      <c r="A1261" s="3"/>
      <c r="B1261" s="3"/>
      <c r="C1261" s="3"/>
      <c r="D1261" s="3"/>
      <c r="E1261" s="3"/>
      <c r="F1261" s="3"/>
      <c r="G1261" s="3"/>
      <c r="H1261" s="3"/>
      <c r="I1261" s="100"/>
      <c r="J1261" s="101"/>
      <c r="K1261" s="101"/>
      <c r="L1261" s="101"/>
      <c r="M1261" s="101"/>
      <c r="N1261" s="101"/>
      <c r="O1261" s="101"/>
      <c r="P1261" s="101"/>
      <c r="Q1261" s="101"/>
      <c r="R1261" s="101"/>
      <c r="S1261" s="101"/>
      <c r="T1261" s="101"/>
      <c r="U1261" s="101"/>
      <c r="V1261" s="101"/>
      <c r="W1261" s="101"/>
      <c r="X1261" s="101"/>
      <c r="Y1261" s="101"/>
      <c r="Z1261" s="101"/>
      <c r="AA1261" s="101"/>
      <c r="AB1261" s="101"/>
      <c r="AC1261" s="119"/>
      <c r="AD1261" s="119"/>
      <c r="AE1261" s="120"/>
      <c r="AF1261" s="119"/>
      <c r="AG1261" s="119"/>
      <c r="AH1261" s="120"/>
      <c r="AI1261" s="121"/>
      <c r="AJ1261" s="121"/>
      <c r="AK1261" s="121"/>
      <c r="AL1261" s="121"/>
      <c r="AM1261" s="122"/>
      <c r="AN1261" s="121"/>
      <c r="AP1261" s="87"/>
    </row>
    <row r="1262" spans="1:42">
      <c r="A1262" s="3"/>
      <c r="B1262" s="3"/>
      <c r="C1262" s="3"/>
      <c r="D1262" s="3"/>
      <c r="E1262" s="3"/>
      <c r="F1262" s="3"/>
      <c r="G1262" s="3"/>
      <c r="H1262" s="3"/>
      <c r="I1262" s="100"/>
      <c r="J1262" s="101"/>
      <c r="K1262" s="101"/>
      <c r="L1262" s="101"/>
      <c r="M1262" s="101"/>
      <c r="N1262" s="101"/>
      <c r="O1262" s="101"/>
      <c r="P1262" s="101"/>
      <c r="Q1262" s="101"/>
      <c r="R1262" s="101"/>
      <c r="S1262" s="101"/>
      <c r="T1262" s="101"/>
      <c r="U1262" s="101"/>
      <c r="V1262" s="101"/>
      <c r="W1262" s="101"/>
      <c r="X1262" s="101"/>
      <c r="Y1262" s="101"/>
      <c r="Z1262" s="101"/>
      <c r="AA1262" s="101"/>
      <c r="AB1262" s="101"/>
      <c r="AC1262" s="119"/>
      <c r="AD1262" s="119"/>
      <c r="AE1262" s="120"/>
      <c r="AF1262" s="119"/>
      <c r="AG1262" s="119"/>
      <c r="AH1262" s="120"/>
      <c r="AI1262" s="121"/>
      <c r="AJ1262" s="121"/>
      <c r="AK1262" s="121"/>
      <c r="AL1262" s="121"/>
      <c r="AM1262" s="122"/>
      <c r="AN1262" s="121"/>
      <c r="AP1262" s="87"/>
    </row>
    <row r="1263" spans="1:42">
      <c r="A1263" s="3"/>
      <c r="B1263" s="3"/>
      <c r="C1263" s="3"/>
      <c r="D1263" s="3"/>
      <c r="E1263" s="3"/>
      <c r="F1263" s="3"/>
      <c r="G1263" s="3"/>
      <c r="H1263" s="3"/>
      <c r="I1263" s="100"/>
      <c r="J1263" s="101"/>
      <c r="K1263" s="101"/>
      <c r="L1263" s="101"/>
      <c r="M1263" s="101"/>
      <c r="N1263" s="101"/>
      <c r="O1263" s="101"/>
      <c r="P1263" s="101"/>
      <c r="Q1263" s="101"/>
      <c r="R1263" s="101"/>
      <c r="S1263" s="101"/>
      <c r="T1263" s="101"/>
      <c r="U1263" s="101"/>
      <c r="V1263" s="101"/>
      <c r="W1263" s="101"/>
      <c r="X1263" s="101"/>
      <c r="Y1263" s="101"/>
      <c r="Z1263" s="101"/>
      <c r="AA1263" s="101"/>
      <c r="AB1263" s="101"/>
      <c r="AC1263" s="119"/>
      <c r="AD1263" s="119"/>
      <c r="AE1263" s="120"/>
      <c r="AF1263" s="119"/>
      <c r="AG1263" s="119"/>
      <c r="AH1263" s="120"/>
      <c r="AI1263" s="121"/>
      <c r="AJ1263" s="121"/>
      <c r="AK1263" s="121"/>
      <c r="AL1263" s="121"/>
      <c r="AM1263" s="122"/>
      <c r="AN1263" s="121"/>
      <c r="AP1263" s="87"/>
    </row>
    <row r="1264" spans="1:42">
      <c r="A1264" s="3"/>
      <c r="B1264" s="3"/>
      <c r="C1264" s="3"/>
      <c r="D1264" s="3"/>
      <c r="E1264" s="3"/>
      <c r="F1264" s="3"/>
      <c r="G1264" s="3"/>
      <c r="H1264" s="3"/>
      <c r="I1264" s="100"/>
      <c r="J1264" s="101"/>
      <c r="K1264" s="101"/>
      <c r="L1264" s="101"/>
      <c r="M1264" s="101"/>
      <c r="N1264" s="101"/>
      <c r="O1264" s="101"/>
      <c r="P1264" s="101"/>
      <c r="Q1264" s="101"/>
      <c r="R1264" s="101"/>
      <c r="S1264" s="101"/>
      <c r="T1264" s="101"/>
      <c r="U1264" s="101"/>
      <c r="V1264" s="101"/>
      <c r="W1264" s="101"/>
      <c r="X1264" s="101"/>
      <c r="Y1264" s="101"/>
      <c r="Z1264" s="101"/>
      <c r="AA1264" s="101"/>
      <c r="AB1264" s="101"/>
      <c r="AC1264" s="119"/>
      <c r="AD1264" s="119"/>
      <c r="AE1264" s="120"/>
      <c r="AF1264" s="119"/>
      <c r="AG1264" s="119"/>
      <c r="AH1264" s="120"/>
      <c r="AI1264" s="121"/>
      <c r="AJ1264" s="121"/>
      <c r="AK1264" s="121"/>
      <c r="AL1264" s="121"/>
      <c r="AM1264" s="122"/>
      <c r="AN1264" s="121"/>
      <c r="AP1264" s="87"/>
    </row>
    <row r="1265" spans="1:42">
      <c r="A1265" s="3"/>
      <c r="B1265" s="3"/>
      <c r="C1265" s="3"/>
      <c r="D1265" s="3"/>
      <c r="E1265" s="3"/>
      <c r="F1265" s="3"/>
      <c r="G1265" s="3"/>
      <c r="H1265" s="3"/>
      <c r="I1265" s="100"/>
      <c r="J1265" s="101"/>
      <c r="K1265" s="101"/>
      <c r="L1265" s="101"/>
      <c r="M1265" s="101"/>
      <c r="N1265" s="101"/>
      <c r="O1265" s="101"/>
      <c r="P1265" s="101"/>
      <c r="Q1265" s="101"/>
      <c r="R1265" s="101"/>
      <c r="S1265" s="101"/>
      <c r="T1265" s="101"/>
      <c r="U1265" s="101"/>
      <c r="V1265" s="101"/>
      <c r="W1265" s="101"/>
      <c r="X1265" s="101"/>
      <c r="Y1265" s="101"/>
      <c r="Z1265" s="101"/>
      <c r="AA1265" s="101"/>
      <c r="AB1265" s="101"/>
      <c r="AC1265" s="119"/>
      <c r="AD1265" s="119"/>
      <c r="AE1265" s="120"/>
      <c r="AF1265" s="119"/>
      <c r="AG1265" s="119"/>
      <c r="AH1265" s="120"/>
      <c r="AI1265" s="121"/>
      <c r="AJ1265" s="121"/>
      <c r="AK1265" s="121"/>
      <c r="AL1265" s="121"/>
      <c r="AM1265" s="122"/>
      <c r="AN1265" s="121"/>
      <c r="AP1265" s="87"/>
    </row>
    <row r="1266" spans="1:42">
      <c r="A1266" s="3"/>
      <c r="B1266" s="3"/>
      <c r="C1266" s="3"/>
      <c r="D1266" s="3"/>
      <c r="E1266" s="3"/>
      <c r="F1266" s="3"/>
      <c r="G1266" s="3"/>
      <c r="H1266" s="3"/>
      <c r="I1266" s="100"/>
      <c r="J1266" s="101"/>
      <c r="K1266" s="101"/>
      <c r="L1266" s="101"/>
      <c r="M1266" s="101"/>
      <c r="N1266" s="101"/>
      <c r="O1266" s="101"/>
      <c r="P1266" s="101"/>
      <c r="Q1266" s="101"/>
      <c r="R1266" s="101"/>
      <c r="S1266" s="101"/>
      <c r="T1266" s="101"/>
      <c r="U1266" s="101"/>
      <c r="V1266" s="101"/>
      <c r="W1266" s="101"/>
      <c r="X1266" s="101"/>
      <c r="Y1266" s="101"/>
      <c r="Z1266" s="101"/>
      <c r="AA1266" s="101"/>
      <c r="AB1266" s="101"/>
      <c r="AC1266" s="119"/>
      <c r="AD1266" s="119"/>
      <c r="AE1266" s="120"/>
      <c r="AF1266" s="119"/>
      <c r="AG1266" s="119"/>
      <c r="AH1266" s="120"/>
      <c r="AI1266" s="121"/>
      <c r="AJ1266" s="121"/>
      <c r="AK1266" s="121"/>
      <c r="AL1266" s="121"/>
      <c r="AM1266" s="122"/>
      <c r="AN1266" s="121"/>
      <c r="AP1266" s="87"/>
    </row>
    <row r="1267" spans="1:42">
      <c r="A1267" s="3"/>
      <c r="B1267" s="3"/>
      <c r="C1267" s="3"/>
      <c r="D1267" s="3"/>
      <c r="E1267" s="3"/>
      <c r="F1267" s="3"/>
      <c r="G1267" s="3"/>
      <c r="H1267" s="3"/>
      <c r="I1267" s="100"/>
      <c r="J1267" s="101"/>
      <c r="K1267" s="101"/>
      <c r="L1267" s="101"/>
      <c r="M1267" s="101"/>
      <c r="N1267" s="101"/>
      <c r="O1267" s="101"/>
      <c r="P1267" s="101"/>
      <c r="Q1267" s="101"/>
      <c r="R1267" s="101"/>
      <c r="S1267" s="101"/>
      <c r="T1267" s="101"/>
      <c r="U1267" s="101"/>
      <c r="V1267" s="101"/>
      <c r="W1267" s="101"/>
      <c r="X1267" s="101"/>
      <c r="Y1267" s="101"/>
      <c r="Z1267" s="101"/>
      <c r="AA1267" s="101"/>
      <c r="AB1267" s="101"/>
      <c r="AC1267" s="119"/>
      <c r="AD1267" s="119"/>
      <c r="AE1267" s="120"/>
      <c r="AF1267" s="119"/>
      <c r="AG1267" s="119"/>
      <c r="AH1267" s="120"/>
      <c r="AI1267" s="121"/>
      <c r="AJ1267" s="121"/>
      <c r="AK1267" s="121"/>
      <c r="AL1267" s="121"/>
      <c r="AM1267" s="122"/>
      <c r="AN1267" s="121"/>
      <c r="AP1267" s="87"/>
    </row>
    <row r="1268" spans="1:42">
      <c r="A1268" s="3"/>
      <c r="B1268" s="3"/>
      <c r="C1268" s="3"/>
      <c r="D1268" s="3"/>
      <c r="E1268" s="3"/>
      <c r="F1268" s="3"/>
      <c r="G1268" s="3"/>
      <c r="H1268" s="3"/>
      <c r="I1268" s="100"/>
      <c r="J1268" s="101"/>
      <c r="K1268" s="101"/>
      <c r="L1268" s="101"/>
      <c r="M1268" s="101"/>
      <c r="N1268" s="101"/>
      <c r="O1268" s="101"/>
      <c r="P1268" s="101"/>
      <c r="Q1268" s="101"/>
      <c r="R1268" s="101"/>
      <c r="S1268" s="101"/>
      <c r="T1268" s="101"/>
      <c r="U1268" s="101"/>
      <c r="V1268" s="101"/>
      <c r="W1268" s="101"/>
      <c r="X1268" s="101"/>
      <c r="Y1268" s="101"/>
      <c r="Z1268" s="101"/>
      <c r="AA1268" s="101"/>
      <c r="AB1268" s="101"/>
      <c r="AC1268" s="119"/>
      <c r="AD1268" s="119"/>
      <c r="AE1268" s="120"/>
      <c r="AF1268" s="119"/>
      <c r="AG1268" s="119"/>
      <c r="AH1268" s="120"/>
      <c r="AI1268" s="121"/>
      <c r="AJ1268" s="121"/>
      <c r="AK1268" s="121"/>
      <c r="AL1268" s="121"/>
      <c r="AM1268" s="122"/>
      <c r="AN1268" s="121"/>
      <c r="AP1268" s="87"/>
    </row>
    <row r="1269" spans="1:42">
      <c r="A1269" s="3"/>
      <c r="B1269" s="3"/>
      <c r="C1269" s="3"/>
      <c r="D1269" s="3"/>
      <c r="E1269" s="3"/>
      <c r="F1269" s="3"/>
      <c r="G1269" s="3"/>
      <c r="H1269" s="3"/>
      <c r="I1269" s="100"/>
      <c r="J1269" s="101"/>
      <c r="K1269" s="101"/>
      <c r="L1269" s="101"/>
      <c r="M1269" s="101"/>
      <c r="N1269" s="101"/>
      <c r="O1269" s="101"/>
      <c r="P1269" s="101"/>
      <c r="Q1269" s="101"/>
      <c r="R1269" s="101"/>
      <c r="S1269" s="101"/>
      <c r="T1269" s="101"/>
      <c r="U1269" s="101"/>
      <c r="V1269" s="101"/>
      <c r="W1269" s="101"/>
      <c r="X1269" s="101"/>
      <c r="Y1269" s="101"/>
      <c r="Z1269" s="101"/>
      <c r="AA1269" s="101"/>
      <c r="AB1269" s="101"/>
      <c r="AC1269" s="119"/>
      <c r="AD1269" s="119"/>
      <c r="AE1269" s="120"/>
      <c r="AF1269" s="119"/>
      <c r="AG1269" s="119"/>
      <c r="AH1269" s="120"/>
      <c r="AI1269" s="121"/>
      <c r="AJ1269" s="121"/>
      <c r="AK1269" s="121"/>
      <c r="AL1269" s="121"/>
      <c r="AM1269" s="122"/>
      <c r="AN1269" s="121"/>
      <c r="AP1269" s="87"/>
    </row>
    <row r="1270" spans="1:42">
      <c r="A1270" s="3"/>
      <c r="B1270" s="3"/>
      <c r="C1270" s="3"/>
      <c r="D1270" s="3"/>
      <c r="E1270" s="3"/>
      <c r="F1270" s="3"/>
      <c r="G1270" s="3"/>
      <c r="H1270" s="3"/>
      <c r="I1270" s="100"/>
      <c r="J1270" s="101"/>
      <c r="K1270" s="101"/>
      <c r="L1270" s="101"/>
      <c r="M1270" s="101"/>
      <c r="N1270" s="101"/>
      <c r="O1270" s="101"/>
      <c r="P1270" s="101"/>
      <c r="Q1270" s="101"/>
      <c r="R1270" s="101"/>
      <c r="S1270" s="101"/>
      <c r="T1270" s="101"/>
      <c r="U1270" s="101"/>
      <c r="V1270" s="101"/>
      <c r="W1270" s="101"/>
      <c r="X1270" s="101"/>
      <c r="Y1270" s="101"/>
      <c r="Z1270" s="101"/>
      <c r="AA1270" s="101"/>
      <c r="AB1270" s="101"/>
      <c r="AC1270" s="119"/>
      <c r="AD1270" s="119"/>
      <c r="AE1270" s="120"/>
      <c r="AF1270" s="119"/>
      <c r="AG1270" s="119"/>
      <c r="AH1270" s="120"/>
      <c r="AI1270" s="121"/>
      <c r="AJ1270" s="121"/>
      <c r="AK1270" s="121"/>
      <c r="AL1270" s="121"/>
      <c r="AM1270" s="122"/>
      <c r="AN1270" s="121"/>
      <c r="AP1270" s="87"/>
    </row>
    <row r="1271" spans="1:42">
      <c r="A1271" s="3"/>
      <c r="B1271" s="3"/>
      <c r="C1271" s="3"/>
      <c r="D1271" s="3"/>
      <c r="E1271" s="3"/>
      <c r="F1271" s="3"/>
      <c r="G1271" s="3"/>
      <c r="H1271" s="3"/>
      <c r="I1271" s="100"/>
      <c r="J1271" s="101"/>
      <c r="K1271" s="101"/>
      <c r="L1271" s="101"/>
      <c r="M1271" s="101"/>
      <c r="N1271" s="101"/>
      <c r="O1271" s="101"/>
      <c r="P1271" s="101"/>
      <c r="Q1271" s="101"/>
      <c r="R1271" s="101"/>
      <c r="S1271" s="101"/>
      <c r="T1271" s="101"/>
      <c r="U1271" s="101"/>
      <c r="V1271" s="101"/>
      <c r="W1271" s="101"/>
      <c r="X1271" s="101"/>
      <c r="Y1271" s="101"/>
      <c r="Z1271" s="101"/>
      <c r="AA1271" s="101"/>
      <c r="AB1271" s="101"/>
      <c r="AC1271" s="119"/>
      <c r="AD1271" s="119"/>
      <c r="AE1271" s="120"/>
      <c r="AF1271" s="119"/>
      <c r="AG1271" s="119"/>
      <c r="AH1271" s="120"/>
      <c r="AI1271" s="121"/>
      <c r="AJ1271" s="121"/>
      <c r="AK1271" s="121"/>
      <c r="AL1271" s="121"/>
      <c r="AM1271" s="122"/>
      <c r="AN1271" s="121"/>
      <c r="AP1271" s="87"/>
    </row>
    <row r="1272" spans="1:42">
      <c r="A1272" s="3"/>
      <c r="B1272" s="3"/>
      <c r="C1272" s="3"/>
      <c r="D1272" s="3"/>
      <c r="E1272" s="3"/>
      <c r="F1272" s="3"/>
      <c r="G1272" s="3"/>
      <c r="H1272" s="3"/>
      <c r="I1272" s="100"/>
      <c r="J1272" s="101"/>
      <c r="K1272" s="101"/>
      <c r="L1272" s="101"/>
      <c r="M1272" s="101"/>
      <c r="N1272" s="101"/>
      <c r="O1272" s="101"/>
      <c r="P1272" s="101"/>
      <c r="Q1272" s="101"/>
      <c r="R1272" s="101"/>
      <c r="S1272" s="101"/>
      <c r="T1272" s="101"/>
      <c r="U1272" s="101"/>
      <c r="V1272" s="101"/>
      <c r="W1272" s="101"/>
      <c r="X1272" s="101"/>
      <c r="Y1272" s="101"/>
      <c r="Z1272" s="101"/>
      <c r="AA1272" s="101"/>
      <c r="AB1272" s="101"/>
      <c r="AC1272" s="119"/>
      <c r="AD1272" s="119"/>
      <c r="AE1272" s="120"/>
      <c r="AF1272" s="119"/>
      <c r="AG1272" s="119"/>
      <c r="AH1272" s="120"/>
      <c r="AI1272" s="121"/>
      <c r="AJ1272" s="121"/>
      <c r="AK1272" s="121"/>
      <c r="AL1272" s="121"/>
      <c r="AM1272" s="122"/>
      <c r="AN1272" s="121"/>
      <c r="AP1272" s="87"/>
    </row>
    <row r="1273" spans="1:42">
      <c r="A1273" s="3"/>
      <c r="B1273" s="3"/>
      <c r="C1273" s="3"/>
      <c r="D1273" s="3"/>
      <c r="E1273" s="3"/>
      <c r="F1273" s="3"/>
      <c r="G1273" s="3"/>
      <c r="H1273" s="3"/>
      <c r="I1273" s="100"/>
      <c r="J1273" s="101"/>
      <c r="K1273" s="101"/>
      <c r="L1273" s="101"/>
      <c r="M1273" s="101"/>
      <c r="N1273" s="101"/>
      <c r="O1273" s="101"/>
      <c r="P1273" s="101"/>
      <c r="Q1273" s="101"/>
      <c r="R1273" s="101"/>
      <c r="S1273" s="101"/>
      <c r="T1273" s="101"/>
      <c r="U1273" s="101"/>
      <c r="V1273" s="101"/>
      <c r="W1273" s="101"/>
      <c r="X1273" s="101"/>
      <c r="Y1273" s="101"/>
      <c r="Z1273" s="101"/>
      <c r="AA1273" s="101"/>
      <c r="AB1273" s="101"/>
      <c r="AC1273" s="119"/>
      <c r="AD1273" s="119"/>
      <c r="AE1273" s="120"/>
      <c r="AF1273" s="119"/>
      <c r="AG1273" s="119"/>
      <c r="AH1273" s="120"/>
      <c r="AI1273" s="121"/>
      <c r="AJ1273" s="121"/>
      <c r="AK1273" s="121"/>
      <c r="AL1273" s="121"/>
      <c r="AM1273" s="122"/>
      <c r="AN1273" s="121"/>
      <c r="AP1273" s="87"/>
    </row>
    <row r="1274" spans="1:42">
      <c r="A1274" s="3"/>
      <c r="B1274" s="3"/>
      <c r="C1274" s="3"/>
      <c r="D1274" s="3"/>
      <c r="E1274" s="3"/>
      <c r="F1274" s="3"/>
      <c r="G1274" s="3"/>
      <c r="H1274" s="3"/>
      <c r="I1274" s="100"/>
      <c r="J1274" s="101"/>
      <c r="K1274" s="101"/>
      <c r="L1274" s="101"/>
      <c r="M1274" s="101"/>
      <c r="N1274" s="101"/>
      <c r="O1274" s="101"/>
      <c r="P1274" s="101"/>
      <c r="Q1274" s="101"/>
      <c r="R1274" s="101"/>
      <c r="S1274" s="101"/>
      <c r="T1274" s="101"/>
      <c r="U1274" s="101"/>
      <c r="V1274" s="101"/>
      <c r="W1274" s="101"/>
      <c r="X1274" s="101"/>
      <c r="Y1274" s="101"/>
      <c r="Z1274" s="101"/>
      <c r="AA1274" s="101"/>
      <c r="AB1274" s="101"/>
      <c r="AC1274" s="119"/>
      <c r="AD1274" s="119"/>
      <c r="AE1274" s="120"/>
      <c r="AF1274" s="119"/>
      <c r="AG1274" s="119"/>
      <c r="AH1274" s="120"/>
      <c r="AI1274" s="121"/>
      <c r="AJ1274" s="121"/>
      <c r="AK1274" s="121"/>
      <c r="AL1274" s="121"/>
      <c r="AM1274" s="122"/>
      <c r="AN1274" s="121"/>
      <c r="AP1274" s="87"/>
    </row>
    <row r="1275" spans="1:42">
      <c r="A1275" s="3"/>
      <c r="B1275" s="3"/>
      <c r="C1275" s="3"/>
      <c r="D1275" s="3"/>
      <c r="E1275" s="3"/>
      <c r="F1275" s="3"/>
      <c r="G1275" s="3"/>
      <c r="H1275" s="3"/>
      <c r="I1275" s="100"/>
      <c r="J1275" s="101"/>
      <c r="K1275" s="101"/>
      <c r="L1275" s="101"/>
      <c r="M1275" s="101"/>
      <c r="N1275" s="101"/>
      <c r="O1275" s="101"/>
      <c r="P1275" s="101"/>
      <c r="Q1275" s="101"/>
      <c r="R1275" s="101"/>
      <c r="S1275" s="101"/>
      <c r="T1275" s="101"/>
      <c r="U1275" s="101"/>
      <c r="V1275" s="101"/>
      <c r="W1275" s="101"/>
      <c r="X1275" s="101"/>
      <c r="Y1275" s="101"/>
      <c r="Z1275" s="101"/>
      <c r="AA1275" s="101"/>
      <c r="AB1275" s="101"/>
      <c r="AC1275" s="119"/>
      <c r="AD1275" s="119"/>
      <c r="AE1275" s="120"/>
      <c r="AF1275" s="119"/>
      <c r="AG1275" s="119"/>
      <c r="AH1275" s="120"/>
      <c r="AI1275" s="121"/>
      <c r="AJ1275" s="121"/>
      <c r="AK1275" s="121"/>
      <c r="AL1275" s="121"/>
      <c r="AM1275" s="122"/>
      <c r="AN1275" s="121"/>
      <c r="AP1275" s="87"/>
    </row>
    <row r="1276" spans="1:42">
      <c r="A1276" s="3"/>
      <c r="B1276" s="3"/>
      <c r="C1276" s="3"/>
      <c r="D1276" s="3"/>
      <c r="E1276" s="3"/>
      <c r="F1276" s="3"/>
      <c r="G1276" s="3"/>
      <c r="H1276" s="3"/>
      <c r="I1276" s="100"/>
      <c r="J1276" s="101"/>
      <c r="K1276" s="101"/>
      <c r="L1276" s="101"/>
      <c r="M1276" s="101"/>
      <c r="N1276" s="101"/>
      <c r="O1276" s="101"/>
      <c r="P1276" s="101"/>
      <c r="Q1276" s="101"/>
      <c r="R1276" s="101"/>
      <c r="S1276" s="101"/>
      <c r="T1276" s="101"/>
      <c r="U1276" s="101"/>
      <c r="V1276" s="101"/>
      <c r="W1276" s="101"/>
      <c r="X1276" s="101"/>
      <c r="Y1276" s="101"/>
      <c r="Z1276" s="101"/>
      <c r="AA1276" s="101"/>
      <c r="AB1276" s="101"/>
      <c r="AC1276" s="119"/>
      <c r="AD1276" s="119"/>
      <c r="AE1276" s="120"/>
      <c r="AF1276" s="119"/>
      <c r="AG1276" s="119"/>
      <c r="AH1276" s="120"/>
      <c r="AI1276" s="121"/>
      <c r="AJ1276" s="121"/>
      <c r="AK1276" s="121"/>
      <c r="AL1276" s="121"/>
      <c r="AM1276" s="122"/>
      <c r="AN1276" s="121"/>
      <c r="AP1276" s="87"/>
    </row>
    <row r="1277" spans="1:42">
      <c r="A1277" s="3"/>
      <c r="B1277" s="3"/>
      <c r="C1277" s="3"/>
      <c r="D1277" s="3"/>
      <c r="E1277" s="3"/>
      <c r="F1277" s="3"/>
      <c r="G1277" s="3"/>
      <c r="H1277" s="3"/>
      <c r="I1277" s="100"/>
      <c r="J1277" s="101"/>
      <c r="K1277" s="101"/>
      <c r="L1277" s="101"/>
      <c r="M1277" s="101"/>
      <c r="N1277" s="101"/>
      <c r="O1277" s="101"/>
      <c r="P1277" s="101"/>
      <c r="Q1277" s="101"/>
      <c r="R1277" s="101"/>
      <c r="S1277" s="101"/>
      <c r="T1277" s="101"/>
      <c r="U1277" s="101"/>
      <c r="V1277" s="101"/>
      <c r="W1277" s="101"/>
      <c r="X1277" s="101"/>
      <c r="Y1277" s="101"/>
      <c r="Z1277" s="101"/>
      <c r="AA1277" s="101"/>
      <c r="AB1277" s="101"/>
      <c r="AC1277" s="119"/>
      <c r="AD1277" s="119"/>
      <c r="AE1277" s="120"/>
      <c r="AF1277" s="119"/>
      <c r="AG1277" s="119"/>
      <c r="AH1277" s="120"/>
      <c r="AI1277" s="121"/>
      <c r="AJ1277" s="121"/>
      <c r="AK1277" s="121"/>
      <c r="AL1277" s="121"/>
      <c r="AM1277" s="122"/>
      <c r="AN1277" s="121"/>
      <c r="AP1277" s="87"/>
    </row>
    <row r="1278" spans="1:42">
      <c r="A1278" s="3"/>
      <c r="B1278" s="3"/>
      <c r="C1278" s="3"/>
      <c r="D1278" s="3"/>
      <c r="E1278" s="3"/>
      <c r="F1278" s="3"/>
      <c r="G1278" s="3"/>
      <c r="H1278" s="3"/>
      <c r="I1278" s="100"/>
      <c r="J1278" s="101"/>
      <c r="K1278" s="101"/>
      <c r="L1278" s="101"/>
      <c r="M1278" s="101"/>
      <c r="N1278" s="101"/>
      <c r="O1278" s="101"/>
      <c r="P1278" s="101"/>
      <c r="Q1278" s="101"/>
      <c r="R1278" s="101"/>
      <c r="S1278" s="101"/>
      <c r="T1278" s="101"/>
      <c r="U1278" s="101"/>
      <c r="V1278" s="101"/>
      <c r="W1278" s="101"/>
      <c r="X1278" s="101"/>
      <c r="Y1278" s="101"/>
      <c r="Z1278" s="101"/>
      <c r="AA1278" s="101"/>
      <c r="AB1278" s="101"/>
      <c r="AC1278" s="119"/>
      <c r="AD1278" s="119"/>
      <c r="AE1278" s="120"/>
      <c r="AF1278" s="119"/>
      <c r="AG1278" s="119"/>
      <c r="AH1278" s="120"/>
      <c r="AI1278" s="121"/>
      <c r="AJ1278" s="121"/>
      <c r="AK1278" s="121"/>
      <c r="AL1278" s="121"/>
      <c r="AM1278" s="122"/>
      <c r="AN1278" s="121"/>
      <c r="AP1278" s="87"/>
    </row>
    <row r="1279" spans="1:42">
      <c r="A1279" s="3"/>
      <c r="B1279" s="3"/>
      <c r="C1279" s="3"/>
      <c r="D1279" s="3"/>
      <c r="E1279" s="3"/>
      <c r="F1279" s="3"/>
      <c r="G1279" s="3"/>
      <c r="H1279" s="3"/>
      <c r="I1279" s="100"/>
      <c r="J1279" s="101"/>
      <c r="K1279" s="101"/>
      <c r="L1279" s="101"/>
      <c r="M1279" s="101"/>
      <c r="N1279" s="101"/>
      <c r="O1279" s="101"/>
      <c r="P1279" s="101"/>
      <c r="Q1279" s="101"/>
      <c r="R1279" s="101"/>
      <c r="S1279" s="101"/>
      <c r="T1279" s="101"/>
      <c r="U1279" s="101"/>
      <c r="V1279" s="101"/>
      <c r="W1279" s="101"/>
      <c r="X1279" s="101"/>
      <c r="Y1279" s="101"/>
      <c r="Z1279" s="101"/>
      <c r="AA1279" s="101"/>
      <c r="AB1279" s="101"/>
      <c r="AC1279" s="119"/>
      <c r="AD1279" s="119"/>
      <c r="AE1279" s="120"/>
      <c r="AF1279" s="119"/>
      <c r="AG1279" s="119"/>
      <c r="AH1279" s="120"/>
      <c r="AI1279" s="121"/>
      <c r="AJ1279" s="121"/>
      <c r="AK1279" s="121"/>
      <c r="AL1279" s="121"/>
      <c r="AM1279" s="122"/>
      <c r="AN1279" s="121"/>
      <c r="AP1279" s="87"/>
    </row>
    <row r="1280" spans="1:42">
      <c r="A1280" s="3"/>
      <c r="B1280" s="3"/>
      <c r="C1280" s="3"/>
      <c r="D1280" s="3"/>
      <c r="E1280" s="3"/>
      <c r="F1280" s="3"/>
      <c r="G1280" s="3"/>
      <c r="H1280" s="3"/>
      <c r="I1280" s="100"/>
      <c r="J1280" s="101"/>
      <c r="K1280" s="101"/>
      <c r="L1280" s="101"/>
      <c r="M1280" s="101"/>
      <c r="N1280" s="101"/>
      <c r="O1280" s="101"/>
      <c r="P1280" s="101"/>
      <c r="Q1280" s="101"/>
      <c r="R1280" s="101"/>
      <c r="S1280" s="101"/>
      <c r="T1280" s="101"/>
      <c r="U1280" s="101"/>
      <c r="V1280" s="101"/>
      <c r="W1280" s="101"/>
      <c r="X1280" s="101"/>
      <c r="Y1280" s="101"/>
      <c r="Z1280" s="101"/>
      <c r="AA1280" s="101"/>
      <c r="AB1280" s="101"/>
      <c r="AC1280" s="119"/>
      <c r="AD1280" s="119"/>
      <c r="AE1280" s="120"/>
      <c r="AF1280" s="119"/>
      <c r="AG1280" s="119"/>
      <c r="AH1280" s="120"/>
      <c r="AI1280" s="121"/>
      <c r="AJ1280" s="121"/>
      <c r="AK1280" s="121"/>
      <c r="AL1280" s="121"/>
      <c r="AM1280" s="122"/>
      <c r="AN1280" s="121"/>
      <c r="AP1280" s="87"/>
    </row>
    <row r="1281" spans="1:42">
      <c r="A1281" s="3"/>
      <c r="B1281" s="3"/>
      <c r="C1281" s="3"/>
      <c r="D1281" s="3"/>
      <c r="E1281" s="3"/>
      <c r="F1281" s="3"/>
      <c r="G1281" s="3"/>
      <c r="H1281" s="3"/>
      <c r="I1281" s="100"/>
      <c r="J1281" s="101"/>
      <c r="K1281" s="101"/>
      <c r="L1281" s="101"/>
      <c r="M1281" s="101"/>
      <c r="N1281" s="101"/>
      <c r="O1281" s="101"/>
      <c r="P1281" s="101"/>
      <c r="Q1281" s="101"/>
      <c r="R1281" s="101"/>
      <c r="S1281" s="101"/>
      <c r="T1281" s="101"/>
      <c r="U1281" s="101"/>
      <c r="V1281" s="101"/>
      <c r="W1281" s="101"/>
      <c r="X1281" s="101"/>
      <c r="Y1281" s="101"/>
      <c r="Z1281" s="101"/>
      <c r="AA1281" s="101"/>
      <c r="AB1281" s="101"/>
      <c r="AC1281" s="119"/>
      <c r="AD1281" s="119"/>
      <c r="AE1281" s="120"/>
      <c r="AF1281" s="119"/>
      <c r="AG1281" s="119"/>
      <c r="AH1281" s="120"/>
      <c r="AI1281" s="121"/>
      <c r="AJ1281" s="121"/>
      <c r="AK1281" s="121"/>
      <c r="AL1281" s="121"/>
      <c r="AM1281" s="122"/>
      <c r="AN1281" s="121"/>
      <c r="AP1281" s="87"/>
    </row>
    <row r="1282" spans="1:42">
      <c r="A1282" s="3"/>
      <c r="B1282" s="3"/>
      <c r="C1282" s="3"/>
      <c r="D1282" s="3"/>
      <c r="E1282" s="3"/>
      <c r="F1282" s="3"/>
      <c r="G1282" s="3"/>
      <c r="H1282" s="3"/>
      <c r="I1282" s="100"/>
      <c r="J1282" s="101"/>
      <c r="K1282" s="101"/>
      <c r="L1282" s="101"/>
      <c r="M1282" s="101"/>
      <c r="N1282" s="101"/>
      <c r="O1282" s="101"/>
      <c r="P1282" s="101"/>
      <c r="Q1282" s="101"/>
      <c r="R1282" s="101"/>
      <c r="S1282" s="101"/>
      <c r="T1282" s="101"/>
      <c r="U1282" s="101"/>
      <c r="V1282" s="101"/>
      <c r="W1282" s="101"/>
      <c r="X1282" s="101"/>
      <c r="Y1282" s="101"/>
      <c r="Z1282" s="101"/>
      <c r="AA1282" s="101"/>
      <c r="AB1282" s="101"/>
      <c r="AC1282" s="119"/>
      <c r="AD1282" s="119"/>
      <c r="AE1282" s="120"/>
      <c r="AF1282" s="119"/>
      <c r="AG1282" s="119"/>
      <c r="AH1282" s="120"/>
      <c r="AI1282" s="121"/>
      <c r="AJ1282" s="121"/>
      <c r="AK1282" s="121"/>
      <c r="AL1282" s="121"/>
      <c r="AM1282" s="122"/>
      <c r="AN1282" s="121"/>
      <c r="AP1282" s="87"/>
    </row>
    <row r="1283" spans="1:42">
      <c r="A1283" s="3"/>
      <c r="B1283" s="3"/>
      <c r="C1283" s="3"/>
      <c r="D1283" s="3"/>
      <c r="E1283" s="3"/>
      <c r="F1283" s="3"/>
      <c r="G1283" s="3"/>
      <c r="H1283" s="3"/>
      <c r="I1283" s="100"/>
      <c r="J1283" s="101"/>
      <c r="K1283" s="101"/>
      <c r="L1283" s="101"/>
      <c r="M1283" s="101"/>
      <c r="N1283" s="101"/>
      <c r="O1283" s="101"/>
      <c r="P1283" s="101"/>
      <c r="Q1283" s="101"/>
      <c r="R1283" s="101"/>
      <c r="S1283" s="101"/>
      <c r="T1283" s="101"/>
      <c r="U1283" s="101"/>
      <c r="V1283" s="101"/>
      <c r="W1283" s="101"/>
      <c r="X1283" s="101"/>
      <c r="Y1283" s="101"/>
      <c r="Z1283" s="101"/>
      <c r="AA1283" s="101"/>
      <c r="AB1283" s="101"/>
      <c r="AC1283" s="119"/>
      <c r="AD1283" s="119"/>
      <c r="AE1283" s="120"/>
      <c r="AF1283" s="119"/>
      <c r="AG1283" s="119"/>
      <c r="AH1283" s="120"/>
      <c r="AI1283" s="121"/>
      <c r="AJ1283" s="121"/>
      <c r="AK1283" s="121"/>
      <c r="AL1283" s="121"/>
      <c r="AM1283" s="122"/>
      <c r="AN1283" s="121"/>
      <c r="AP1283" s="87"/>
    </row>
    <row r="1284" spans="1:42">
      <c r="A1284" s="3"/>
      <c r="B1284" s="3"/>
      <c r="C1284" s="3"/>
      <c r="D1284" s="3"/>
      <c r="E1284" s="3"/>
      <c r="F1284" s="3"/>
      <c r="G1284" s="3"/>
      <c r="H1284" s="3"/>
      <c r="I1284" s="100"/>
      <c r="J1284" s="101"/>
      <c r="K1284" s="101"/>
      <c r="L1284" s="101"/>
      <c r="M1284" s="101"/>
      <c r="N1284" s="101"/>
      <c r="O1284" s="101"/>
      <c r="P1284" s="101"/>
      <c r="Q1284" s="101"/>
      <c r="R1284" s="101"/>
      <c r="S1284" s="101"/>
      <c r="T1284" s="101"/>
      <c r="U1284" s="101"/>
      <c r="V1284" s="101"/>
      <c r="W1284" s="101"/>
      <c r="X1284" s="101"/>
      <c r="Y1284" s="101"/>
      <c r="Z1284" s="101"/>
      <c r="AA1284" s="101"/>
      <c r="AB1284" s="101"/>
      <c r="AC1284" s="119"/>
      <c r="AD1284" s="119"/>
      <c r="AE1284" s="120"/>
      <c r="AF1284" s="119"/>
      <c r="AG1284" s="119"/>
      <c r="AH1284" s="120"/>
      <c r="AI1284" s="121"/>
      <c r="AJ1284" s="121"/>
      <c r="AK1284" s="121"/>
      <c r="AL1284" s="121"/>
      <c r="AM1284" s="122"/>
      <c r="AN1284" s="121"/>
      <c r="AP1284" s="87"/>
    </row>
    <row r="1285" spans="1:42">
      <c r="A1285" s="3"/>
      <c r="B1285" s="3"/>
      <c r="C1285" s="3"/>
      <c r="D1285" s="3"/>
      <c r="E1285" s="3"/>
      <c r="F1285" s="3"/>
      <c r="G1285" s="3"/>
      <c r="H1285" s="3"/>
      <c r="I1285" s="100"/>
      <c r="J1285" s="101"/>
      <c r="K1285" s="101"/>
      <c r="L1285" s="101"/>
      <c r="M1285" s="101"/>
      <c r="N1285" s="101"/>
      <c r="O1285" s="101"/>
      <c r="P1285" s="101"/>
      <c r="Q1285" s="101"/>
      <c r="R1285" s="101"/>
      <c r="S1285" s="101"/>
      <c r="T1285" s="101"/>
      <c r="U1285" s="101"/>
      <c r="V1285" s="101"/>
      <c r="W1285" s="101"/>
      <c r="X1285" s="101"/>
      <c r="Y1285" s="101"/>
      <c r="Z1285" s="101"/>
      <c r="AA1285" s="101"/>
      <c r="AB1285" s="101"/>
      <c r="AC1285" s="119"/>
      <c r="AD1285" s="119"/>
      <c r="AE1285" s="120"/>
      <c r="AF1285" s="119"/>
      <c r="AG1285" s="119"/>
      <c r="AH1285" s="120"/>
      <c r="AI1285" s="121"/>
      <c r="AJ1285" s="121"/>
      <c r="AK1285" s="121"/>
      <c r="AL1285" s="121"/>
      <c r="AM1285" s="122"/>
      <c r="AN1285" s="121"/>
      <c r="AP1285" s="87"/>
    </row>
    <row r="1286" spans="1:42">
      <c r="A1286" s="3"/>
      <c r="B1286" s="3"/>
      <c r="C1286" s="3"/>
      <c r="D1286" s="3"/>
      <c r="E1286" s="3"/>
      <c r="F1286" s="3"/>
      <c r="G1286" s="3"/>
      <c r="H1286" s="3"/>
      <c r="I1286" s="100"/>
      <c r="J1286" s="101"/>
      <c r="K1286" s="101"/>
      <c r="L1286" s="101"/>
      <c r="M1286" s="101"/>
      <c r="N1286" s="101"/>
      <c r="O1286" s="101"/>
      <c r="P1286" s="101"/>
      <c r="Q1286" s="101"/>
      <c r="R1286" s="101"/>
      <c r="S1286" s="101"/>
      <c r="T1286" s="101"/>
      <c r="U1286" s="101"/>
      <c r="V1286" s="101"/>
      <c r="W1286" s="101"/>
      <c r="X1286" s="101"/>
      <c r="Y1286" s="101"/>
      <c r="Z1286" s="101"/>
      <c r="AA1286" s="101"/>
      <c r="AB1286" s="101"/>
      <c r="AC1286" s="119"/>
      <c r="AD1286" s="119"/>
      <c r="AE1286" s="120"/>
      <c r="AF1286" s="119"/>
      <c r="AG1286" s="119"/>
      <c r="AH1286" s="120"/>
      <c r="AI1286" s="121"/>
      <c r="AJ1286" s="121"/>
      <c r="AK1286" s="121"/>
      <c r="AL1286" s="121"/>
      <c r="AM1286" s="122"/>
      <c r="AN1286" s="121"/>
      <c r="AP1286" s="87"/>
    </row>
    <row r="1287" spans="1:42">
      <c r="A1287" s="3"/>
      <c r="B1287" s="3"/>
      <c r="C1287" s="3"/>
      <c r="D1287" s="3"/>
      <c r="E1287" s="3"/>
      <c r="F1287" s="3"/>
      <c r="G1287" s="3"/>
      <c r="H1287" s="3"/>
      <c r="I1287" s="100"/>
      <c r="J1287" s="101"/>
      <c r="K1287" s="101"/>
      <c r="L1287" s="101"/>
      <c r="M1287" s="101"/>
      <c r="N1287" s="101"/>
      <c r="O1287" s="101"/>
      <c r="P1287" s="101"/>
      <c r="Q1287" s="101"/>
      <c r="R1287" s="101"/>
      <c r="S1287" s="101"/>
      <c r="T1287" s="101"/>
      <c r="U1287" s="101"/>
      <c r="V1287" s="101"/>
      <c r="W1287" s="101"/>
      <c r="X1287" s="101"/>
      <c r="Y1287" s="101"/>
      <c r="Z1287" s="101"/>
      <c r="AA1287" s="101"/>
      <c r="AB1287" s="101"/>
      <c r="AC1287" s="119"/>
      <c r="AD1287" s="119"/>
      <c r="AE1287" s="120"/>
      <c r="AF1287" s="119"/>
      <c r="AG1287" s="119"/>
      <c r="AH1287" s="120"/>
      <c r="AI1287" s="121"/>
      <c r="AJ1287" s="121"/>
      <c r="AK1287" s="121"/>
      <c r="AL1287" s="121"/>
      <c r="AM1287" s="122"/>
      <c r="AN1287" s="121"/>
      <c r="AP1287" s="87"/>
    </row>
    <row r="1288" spans="1:42">
      <c r="A1288" s="3"/>
      <c r="B1288" s="3"/>
      <c r="C1288" s="3"/>
      <c r="D1288" s="3"/>
      <c r="E1288" s="3"/>
      <c r="F1288" s="3"/>
      <c r="G1288" s="3"/>
      <c r="H1288" s="3"/>
      <c r="I1288" s="100"/>
      <c r="J1288" s="101"/>
      <c r="K1288" s="101"/>
      <c r="L1288" s="101"/>
      <c r="M1288" s="101"/>
      <c r="N1288" s="101"/>
      <c r="O1288" s="101"/>
      <c r="P1288" s="101"/>
      <c r="Q1288" s="101"/>
      <c r="R1288" s="101"/>
      <c r="S1288" s="101"/>
      <c r="T1288" s="101"/>
      <c r="U1288" s="101"/>
      <c r="V1288" s="101"/>
      <c r="W1288" s="101"/>
      <c r="X1288" s="101"/>
      <c r="Y1288" s="101"/>
      <c r="Z1288" s="101"/>
      <c r="AA1288" s="101"/>
      <c r="AB1288" s="101"/>
      <c r="AC1288" s="119"/>
      <c r="AD1288" s="119"/>
      <c r="AE1288" s="120"/>
      <c r="AF1288" s="119"/>
      <c r="AG1288" s="119"/>
      <c r="AH1288" s="120"/>
      <c r="AI1288" s="121"/>
      <c r="AJ1288" s="121"/>
      <c r="AK1288" s="121"/>
      <c r="AL1288" s="121"/>
      <c r="AM1288" s="122"/>
      <c r="AN1288" s="121"/>
      <c r="AP1288" s="87"/>
    </row>
    <row r="1289" spans="1:42">
      <c r="A1289" s="3"/>
      <c r="B1289" s="3"/>
      <c r="C1289" s="3"/>
      <c r="D1289" s="3"/>
      <c r="E1289" s="3"/>
      <c r="F1289" s="3"/>
      <c r="G1289" s="3"/>
      <c r="H1289" s="3"/>
      <c r="I1289" s="100"/>
      <c r="J1289" s="101"/>
      <c r="K1289" s="101"/>
      <c r="L1289" s="101"/>
      <c r="M1289" s="101"/>
      <c r="N1289" s="101"/>
      <c r="O1289" s="101"/>
      <c r="P1289" s="101"/>
      <c r="Q1289" s="101"/>
      <c r="R1289" s="101"/>
      <c r="S1289" s="101"/>
      <c r="T1289" s="101"/>
      <c r="U1289" s="101"/>
      <c r="V1289" s="101"/>
      <c r="W1289" s="101"/>
      <c r="X1289" s="101"/>
      <c r="Y1289" s="101"/>
      <c r="Z1289" s="101"/>
      <c r="AA1289" s="101"/>
      <c r="AB1289" s="101"/>
      <c r="AC1289" s="119"/>
      <c r="AD1289" s="119"/>
      <c r="AE1289" s="120"/>
      <c r="AF1289" s="119"/>
      <c r="AG1289" s="119"/>
      <c r="AH1289" s="120"/>
      <c r="AI1289" s="121"/>
      <c r="AJ1289" s="121"/>
      <c r="AK1289" s="121"/>
      <c r="AL1289" s="121"/>
      <c r="AM1289" s="122"/>
      <c r="AN1289" s="121"/>
      <c r="AP1289" s="87"/>
    </row>
    <row r="1290" spans="1:42">
      <c r="A1290" s="3"/>
      <c r="B1290" s="3"/>
      <c r="C1290" s="3"/>
      <c r="D1290" s="3"/>
      <c r="E1290" s="3"/>
      <c r="F1290" s="3"/>
      <c r="G1290" s="3"/>
      <c r="H1290" s="3"/>
      <c r="I1290" s="100"/>
      <c r="J1290" s="101"/>
      <c r="K1290" s="101"/>
      <c r="L1290" s="101"/>
      <c r="M1290" s="101"/>
      <c r="N1290" s="101"/>
      <c r="O1290" s="101"/>
      <c r="P1290" s="101"/>
      <c r="Q1290" s="101"/>
      <c r="R1290" s="101"/>
      <c r="S1290" s="101"/>
      <c r="T1290" s="101"/>
      <c r="U1290" s="101"/>
      <c r="V1290" s="101"/>
      <c r="W1290" s="101"/>
      <c r="X1290" s="101"/>
      <c r="Y1290" s="101"/>
      <c r="Z1290" s="101"/>
      <c r="AA1290" s="101"/>
      <c r="AB1290" s="101"/>
      <c r="AC1290" s="119"/>
      <c r="AD1290" s="119"/>
      <c r="AE1290" s="120"/>
      <c r="AF1290" s="119"/>
      <c r="AG1290" s="119"/>
      <c r="AH1290" s="120"/>
      <c r="AI1290" s="121"/>
      <c r="AJ1290" s="121"/>
      <c r="AK1290" s="121"/>
      <c r="AL1290" s="121"/>
      <c r="AM1290" s="122"/>
      <c r="AN1290" s="121"/>
      <c r="AP1290" s="87"/>
    </row>
    <row r="1291" spans="1:42">
      <c r="A1291" s="3"/>
      <c r="B1291" s="3"/>
      <c r="C1291" s="3"/>
      <c r="D1291" s="3"/>
      <c r="E1291" s="3"/>
      <c r="F1291" s="3"/>
      <c r="G1291" s="3"/>
      <c r="H1291" s="3"/>
      <c r="I1291" s="100"/>
      <c r="J1291" s="101"/>
      <c r="K1291" s="101"/>
      <c r="L1291" s="101"/>
      <c r="M1291" s="101"/>
      <c r="N1291" s="101"/>
      <c r="O1291" s="101"/>
      <c r="P1291" s="101"/>
      <c r="Q1291" s="101"/>
      <c r="R1291" s="101"/>
      <c r="S1291" s="101"/>
      <c r="T1291" s="101"/>
      <c r="U1291" s="101"/>
      <c r="V1291" s="101"/>
      <c r="W1291" s="101"/>
      <c r="X1291" s="101"/>
      <c r="Y1291" s="101"/>
      <c r="Z1291" s="101"/>
      <c r="AA1291" s="101"/>
      <c r="AB1291" s="101"/>
      <c r="AC1291" s="119"/>
      <c r="AD1291" s="119"/>
      <c r="AE1291" s="120"/>
      <c r="AF1291" s="119"/>
      <c r="AG1291" s="119"/>
      <c r="AH1291" s="120"/>
      <c r="AI1291" s="121"/>
      <c r="AJ1291" s="121"/>
      <c r="AK1291" s="121"/>
      <c r="AL1291" s="121"/>
      <c r="AM1291" s="122"/>
      <c r="AN1291" s="121"/>
      <c r="AP1291" s="87"/>
    </row>
    <row r="1292" spans="1:42">
      <c r="A1292" s="3"/>
      <c r="B1292" s="3"/>
      <c r="C1292" s="3"/>
      <c r="D1292" s="3"/>
      <c r="E1292" s="3"/>
      <c r="F1292" s="3"/>
      <c r="G1292" s="3"/>
      <c r="H1292" s="3"/>
      <c r="I1292" s="100"/>
      <c r="J1292" s="101"/>
      <c r="K1292" s="101"/>
      <c r="L1292" s="101"/>
      <c r="M1292" s="101"/>
      <c r="N1292" s="101"/>
      <c r="O1292" s="101"/>
      <c r="P1292" s="101"/>
      <c r="Q1292" s="101"/>
      <c r="R1292" s="101"/>
      <c r="S1292" s="101"/>
      <c r="T1292" s="101"/>
      <c r="U1292" s="101"/>
      <c r="V1292" s="101"/>
      <c r="W1292" s="101"/>
      <c r="X1292" s="101"/>
      <c r="Y1292" s="101"/>
      <c r="Z1292" s="101"/>
      <c r="AA1292" s="101"/>
      <c r="AB1292" s="101"/>
      <c r="AC1292" s="119"/>
      <c r="AD1292" s="119"/>
      <c r="AE1292" s="120"/>
      <c r="AF1292" s="119"/>
      <c r="AG1292" s="119"/>
      <c r="AH1292" s="120"/>
      <c r="AI1292" s="121"/>
      <c r="AJ1292" s="121"/>
      <c r="AK1292" s="121"/>
      <c r="AL1292" s="121"/>
      <c r="AM1292" s="122"/>
      <c r="AN1292" s="121"/>
      <c r="AP1292" s="87"/>
    </row>
    <row r="1293" spans="1:42">
      <c r="A1293" s="3"/>
      <c r="B1293" s="3"/>
      <c r="C1293" s="3"/>
      <c r="D1293" s="3"/>
      <c r="E1293" s="3"/>
      <c r="F1293" s="3"/>
      <c r="G1293" s="3"/>
      <c r="H1293" s="3"/>
      <c r="I1293" s="100"/>
      <c r="J1293" s="101"/>
      <c r="K1293" s="101"/>
      <c r="L1293" s="101"/>
      <c r="M1293" s="101"/>
      <c r="N1293" s="101"/>
      <c r="O1293" s="101"/>
      <c r="P1293" s="101"/>
      <c r="Q1293" s="101"/>
      <c r="R1293" s="101"/>
      <c r="S1293" s="101"/>
      <c r="T1293" s="101"/>
      <c r="U1293" s="101"/>
      <c r="V1293" s="101"/>
      <c r="W1293" s="101"/>
      <c r="X1293" s="101"/>
      <c r="Y1293" s="101"/>
      <c r="Z1293" s="101"/>
      <c r="AA1293" s="101"/>
      <c r="AB1293" s="101"/>
      <c r="AC1293" s="119"/>
      <c r="AD1293" s="119"/>
      <c r="AE1293" s="120"/>
      <c r="AF1293" s="119"/>
      <c r="AG1293" s="119"/>
      <c r="AH1293" s="120"/>
      <c r="AI1293" s="121"/>
      <c r="AJ1293" s="121"/>
      <c r="AK1293" s="121"/>
      <c r="AL1293" s="121"/>
      <c r="AM1293" s="122"/>
      <c r="AN1293" s="121"/>
      <c r="AP1293" s="87"/>
    </row>
    <row r="1294" spans="1:42">
      <c r="A1294" s="3"/>
      <c r="B1294" s="3"/>
      <c r="C1294" s="3"/>
      <c r="D1294" s="3"/>
      <c r="E1294" s="3"/>
      <c r="F1294" s="3"/>
      <c r="G1294" s="3"/>
      <c r="H1294" s="3"/>
      <c r="I1294" s="100"/>
      <c r="J1294" s="101"/>
      <c r="K1294" s="101"/>
      <c r="L1294" s="101"/>
      <c r="M1294" s="101"/>
      <c r="N1294" s="101"/>
      <c r="O1294" s="101"/>
      <c r="P1294" s="101"/>
      <c r="Q1294" s="101"/>
      <c r="R1294" s="101"/>
      <c r="S1294" s="101"/>
      <c r="T1294" s="101"/>
      <c r="U1294" s="101"/>
      <c r="V1294" s="101"/>
      <c r="W1294" s="101"/>
      <c r="X1294" s="101"/>
      <c r="Y1294" s="101"/>
      <c r="Z1294" s="101"/>
      <c r="AA1294" s="101"/>
      <c r="AB1294" s="101"/>
      <c r="AC1294" s="119"/>
      <c r="AD1294" s="119"/>
      <c r="AE1294" s="120"/>
      <c r="AF1294" s="119"/>
      <c r="AG1294" s="119"/>
      <c r="AH1294" s="120"/>
      <c r="AI1294" s="121"/>
      <c r="AJ1294" s="121"/>
      <c r="AK1294" s="121"/>
      <c r="AL1294" s="121"/>
      <c r="AM1294" s="122"/>
      <c r="AN1294" s="121"/>
      <c r="AP1294" s="87"/>
    </row>
    <row r="1295" spans="1:42">
      <c r="A1295" s="3"/>
      <c r="B1295" s="3"/>
      <c r="C1295" s="3"/>
      <c r="D1295" s="3"/>
      <c r="E1295" s="3"/>
      <c r="F1295" s="3"/>
      <c r="G1295" s="3"/>
      <c r="H1295" s="3"/>
      <c r="I1295" s="100"/>
      <c r="J1295" s="101"/>
      <c r="K1295" s="101"/>
      <c r="L1295" s="101"/>
      <c r="M1295" s="101"/>
      <c r="N1295" s="101"/>
      <c r="O1295" s="101"/>
      <c r="P1295" s="101"/>
      <c r="Q1295" s="101"/>
      <c r="R1295" s="101"/>
      <c r="S1295" s="101"/>
      <c r="T1295" s="101"/>
      <c r="U1295" s="101"/>
      <c r="V1295" s="101"/>
      <c r="W1295" s="101"/>
      <c r="X1295" s="101"/>
      <c r="Y1295" s="101"/>
      <c r="Z1295" s="101"/>
      <c r="AA1295" s="101"/>
      <c r="AB1295" s="101"/>
      <c r="AC1295" s="119"/>
      <c r="AD1295" s="119"/>
      <c r="AE1295" s="120"/>
      <c r="AF1295" s="119"/>
      <c r="AG1295" s="119"/>
      <c r="AH1295" s="120"/>
      <c r="AI1295" s="121"/>
      <c r="AJ1295" s="121"/>
      <c r="AK1295" s="121"/>
      <c r="AL1295" s="121"/>
      <c r="AM1295" s="122"/>
      <c r="AN1295" s="121"/>
      <c r="AP1295" s="87"/>
    </row>
    <row r="1296" spans="1:42">
      <c r="A1296" s="3"/>
      <c r="B1296" s="3"/>
      <c r="C1296" s="3"/>
      <c r="D1296" s="3"/>
      <c r="E1296" s="3"/>
      <c r="F1296" s="3"/>
      <c r="G1296" s="3"/>
      <c r="H1296" s="3"/>
      <c r="I1296" s="100"/>
      <c r="J1296" s="101"/>
      <c r="K1296" s="101"/>
      <c r="L1296" s="101"/>
      <c r="M1296" s="101"/>
      <c r="N1296" s="101"/>
      <c r="O1296" s="101"/>
      <c r="P1296" s="101"/>
      <c r="Q1296" s="101"/>
      <c r="R1296" s="101"/>
      <c r="S1296" s="101"/>
      <c r="T1296" s="101"/>
      <c r="U1296" s="101"/>
      <c r="V1296" s="101"/>
      <c r="W1296" s="101"/>
      <c r="X1296" s="101"/>
      <c r="Y1296" s="101"/>
      <c r="Z1296" s="101"/>
      <c r="AA1296" s="101"/>
      <c r="AB1296" s="101"/>
      <c r="AC1296" s="119"/>
      <c r="AD1296" s="119"/>
      <c r="AE1296" s="120"/>
      <c r="AF1296" s="119"/>
      <c r="AG1296" s="119"/>
      <c r="AH1296" s="120"/>
      <c r="AI1296" s="121"/>
      <c r="AJ1296" s="121"/>
      <c r="AK1296" s="121"/>
      <c r="AL1296" s="121"/>
      <c r="AM1296" s="122"/>
      <c r="AN1296" s="121"/>
      <c r="AP1296" s="87"/>
    </row>
    <row r="1297" spans="1:42">
      <c r="A1297" s="3"/>
      <c r="B1297" s="3"/>
      <c r="C1297" s="3"/>
      <c r="D1297" s="3"/>
      <c r="E1297" s="3"/>
      <c r="F1297" s="3"/>
      <c r="G1297" s="3"/>
      <c r="H1297" s="3"/>
      <c r="I1297" s="100"/>
      <c r="J1297" s="101"/>
      <c r="K1297" s="101"/>
      <c r="L1297" s="101"/>
      <c r="M1297" s="101"/>
      <c r="N1297" s="101"/>
      <c r="O1297" s="101"/>
      <c r="P1297" s="101"/>
      <c r="Q1297" s="101"/>
      <c r="R1297" s="101"/>
      <c r="S1297" s="101"/>
      <c r="T1297" s="101"/>
      <c r="U1297" s="101"/>
      <c r="V1297" s="101"/>
      <c r="W1297" s="101"/>
      <c r="X1297" s="101"/>
      <c r="Y1297" s="101"/>
      <c r="Z1297" s="101"/>
      <c r="AA1297" s="101"/>
      <c r="AB1297" s="101"/>
      <c r="AC1297" s="119"/>
      <c r="AD1297" s="119"/>
      <c r="AE1297" s="120"/>
      <c r="AF1297" s="119"/>
      <c r="AG1297" s="119"/>
      <c r="AH1297" s="120"/>
      <c r="AI1297" s="121"/>
      <c r="AJ1297" s="121"/>
      <c r="AK1297" s="121"/>
      <c r="AL1297" s="121"/>
      <c r="AM1297" s="122"/>
      <c r="AN1297" s="121"/>
      <c r="AP1297" s="87"/>
    </row>
    <row r="1298" spans="1:42">
      <c r="A1298" s="3"/>
      <c r="B1298" s="3"/>
      <c r="C1298" s="3"/>
      <c r="D1298" s="3"/>
      <c r="E1298" s="3"/>
      <c r="F1298" s="3"/>
      <c r="G1298" s="3"/>
      <c r="H1298" s="3"/>
      <c r="I1298" s="100"/>
      <c r="J1298" s="101"/>
      <c r="K1298" s="101"/>
      <c r="L1298" s="101"/>
      <c r="M1298" s="101"/>
      <c r="N1298" s="101"/>
      <c r="O1298" s="101"/>
      <c r="P1298" s="101"/>
      <c r="Q1298" s="101"/>
      <c r="R1298" s="101"/>
      <c r="S1298" s="101"/>
      <c r="T1298" s="101"/>
      <c r="U1298" s="101"/>
      <c r="V1298" s="101"/>
      <c r="W1298" s="101"/>
      <c r="X1298" s="101"/>
      <c r="Y1298" s="101"/>
      <c r="Z1298" s="101"/>
      <c r="AA1298" s="101"/>
      <c r="AB1298" s="101"/>
      <c r="AC1298" s="119"/>
      <c r="AD1298" s="119"/>
      <c r="AE1298" s="120"/>
      <c r="AF1298" s="119"/>
      <c r="AG1298" s="119"/>
      <c r="AH1298" s="120"/>
      <c r="AI1298" s="121"/>
      <c r="AJ1298" s="121"/>
      <c r="AK1298" s="121"/>
      <c r="AL1298" s="121"/>
      <c r="AM1298" s="122"/>
      <c r="AN1298" s="121"/>
      <c r="AP1298" s="87"/>
    </row>
    <row r="1299" spans="1:42">
      <c r="A1299" s="3"/>
      <c r="B1299" s="3"/>
      <c r="C1299" s="3"/>
      <c r="D1299" s="3"/>
      <c r="E1299" s="3"/>
      <c r="F1299" s="3"/>
      <c r="G1299" s="3"/>
      <c r="H1299" s="3"/>
      <c r="I1299" s="100"/>
      <c r="J1299" s="101"/>
      <c r="K1299" s="101"/>
      <c r="L1299" s="101"/>
      <c r="M1299" s="101"/>
      <c r="N1299" s="101"/>
      <c r="O1299" s="101"/>
      <c r="P1299" s="101"/>
      <c r="Q1299" s="101"/>
      <c r="R1299" s="101"/>
      <c r="S1299" s="101"/>
      <c r="T1299" s="101"/>
      <c r="U1299" s="101"/>
      <c r="V1299" s="101"/>
      <c r="W1299" s="101"/>
      <c r="X1299" s="101"/>
      <c r="Y1299" s="101"/>
      <c r="Z1299" s="101"/>
      <c r="AA1299" s="101"/>
      <c r="AB1299" s="101"/>
      <c r="AC1299" s="119"/>
      <c r="AD1299" s="119"/>
      <c r="AE1299" s="120"/>
      <c r="AF1299" s="119"/>
      <c r="AG1299" s="119"/>
      <c r="AH1299" s="120"/>
      <c r="AI1299" s="121"/>
      <c r="AJ1299" s="121"/>
      <c r="AK1299" s="121"/>
      <c r="AL1299" s="121"/>
      <c r="AM1299" s="122"/>
      <c r="AN1299" s="121"/>
      <c r="AP1299" s="87"/>
    </row>
    <row r="1300" spans="1:42">
      <c r="A1300" s="3"/>
      <c r="B1300" s="3"/>
      <c r="C1300" s="3"/>
      <c r="D1300" s="3"/>
      <c r="E1300" s="3"/>
      <c r="F1300" s="3"/>
      <c r="G1300" s="3"/>
      <c r="H1300" s="3"/>
      <c r="I1300" s="100"/>
      <c r="J1300" s="101"/>
      <c r="K1300" s="101"/>
      <c r="L1300" s="101"/>
      <c r="M1300" s="101"/>
      <c r="N1300" s="101"/>
      <c r="O1300" s="101"/>
      <c r="P1300" s="101"/>
      <c r="Q1300" s="101"/>
      <c r="R1300" s="101"/>
      <c r="S1300" s="101"/>
      <c r="T1300" s="101"/>
      <c r="U1300" s="101"/>
      <c r="V1300" s="101"/>
      <c r="W1300" s="101"/>
      <c r="X1300" s="101"/>
      <c r="Y1300" s="101"/>
      <c r="Z1300" s="101"/>
      <c r="AA1300" s="101"/>
      <c r="AB1300" s="101"/>
      <c r="AC1300" s="119"/>
      <c r="AD1300" s="119"/>
      <c r="AE1300" s="120"/>
      <c r="AF1300" s="119"/>
      <c r="AG1300" s="119"/>
      <c r="AH1300" s="120"/>
      <c r="AI1300" s="121"/>
      <c r="AJ1300" s="121"/>
      <c r="AK1300" s="121"/>
      <c r="AL1300" s="121"/>
      <c r="AM1300" s="122"/>
      <c r="AN1300" s="121"/>
      <c r="AP1300" s="87"/>
    </row>
    <row r="1301" spans="1:42">
      <c r="A1301" s="3"/>
      <c r="B1301" s="3"/>
      <c r="C1301" s="3"/>
      <c r="D1301" s="3"/>
      <c r="E1301" s="3"/>
      <c r="F1301" s="3"/>
      <c r="G1301" s="3"/>
      <c r="H1301" s="3"/>
      <c r="I1301" s="100"/>
      <c r="J1301" s="101"/>
      <c r="K1301" s="101"/>
      <c r="L1301" s="101"/>
      <c r="M1301" s="101"/>
      <c r="N1301" s="101"/>
      <c r="O1301" s="101"/>
      <c r="P1301" s="101"/>
      <c r="Q1301" s="101"/>
      <c r="R1301" s="101"/>
      <c r="S1301" s="101"/>
      <c r="T1301" s="101"/>
      <c r="U1301" s="101"/>
      <c r="V1301" s="101"/>
      <c r="W1301" s="101"/>
      <c r="X1301" s="101"/>
      <c r="Y1301" s="101"/>
      <c r="Z1301" s="101"/>
      <c r="AA1301" s="101"/>
      <c r="AB1301" s="101"/>
      <c r="AC1301" s="119"/>
      <c r="AD1301" s="119"/>
      <c r="AE1301" s="120"/>
      <c r="AF1301" s="119"/>
      <c r="AG1301" s="119"/>
      <c r="AH1301" s="120"/>
      <c r="AI1301" s="121"/>
      <c r="AJ1301" s="121"/>
      <c r="AK1301" s="121"/>
      <c r="AL1301" s="121"/>
      <c r="AM1301" s="122"/>
      <c r="AN1301" s="121"/>
      <c r="AP1301" s="87"/>
    </row>
    <row r="1302" spans="1:42">
      <c r="A1302" s="3"/>
      <c r="B1302" s="3"/>
      <c r="C1302" s="3"/>
      <c r="D1302" s="3"/>
      <c r="E1302" s="3"/>
      <c r="F1302" s="3"/>
      <c r="G1302" s="3"/>
      <c r="H1302" s="3"/>
      <c r="I1302" s="100"/>
      <c r="J1302" s="101"/>
      <c r="K1302" s="101"/>
      <c r="L1302" s="101"/>
      <c r="M1302" s="101"/>
      <c r="N1302" s="101"/>
      <c r="O1302" s="101"/>
      <c r="P1302" s="101"/>
      <c r="Q1302" s="101"/>
      <c r="R1302" s="101"/>
      <c r="S1302" s="101"/>
      <c r="T1302" s="101"/>
      <c r="U1302" s="101"/>
      <c r="V1302" s="101"/>
      <c r="W1302" s="101"/>
      <c r="X1302" s="101"/>
      <c r="Y1302" s="101"/>
      <c r="Z1302" s="101"/>
      <c r="AA1302" s="101"/>
      <c r="AB1302" s="101"/>
      <c r="AC1302" s="119"/>
      <c r="AD1302" s="119"/>
      <c r="AE1302" s="120"/>
      <c r="AF1302" s="119"/>
      <c r="AG1302" s="119"/>
      <c r="AH1302" s="120"/>
      <c r="AI1302" s="121"/>
      <c r="AJ1302" s="121"/>
      <c r="AK1302" s="121"/>
      <c r="AL1302" s="121"/>
      <c r="AM1302" s="122"/>
      <c r="AN1302" s="121"/>
      <c r="AP1302" s="87"/>
    </row>
    <row r="1303" spans="1:42">
      <c r="A1303" s="3"/>
      <c r="B1303" s="3"/>
      <c r="C1303" s="3"/>
      <c r="D1303" s="3"/>
      <c r="E1303" s="3"/>
      <c r="F1303" s="3"/>
      <c r="G1303" s="3"/>
      <c r="H1303" s="3"/>
      <c r="I1303" s="100"/>
      <c r="J1303" s="101"/>
      <c r="K1303" s="101"/>
      <c r="L1303" s="101"/>
      <c r="M1303" s="101"/>
      <c r="N1303" s="101"/>
      <c r="O1303" s="101"/>
      <c r="P1303" s="101"/>
      <c r="Q1303" s="101"/>
      <c r="R1303" s="101"/>
      <c r="S1303" s="101"/>
      <c r="T1303" s="101"/>
      <c r="U1303" s="101"/>
      <c r="V1303" s="101"/>
      <c r="W1303" s="101"/>
      <c r="X1303" s="101"/>
      <c r="Y1303" s="101"/>
      <c r="Z1303" s="101"/>
      <c r="AA1303" s="101"/>
      <c r="AB1303" s="101"/>
      <c r="AC1303" s="119"/>
      <c r="AD1303" s="119"/>
      <c r="AE1303" s="120"/>
      <c r="AF1303" s="119"/>
      <c r="AG1303" s="119"/>
      <c r="AH1303" s="120"/>
      <c r="AI1303" s="121"/>
      <c r="AJ1303" s="121"/>
      <c r="AK1303" s="121"/>
      <c r="AL1303" s="121"/>
      <c r="AM1303" s="122"/>
      <c r="AN1303" s="121"/>
      <c r="AP1303" s="87"/>
    </row>
    <row r="1304" spans="1:42">
      <c r="A1304" s="3"/>
      <c r="B1304" s="3"/>
      <c r="C1304" s="3"/>
      <c r="D1304" s="3"/>
      <c r="E1304" s="3"/>
      <c r="F1304" s="3"/>
      <c r="G1304" s="3"/>
      <c r="H1304" s="3"/>
      <c r="I1304" s="100"/>
      <c r="J1304" s="101"/>
      <c r="K1304" s="101"/>
      <c r="L1304" s="101"/>
      <c r="M1304" s="101"/>
      <c r="N1304" s="101"/>
      <c r="O1304" s="101"/>
      <c r="P1304" s="101"/>
      <c r="Q1304" s="101"/>
      <c r="R1304" s="101"/>
      <c r="S1304" s="101"/>
      <c r="T1304" s="101"/>
      <c r="U1304" s="101"/>
      <c r="V1304" s="101"/>
      <c r="W1304" s="101"/>
      <c r="X1304" s="101"/>
      <c r="Y1304" s="101"/>
      <c r="Z1304" s="101"/>
      <c r="AA1304" s="101"/>
      <c r="AB1304" s="101"/>
      <c r="AC1304" s="119"/>
      <c r="AD1304" s="119"/>
      <c r="AE1304" s="120"/>
      <c r="AF1304" s="119"/>
      <c r="AG1304" s="119"/>
      <c r="AH1304" s="120"/>
      <c r="AI1304" s="121"/>
      <c r="AJ1304" s="121"/>
      <c r="AK1304" s="121"/>
      <c r="AL1304" s="121"/>
      <c r="AM1304" s="122"/>
      <c r="AN1304" s="121"/>
      <c r="AP1304" s="87"/>
    </row>
    <row r="1305" spans="1:42">
      <c r="A1305" s="3"/>
      <c r="B1305" s="3"/>
      <c r="C1305" s="3"/>
      <c r="D1305" s="3"/>
      <c r="E1305" s="3"/>
      <c r="F1305" s="3"/>
      <c r="G1305" s="3"/>
      <c r="H1305" s="3"/>
      <c r="I1305" s="100"/>
      <c r="J1305" s="101"/>
      <c r="K1305" s="101"/>
      <c r="L1305" s="101"/>
      <c r="M1305" s="101"/>
      <c r="N1305" s="101"/>
      <c r="O1305" s="101"/>
      <c r="P1305" s="101"/>
      <c r="Q1305" s="101"/>
      <c r="R1305" s="101"/>
      <c r="S1305" s="101"/>
      <c r="T1305" s="101"/>
      <c r="U1305" s="101"/>
      <c r="V1305" s="101"/>
      <c r="W1305" s="101"/>
      <c r="X1305" s="101"/>
      <c r="Y1305" s="101"/>
      <c r="Z1305" s="101"/>
      <c r="AA1305" s="101"/>
      <c r="AB1305" s="101"/>
      <c r="AC1305" s="119"/>
      <c r="AD1305" s="119"/>
      <c r="AE1305" s="120"/>
      <c r="AF1305" s="119"/>
      <c r="AG1305" s="119"/>
      <c r="AH1305" s="120"/>
      <c r="AI1305" s="121"/>
      <c r="AJ1305" s="121"/>
      <c r="AK1305" s="121"/>
      <c r="AL1305" s="121"/>
      <c r="AM1305" s="122"/>
      <c r="AN1305" s="121"/>
      <c r="AP1305" s="87"/>
    </row>
    <row r="1306" spans="1:42">
      <c r="A1306" s="3"/>
      <c r="B1306" s="3"/>
      <c r="C1306" s="3"/>
      <c r="D1306" s="3"/>
      <c r="E1306" s="3"/>
      <c r="F1306" s="3"/>
      <c r="G1306" s="3"/>
      <c r="H1306" s="3"/>
      <c r="I1306" s="100"/>
      <c r="J1306" s="101"/>
      <c r="K1306" s="101"/>
      <c r="L1306" s="101"/>
      <c r="M1306" s="101"/>
      <c r="N1306" s="101"/>
      <c r="O1306" s="101"/>
      <c r="P1306" s="101"/>
      <c r="Q1306" s="101"/>
      <c r="R1306" s="101"/>
      <c r="S1306" s="101"/>
      <c r="T1306" s="101"/>
      <c r="U1306" s="101"/>
      <c r="V1306" s="101"/>
      <c r="W1306" s="101"/>
      <c r="X1306" s="101"/>
      <c r="Y1306" s="101"/>
      <c r="Z1306" s="101"/>
      <c r="AA1306" s="101"/>
      <c r="AB1306" s="101"/>
      <c r="AC1306" s="119"/>
      <c r="AD1306" s="119"/>
      <c r="AE1306" s="120"/>
      <c r="AF1306" s="119"/>
      <c r="AG1306" s="119"/>
      <c r="AH1306" s="120"/>
      <c r="AI1306" s="121"/>
      <c r="AJ1306" s="121"/>
      <c r="AK1306" s="121"/>
      <c r="AL1306" s="121"/>
      <c r="AM1306" s="122"/>
      <c r="AN1306" s="121"/>
      <c r="AP1306" s="87"/>
    </row>
    <row r="1307" spans="1:42">
      <c r="A1307" s="3"/>
      <c r="B1307" s="3"/>
      <c r="C1307" s="3"/>
      <c r="D1307" s="3"/>
      <c r="E1307" s="3"/>
      <c r="F1307" s="3"/>
      <c r="G1307" s="3"/>
      <c r="H1307" s="3"/>
      <c r="I1307" s="100"/>
      <c r="J1307" s="101"/>
      <c r="K1307" s="101"/>
      <c r="L1307" s="101"/>
      <c r="M1307" s="101"/>
      <c r="N1307" s="101"/>
      <c r="O1307" s="101"/>
      <c r="P1307" s="101"/>
      <c r="Q1307" s="101"/>
      <c r="R1307" s="101"/>
      <c r="S1307" s="101"/>
      <c r="T1307" s="101"/>
      <c r="U1307" s="101"/>
      <c r="V1307" s="101"/>
      <c r="W1307" s="101"/>
      <c r="X1307" s="101"/>
      <c r="Y1307" s="101"/>
      <c r="Z1307" s="101"/>
      <c r="AA1307" s="101"/>
      <c r="AB1307" s="101"/>
      <c r="AC1307" s="119"/>
      <c r="AD1307" s="119"/>
      <c r="AE1307" s="120"/>
      <c r="AF1307" s="119"/>
      <c r="AG1307" s="119"/>
      <c r="AH1307" s="120"/>
      <c r="AI1307" s="121"/>
      <c r="AJ1307" s="121"/>
      <c r="AK1307" s="121"/>
      <c r="AL1307" s="121"/>
      <c r="AM1307" s="122"/>
      <c r="AN1307" s="121"/>
      <c r="AP1307" s="87"/>
    </row>
    <row r="1308" spans="1:42">
      <c r="A1308" s="3"/>
      <c r="B1308" s="3"/>
      <c r="C1308" s="3"/>
      <c r="D1308" s="3"/>
      <c r="E1308" s="3"/>
      <c r="F1308" s="3"/>
      <c r="G1308" s="3"/>
      <c r="H1308" s="3"/>
      <c r="I1308" s="100"/>
      <c r="J1308" s="101"/>
      <c r="K1308" s="101"/>
      <c r="L1308" s="101"/>
      <c r="M1308" s="101"/>
      <c r="N1308" s="101"/>
      <c r="O1308" s="101"/>
      <c r="P1308" s="101"/>
      <c r="Q1308" s="101"/>
      <c r="R1308" s="101"/>
      <c r="S1308" s="101"/>
      <c r="T1308" s="101"/>
      <c r="U1308" s="101"/>
      <c r="V1308" s="101"/>
      <c r="W1308" s="101"/>
      <c r="X1308" s="101"/>
      <c r="Y1308" s="101"/>
      <c r="Z1308" s="101"/>
      <c r="AA1308" s="101"/>
      <c r="AB1308" s="101"/>
      <c r="AC1308" s="119"/>
      <c r="AD1308" s="119"/>
      <c r="AE1308" s="120"/>
      <c r="AF1308" s="119"/>
      <c r="AG1308" s="119"/>
      <c r="AH1308" s="120"/>
      <c r="AI1308" s="121"/>
      <c r="AJ1308" s="121"/>
      <c r="AK1308" s="121"/>
      <c r="AL1308" s="121"/>
      <c r="AM1308" s="122"/>
      <c r="AN1308" s="121"/>
      <c r="AP1308" s="87"/>
    </row>
    <row r="1309" spans="1:42">
      <c r="A1309" s="3"/>
      <c r="B1309" s="3"/>
      <c r="C1309" s="3"/>
      <c r="D1309" s="3"/>
      <c r="E1309" s="3"/>
      <c r="F1309" s="3"/>
      <c r="G1309" s="3"/>
      <c r="H1309" s="3"/>
      <c r="I1309" s="100"/>
      <c r="J1309" s="101"/>
      <c r="K1309" s="101"/>
      <c r="L1309" s="101"/>
      <c r="M1309" s="101"/>
      <c r="N1309" s="101"/>
      <c r="O1309" s="101"/>
      <c r="P1309" s="101"/>
      <c r="Q1309" s="101"/>
      <c r="R1309" s="101"/>
      <c r="S1309" s="101"/>
      <c r="T1309" s="101"/>
      <c r="U1309" s="101"/>
      <c r="V1309" s="101"/>
      <c r="W1309" s="101"/>
      <c r="X1309" s="101"/>
      <c r="Y1309" s="101"/>
      <c r="Z1309" s="101"/>
      <c r="AA1309" s="101"/>
      <c r="AB1309" s="101"/>
      <c r="AC1309" s="119"/>
      <c r="AD1309" s="119"/>
      <c r="AE1309" s="120"/>
      <c r="AF1309" s="119"/>
      <c r="AG1309" s="119"/>
      <c r="AH1309" s="120"/>
      <c r="AI1309" s="121"/>
      <c r="AJ1309" s="121"/>
      <c r="AK1309" s="121"/>
      <c r="AL1309" s="121"/>
      <c r="AM1309" s="122"/>
      <c r="AN1309" s="121"/>
      <c r="AP1309" s="87"/>
    </row>
    <row r="1310" spans="1:42">
      <c r="A1310" s="3"/>
      <c r="B1310" s="3"/>
      <c r="C1310" s="3"/>
      <c r="D1310" s="3"/>
      <c r="E1310" s="3"/>
      <c r="F1310" s="3"/>
      <c r="G1310" s="3"/>
      <c r="H1310" s="3"/>
      <c r="I1310" s="100"/>
      <c r="J1310" s="101"/>
      <c r="K1310" s="101"/>
      <c r="L1310" s="101"/>
      <c r="M1310" s="101"/>
      <c r="N1310" s="101"/>
      <c r="O1310" s="101"/>
      <c r="P1310" s="101"/>
      <c r="Q1310" s="101"/>
      <c r="R1310" s="101"/>
      <c r="S1310" s="101"/>
      <c r="T1310" s="101"/>
      <c r="U1310" s="101"/>
      <c r="V1310" s="101"/>
      <c r="W1310" s="101"/>
      <c r="X1310" s="101"/>
      <c r="Y1310" s="101"/>
      <c r="Z1310" s="101"/>
      <c r="AA1310" s="101"/>
      <c r="AB1310" s="101"/>
      <c r="AC1310" s="119"/>
      <c r="AD1310" s="119"/>
      <c r="AE1310" s="120"/>
      <c r="AF1310" s="119"/>
      <c r="AG1310" s="119"/>
      <c r="AH1310" s="120"/>
      <c r="AI1310" s="121"/>
      <c r="AJ1310" s="121"/>
      <c r="AK1310" s="121"/>
      <c r="AL1310" s="121"/>
      <c r="AM1310" s="122"/>
      <c r="AN1310" s="121"/>
      <c r="AP1310" s="87"/>
    </row>
    <row r="1311" spans="1:42">
      <c r="A1311" s="3"/>
      <c r="B1311" s="3"/>
      <c r="C1311" s="3"/>
      <c r="D1311" s="3"/>
      <c r="E1311" s="3"/>
      <c r="F1311" s="3"/>
      <c r="G1311" s="3"/>
      <c r="H1311" s="3"/>
      <c r="I1311" s="100"/>
      <c r="J1311" s="101"/>
      <c r="K1311" s="101"/>
      <c r="L1311" s="101"/>
      <c r="M1311" s="101"/>
      <c r="N1311" s="101"/>
      <c r="O1311" s="101"/>
      <c r="P1311" s="101"/>
      <c r="Q1311" s="101"/>
      <c r="R1311" s="101"/>
      <c r="S1311" s="101"/>
      <c r="T1311" s="101"/>
      <c r="U1311" s="101"/>
      <c r="V1311" s="101"/>
      <c r="W1311" s="101"/>
      <c r="X1311" s="101"/>
      <c r="Y1311" s="101"/>
      <c r="Z1311" s="101"/>
      <c r="AA1311" s="101"/>
      <c r="AB1311" s="101"/>
      <c r="AC1311" s="119"/>
      <c r="AD1311" s="119"/>
      <c r="AE1311" s="120"/>
      <c r="AF1311" s="119"/>
      <c r="AG1311" s="119"/>
      <c r="AH1311" s="120"/>
      <c r="AI1311" s="121"/>
      <c r="AJ1311" s="121"/>
      <c r="AK1311" s="121"/>
      <c r="AL1311" s="121"/>
      <c r="AM1311" s="122"/>
      <c r="AN1311" s="121"/>
      <c r="AP1311" s="87"/>
    </row>
    <row r="1312" spans="1:42">
      <c r="A1312" s="3"/>
      <c r="B1312" s="3"/>
      <c r="C1312" s="3"/>
      <c r="D1312" s="3"/>
      <c r="E1312" s="3"/>
      <c r="F1312" s="3"/>
      <c r="G1312" s="3"/>
      <c r="H1312" s="3"/>
      <c r="I1312" s="100"/>
      <c r="J1312" s="101"/>
      <c r="K1312" s="101"/>
      <c r="L1312" s="101"/>
      <c r="M1312" s="101"/>
      <c r="N1312" s="101"/>
      <c r="O1312" s="101"/>
      <c r="P1312" s="101"/>
      <c r="Q1312" s="101"/>
      <c r="R1312" s="101"/>
      <c r="S1312" s="101"/>
      <c r="T1312" s="101"/>
      <c r="U1312" s="101"/>
      <c r="V1312" s="101"/>
      <c r="W1312" s="101"/>
      <c r="X1312" s="101"/>
      <c r="Y1312" s="101"/>
      <c r="Z1312" s="101"/>
      <c r="AA1312" s="101"/>
      <c r="AB1312" s="101"/>
      <c r="AC1312" s="119"/>
      <c r="AD1312" s="119"/>
      <c r="AE1312" s="120"/>
      <c r="AF1312" s="119"/>
      <c r="AG1312" s="119"/>
      <c r="AH1312" s="120"/>
      <c r="AI1312" s="121"/>
      <c r="AJ1312" s="121"/>
      <c r="AK1312" s="121"/>
      <c r="AL1312" s="121"/>
      <c r="AM1312" s="122"/>
      <c r="AN1312" s="121"/>
      <c r="AP1312" s="87"/>
    </row>
    <row r="1313" spans="1:42">
      <c r="A1313" s="3"/>
      <c r="B1313" s="3"/>
      <c r="C1313" s="3"/>
      <c r="D1313" s="3"/>
      <c r="E1313" s="3"/>
      <c r="F1313" s="3"/>
      <c r="G1313" s="3"/>
      <c r="H1313" s="3"/>
      <c r="I1313" s="100"/>
      <c r="J1313" s="101"/>
      <c r="K1313" s="101"/>
      <c r="L1313" s="101"/>
      <c r="M1313" s="101"/>
      <c r="N1313" s="101"/>
      <c r="O1313" s="101"/>
      <c r="P1313" s="101"/>
      <c r="Q1313" s="101"/>
      <c r="R1313" s="101"/>
      <c r="S1313" s="101"/>
      <c r="T1313" s="101"/>
      <c r="U1313" s="101"/>
      <c r="V1313" s="101"/>
      <c r="W1313" s="101"/>
      <c r="X1313" s="101"/>
      <c r="Y1313" s="101"/>
      <c r="Z1313" s="101"/>
      <c r="AA1313" s="101"/>
      <c r="AB1313" s="101"/>
      <c r="AC1313" s="119"/>
      <c r="AD1313" s="119"/>
      <c r="AE1313" s="120"/>
      <c r="AF1313" s="119"/>
      <c r="AG1313" s="119"/>
      <c r="AH1313" s="120"/>
      <c r="AI1313" s="121"/>
      <c r="AJ1313" s="121"/>
      <c r="AK1313" s="121"/>
      <c r="AL1313" s="121"/>
      <c r="AM1313" s="122"/>
      <c r="AN1313" s="121"/>
      <c r="AP1313" s="87"/>
    </row>
    <row r="1314" spans="1:42">
      <c r="A1314" s="3"/>
      <c r="B1314" s="3"/>
      <c r="C1314" s="3"/>
      <c r="D1314" s="3"/>
      <c r="E1314" s="3"/>
      <c r="F1314" s="3"/>
      <c r="G1314" s="3"/>
      <c r="H1314" s="3"/>
      <c r="I1314" s="100"/>
      <c r="J1314" s="101"/>
      <c r="K1314" s="101"/>
      <c r="L1314" s="101"/>
      <c r="M1314" s="101"/>
      <c r="N1314" s="101"/>
      <c r="O1314" s="101"/>
      <c r="P1314" s="101"/>
      <c r="Q1314" s="101"/>
      <c r="R1314" s="101"/>
      <c r="S1314" s="101"/>
      <c r="T1314" s="101"/>
      <c r="U1314" s="101"/>
      <c r="V1314" s="101"/>
      <c r="W1314" s="101"/>
      <c r="X1314" s="101"/>
      <c r="Y1314" s="101"/>
      <c r="Z1314" s="101"/>
      <c r="AA1314" s="101"/>
      <c r="AB1314" s="101"/>
      <c r="AC1314" s="119"/>
      <c r="AD1314" s="119"/>
      <c r="AE1314" s="120"/>
      <c r="AF1314" s="119"/>
      <c r="AG1314" s="119"/>
      <c r="AH1314" s="120"/>
      <c r="AI1314" s="121"/>
      <c r="AJ1314" s="121"/>
      <c r="AK1314" s="121"/>
      <c r="AL1314" s="121"/>
      <c r="AM1314" s="122"/>
      <c r="AN1314" s="121"/>
      <c r="AP1314" s="87"/>
    </row>
    <row r="1315" spans="1:42">
      <c r="A1315" s="3"/>
      <c r="B1315" s="3"/>
      <c r="C1315" s="3"/>
      <c r="D1315" s="3"/>
      <c r="E1315" s="3"/>
      <c r="F1315" s="3"/>
      <c r="G1315" s="3"/>
      <c r="H1315" s="3"/>
      <c r="I1315" s="100"/>
      <c r="J1315" s="101"/>
      <c r="K1315" s="101"/>
      <c r="L1315" s="101"/>
      <c r="M1315" s="101"/>
      <c r="N1315" s="101"/>
      <c r="O1315" s="101"/>
      <c r="P1315" s="101"/>
      <c r="Q1315" s="101"/>
      <c r="R1315" s="101"/>
      <c r="S1315" s="101"/>
      <c r="T1315" s="101"/>
      <c r="U1315" s="101"/>
      <c r="V1315" s="101"/>
      <c r="W1315" s="101"/>
      <c r="X1315" s="101"/>
      <c r="Y1315" s="101"/>
      <c r="Z1315" s="101"/>
      <c r="AA1315" s="101"/>
      <c r="AB1315" s="101"/>
      <c r="AC1315" s="119"/>
      <c r="AD1315" s="119"/>
      <c r="AE1315" s="120"/>
      <c r="AF1315" s="119"/>
      <c r="AG1315" s="119"/>
      <c r="AH1315" s="120"/>
      <c r="AI1315" s="121"/>
      <c r="AJ1315" s="121"/>
      <c r="AK1315" s="121"/>
      <c r="AL1315" s="121"/>
      <c r="AM1315" s="122"/>
      <c r="AN1315" s="121"/>
      <c r="AP1315" s="87"/>
    </row>
    <row r="1316" spans="1:42">
      <c r="A1316" s="3"/>
      <c r="B1316" s="3"/>
      <c r="C1316" s="3"/>
      <c r="D1316" s="3"/>
      <c r="E1316" s="3"/>
      <c r="F1316" s="3"/>
      <c r="G1316" s="3"/>
      <c r="H1316" s="3"/>
      <c r="I1316" s="100"/>
      <c r="J1316" s="101"/>
      <c r="K1316" s="101"/>
      <c r="L1316" s="101"/>
      <c r="M1316" s="101"/>
      <c r="N1316" s="101"/>
      <c r="O1316" s="101"/>
      <c r="P1316" s="101"/>
      <c r="Q1316" s="101"/>
      <c r="R1316" s="101"/>
      <c r="S1316" s="101"/>
      <c r="T1316" s="101"/>
      <c r="U1316" s="101"/>
      <c r="V1316" s="101"/>
      <c r="W1316" s="101"/>
      <c r="X1316" s="101"/>
      <c r="Y1316" s="101"/>
      <c r="Z1316" s="101"/>
      <c r="AA1316" s="101"/>
      <c r="AB1316" s="101"/>
      <c r="AC1316" s="119"/>
      <c r="AD1316" s="119"/>
      <c r="AE1316" s="120"/>
      <c r="AF1316" s="119"/>
      <c r="AG1316" s="119"/>
      <c r="AH1316" s="120"/>
      <c r="AI1316" s="121"/>
      <c r="AJ1316" s="121"/>
      <c r="AK1316" s="121"/>
      <c r="AL1316" s="121"/>
      <c r="AM1316" s="122"/>
      <c r="AN1316" s="121"/>
      <c r="AP1316" s="87"/>
    </row>
    <row r="1317" spans="1:42">
      <c r="A1317" s="3"/>
      <c r="B1317" s="3"/>
      <c r="C1317" s="3"/>
      <c r="D1317" s="3"/>
      <c r="E1317" s="3"/>
      <c r="F1317" s="3"/>
      <c r="G1317" s="3"/>
      <c r="H1317" s="3"/>
      <c r="I1317" s="100"/>
      <c r="J1317" s="101"/>
      <c r="K1317" s="101"/>
      <c r="L1317" s="101"/>
      <c r="M1317" s="101"/>
      <c r="N1317" s="101"/>
      <c r="O1317" s="101"/>
      <c r="P1317" s="101"/>
      <c r="Q1317" s="101"/>
      <c r="R1317" s="101"/>
      <c r="S1317" s="101"/>
      <c r="T1317" s="101"/>
      <c r="U1317" s="101"/>
      <c r="V1317" s="101"/>
      <c r="W1317" s="101"/>
      <c r="X1317" s="101"/>
      <c r="Y1317" s="101"/>
      <c r="Z1317" s="101"/>
      <c r="AA1317" s="101"/>
      <c r="AB1317" s="101"/>
      <c r="AC1317" s="119"/>
      <c r="AD1317" s="119"/>
      <c r="AE1317" s="120"/>
      <c r="AF1317" s="119"/>
      <c r="AG1317" s="119"/>
      <c r="AH1317" s="120"/>
      <c r="AI1317" s="121"/>
      <c r="AJ1317" s="121"/>
      <c r="AK1317" s="121"/>
      <c r="AL1317" s="121"/>
      <c r="AM1317" s="122"/>
      <c r="AN1317" s="121"/>
      <c r="AP1317" s="87"/>
    </row>
    <row r="1318" spans="1:42">
      <c r="A1318" s="3"/>
      <c r="B1318" s="3"/>
      <c r="C1318" s="3"/>
      <c r="D1318" s="3"/>
      <c r="E1318" s="3"/>
      <c r="F1318" s="3"/>
      <c r="G1318" s="3"/>
      <c r="H1318" s="3"/>
      <c r="I1318" s="100"/>
      <c r="J1318" s="101"/>
      <c r="K1318" s="101"/>
      <c r="L1318" s="101"/>
      <c r="M1318" s="101"/>
      <c r="N1318" s="101"/>
      <c r="O1318" s="101"/>
      <c r="P1318" s="101"/>
      <c r="Q1318" s="101"/>
      <c r="R1318" s="101"/>
      <c r="S1318" s="101"/>
      <c r="T1318" s="101"/>
      <c r="U1318" s="101"/>
      <c r="V1318" s="101"/>
      <c r="W1318" s="101"/>
      <c r="X1318" s="101"/>
      <c r="Y1318" s="101"/>
      <c r="Z1318" s="101"/>
      <c r="AA1318" s="101"/>
      <c r="AB1318" s="101"/>
      <c r="AC1318" s="119"/>
      <c r="AD1318" s="119"/>
      <c r="AE1318" s="120"/>
      <c r="AF1318" s="119"/>
      <c r="AG1318" s="119"/>
      <c r="AH1318" s="120"/>
      <c r="AI1318" s="121"/>
      <c r="AJ1318" s="121"/>
      <c r="AK1318" s="121"/>
      <c r="AL1318" s="121"/>
      <c r="AM1318" s="122"/>
      <c r="AN1318" s="121"/>
      <c r="AP1318" s="87"/>
    </row>
    <row r="1319" spans="1:42">
      <c r="A1319" s="3"/>
      <c r="B1319" s="3"/>
      <c r="C1319" s="3"/>
      <c r="D1319" s="3"/>
      <c r="E1319" s="3"/>
      <c r="F1319" s="3"/>
      <c r="G1319" s="3"/>
      <c r="H1319" s="3"/>
      <c r="I1319" s="100"/>
      <c r="J1319" s="101"/>
      <c r="K1319" s="101"/>
      <c r="L1319" s="101"/>
      <c r="M1319" s="101"/>
      <c r="N1319" s="101"/>
      <c r="O1319" s="101"/>
      <c r="P1319" s="101"/>
      <c r="Q1319" s="101"/>
      <c r="R1319" s="101"/>
      <c r="S1319" s="101"/>
      <c r="T1319" s="101"/>
      <c r="U1319" s="101"/>
      <c r="V1319" s="101"/>
      <c r="W1319" s="101"/>
      <c r="X1319" s="101"/>
      <c r="Y1319" s="101"/>
      <c r="Z1319" s="101"/>
      <c r="AA1319" s="101"/>
      <c r="AB1319" s="101"/>
      <c r="AC1319" s="119"/>
      <c r="AD1319" s="119"/>
      <c r="AE1319" s="120"/>
      <c r="AF1319" s="119"/>
      <c r="AG1319" s="119"/>
      <c r="AH1319" s="120"/>
      <c r="AI1319" s="121"/>
      <c r="AJ1319" s="121"/>
      <c r="AK1319" s="121"/>
      <c r="AL1319" s="121"/>
      <c r="AM1319" s="122"/>
      <c r="AN1319" s="121"/>
      <c r="AP1319" s="87"/>
    </row>
    <row r="1320" spans="1:42">
      <c r="A1320" s="3"/>
      <c r="B1320" s="3"/>
      <c r="C1320" s="3"/>
      <c r="D1320" s="3"/>
      <c r="E1320" s="3"/>
      <c r="F1320" s="3"/>
      <c r="G1320" s="3"/>
      <c r="H1320" s="3"/>
      <c r="I1320" s="100"/>
      <c r="J1320" s="101"/>
      <c r="K1320" s="101"/>
      <c r="L1320" s="101"/>
      <c r="M1320" s="101"/>
      <c r="N1320" s="101"/>
      <c r="O1320" s="101"/>
      <c r="P1320" s="101"/>
      <c r="Q1320" s="101"/>
      <c r="R1320" s="101"/>
      <c r="S1320" s="101"/>
      <c r="T1320" s="101"/>
      <c r="U1320" s="101"/>
      <c r="V1320" s="101"/>
      <c r="W1320" s="101"/>
      <c r="X1320" s="101"/>
      <c r="Y1320" s="101"/>
      <c r="Z1320" s="101"/>
      <c r="AA1320" s="101"/>
      <c r="AB1320" s="101"/>
      <c r="AC1320" s="119"/>
      <c r="AD1320" s="119"/>
      <c r="AE1320" s="120"/>
      <c r="AF1320" s="119"/>
      <c r="AG1320" s="119"/>
      <c r="AH1320" s="120"/>
      <c r="AI1320" s="121"/>
      <c r="AJ1320" s="121"/>
      <c r="AK1320" s="121"/>
      <c r="AL1320" s="121"/>
      <c r="AM1320" s="122"/>
      <c r="AN1320" s="121"/>
      <c r="AP1320" s="87"/>
    </row>
    <row r="1321" spans="1:42">
      <c r="A1321" s="3"/>
      <c r="B1321" s="3"/>
      <c r="C1321" s="3"/>
      <c r="D1321" s="3"/>
      <c r="E1321" s="3"/>
      <c r="F1321" s="3"/>
      <c r="G1321" s="3"/>
      <c r="H1321" s="3"/>
      <c r="I1321" s="100"/>
      <c r="J1321" s="101"/>
      <c r="K1321" s="101"/>
      <c r="L1321" s="101"/>
      <c r="M1321" s="101"/>
      <c r="N1321" s="101"/>
      <c r="O1321" s="101"/>
      <c r="P1321" s="101"/>
      <c r="Q1321" s="101"/>
      <c r="R1321" s="101"/>
      <c r="S1321" s="101"/>
      <c r="T1321" s="101"/>
      <c r="U1321" s="101"/>
      <c r="V1321" s="101"/>
      <c r="W1321" s="101"/>
      <c r="X1321" s="101"/>
      <c r="Y1321" s="101"/>
      <c r="Z1321" s="101"/>
      <c r="AA1321" s="101"/>
      <c r="AB1321" s="101"/>
      <c r="AC1321" s="119"/>
      <c r="AD1321" s="119"/>
      <c r="AE1321" s="120"/>
      <c r="AF1321" s="119"/>
      <c r="AG1321" s="119"/>
      <c r="AH1321" s="120"/>
      <c r="AI1321" s="121"/>
      <c r="AJ1321" s="121"/>
      <c r="AK1321" s="121"/>
      <c r="AL1321" s="121"/>
      <c r="AM1321" s="122"/>
      <c r="AN1321" s="121"/>
      <c r="AP1321" s="87"/>
    </row>
    <row r="1322" spans="1:42">
      <c r="A1322" s="3"/>
      <c r="B1322" s="3"/>
      <c r="C1322" s="3"/>
      <c r="D1322" s="3"/>
      <c r="E1322" s="3"/>
      <c r="F1322" s="3"/>
      <c r="G1322" s="3"/>
      <c r="H1322" s="3"/>
      <c r="I1322" s="100"/>
      <c r="J1322" s="101"/>
      <c r="K1322" s="101"/>
      <c r="L1322" s="101"/>
      <c r="M1322" s="101"/>
      <c r="N1322" s="101"/>
      <c r="O1322" s="101"/>
      <c r="P1322" s="101"/>
      <c r="Q1322" s="101"/>
      <c r="R1322" s="101"/>
      <c r="S1322" s="101"/>
      <c r="T1322" s="101"/>
      <c r="U1322" s="101"/>
      <c r="V1322" s="101"/>
      <c r="W1322" s="101"/>
      <c r="X1322" s="101"/>
      <c r="Y1322" s="101"/>
      <c r="Z1322" s="101"/>
      <c r="AA1322" s="101"/>
      <c r="AB1322" s="101"/>
      <c r="AC1322" s="119"/>
      <c r="AD1322" s="119"/>
      <c r="AE1322" s="120"/>
      <c r="AF1322" s="119"/>
      <c r="AG1322" s="119"/>
      <c r="AH1322" s="120"/>
      <c r="AI1322" s="121"/>
      <c r="AJ1322" s="121"/>
      <c r="AK1322" s="121"/>
      <c r="AL1322" s="121"/>
      <c r="AM1322" s="122"/>
      <c r="AN1322" s="121"/>
      <c r="AP1322" s="87"/>
    </row>
    <row r="1323" spans="1:42">
      <c r="A1323" s="3"/>
      <c r="B1323" s="3"/>
      <c r="C1323" s="3"/>
      <c r="D1323" s="3"/>
      <c r="E1323" s="3"/>
      <c r="F1323" s="3"/>
      <c r="G1323" s="3"/>
      <c r="H1323" s="3"/>
      <c r="I1323" s="100"/>
      <c r="J1323" s="101"/>
      <c r="K1323" s="101"/>
      <c r="L1323" s="101"/>
      <c r="M1323" s="101"/>
      <c r="N1323" s="101"/>
      <c r="O1323" s="101"/>
      <c r="P1323" s="101"/>
      <c r="Q1323" s="101"/>
      <c r="R1323" s="101"/>
      <c r="S1323" s="101"/>
      <c r="T1323" s="101"/>
      <c r="U1323" s="101"/>
      <c r="V1323" s="101"/>
      <c r="W1323" s="101"/>
      <c r="X1323" s="101"/>
      <c r="Y1323" s="101"/>
      <c r="Z1323" s="101"/>
      <c r="AA1323" s="101"/>
      <c r="AB1323" s="101"/>
      <c r="AC1323" s="119"/>
      <c r="AD1323" s="119"/>
      <c r="AE1323" s="120"/>
      <c r="AF1323" s="119"/>
      <c r="AG1323" s="119"/>
      <c r="AH1323" s="120"/>
      <c r="AI1323" s="121"/>
      <c r="AJ1323" s="121"/>
      <c r="AK1323" s="121"/>
      <c r="AL1323" s="121"/>
      <c r="AM1323" s="122"/>
      <c r="AN1323" s="121"/>
      <c r="AP1323" s="87"/>
    </row>
    <row r="1324" spans="1:42">
      <c r="A1324" s="3"/>
      <c r="B1324" s="3"/>
      <c r="C1324" s="3"/>
      <c r="D1324" s="3"/>
      <c r="E1324" s="3"/>
      <c r="F1324" s="3"/>
      <c r="G1324" s="3"/>
      <c r="H1324" s="3"/>
      <c r="I1324" s="100"/>
      <c r="J1324" s="101"/>
      <c r="K1324" s="101"/>
      <c r="L1324" s="101"/>
      <c r="M1324" s="101"/>
      <c r="N1324" s="101"/>
      <c r="O1324" s="101"/>
      <c r="P1324" s="101"/>
      <c r="Q1324" s="101"/>
      <c r="R1324" s="101"/>
      <c r="S1324" s="101"/>
      <c r="T1324" s="101"/>
      <c r="U1324" s="101"/>
      <c r="V1324" s="101"/>
      <c r="W1324" s="101"/>
      <c r="X1324" s="101"/>
      <c r="Y1324" s="101"/>
      <c r="Z1324" s="101"/>
      <c r="AA1324" s="101"/>
      <c r="AB1324" s="101"/>
      <c r="AC1324" s="119"/>
      <c r="AD1324" s="119"/>
      <c r="AE1324" s="120"/>
      <c r="AF1324" s="119"/>
      <c r="AG1324" s="119"/>
      <c r="AH1324" s="120"/>
      <c r="AI1324" s="121"/>
      <c r="AJ1324" s="121"/>
      <c r="AK1324" s="121"/>
      <c r="AL1324" s="121"/>
      <c r="AM1324" s="122"/>
      <c r="AN1324" s="121"/>
      <c r="AP1324" s="87"/>
    </row>
    <row r="1325" spans="1:42">
      <c r="A1325" s="3"/>
      <c r="B1325" s="3"/>
      <c r="C1325" s="3"/>
      <c r="D1325" s="3"/>
      <c r="E1325" s="3"/>
      <c r="F1325" s="3"/>
      <c r="G1325" s="3"/>
      <c r="H1325" s="3"/>
      <c r="I1325" s="100"/>
      <c r="J1325" s="101"/>
      <c r="K1325" s="101"/>
      <c r="L1325" s="101"/>
      <c r="M1325" s="101"/>
      <c r="N1325" s="101"/>
      <c r="O1325" s="101"/>
      <c r="P1325" s="101"/>
      <c r="Q1325" s="101"/>
      <c r="R1325" s="101"/>
      <c r="S1325" s="101"/>
      <c r="T1325" s="101"/>
      <c r="U1325" s="101"/>
      <c r="V1325" s="101"/>
      <c r="W1325" s="101"/>
      <c r="X1325" s="101"/>
      <c r="Y1325" s="101"/>
      <c r="Z1325" s="101"/>
      <c r="AA1325" s="101"/>
      <c r="AB1325" s="101"/>
      <c r="AC1325" s="119"/>
      <c r="AD1325" s="119"/>
      <c r="AE1325" s="120"/>
      <c r="AF1325" s="119"/>
      <c r="AG1325" s="119"/>
      <c r="AH1325" s="120"/>
      <c r="AI1325" s="121"/>
      <c r="AJ1325" s="121"/>
      <c r="AK1325" s="121"/>
      <c r="AL1325" s="121"/>
      <c r="AM1325" s="122"/>
      <c r="AN1325" s="121"/>
      <c r="AP1325" s="87"/>
    </row>
    <row r="1326" spans="1:42">
      <c r="A1326" s="3"/>
      <c r="B1326" s="3"/>
      <c r="C1326" s="3"/>
      <c r="D1326" s="3"/>
      <c r="E1326" s="3"/>
      <c r="F1326" s="3"/>
      <c r="G1326" s="3"/>
      <c r="H1326" s="3"/>
      <c r="I1326" s="100"/>
      <c r="J1326" s="101"/>
      <c r="K1326" s="101"/>
      <c r="L1326" s="101"/>
      <c r="M1326" s="101"/>
      <c r="N1326" s="101"/>
      <c r="O1326" s="101"/>
      <c r="P1326" s="101"/>
      <c r="Q1326" s="101"/>
      <c r="R1326" s="101"/>
      <c r="S1326" s="101"/>
      <c r="T1326" s="101"/>
      <c r="U1326" s="101"/>
      <c r="V1326" s="101"/>
      <c r="W1326" s="101"/>
      <c r="X1326" s="101"/>
      <c r="Y1326" s="101"/>
      <c r="Z1326" s="101"/>
      <c r="AA1326" s="101"/>
      <c r="AB1326" s="101"/>
      <c r="AC1326" s="119"/>
      <c r="AD1326" s="119"/>
      <c r="AE1326" s="120"/>
      <c r="AF1326" s="119"/>
      <c r="AG1326" s="119"/>
      <c r="AH1326" s="120"/>
      <c r="AI1326" s="121"/>
      <c r="AJ1326" s="121"/>
      <c r="AK1326" s="121"/>
      <c r="AL1326" s="121"/>
      <c r="AM1326" s="122"/>
      <c r="AN1326" s="121"/>
      <c r="AP1326" s="87"/>
    </row>
    <row r="1327" spans="1:42">
      <c r="A1327" s="3"/>
      <c r="B1327" s="3"/>
      <c r="C1327" s="3"/>
      <c r="D1327" s="3"/>
      <c r="E1327" s="3"/>
      <c r="F1327" s="3"/>
      <c r="G1327" s="3"/>
      <c r="H1327" s="3"/>
      <c r="I1327" s="100"/>
      <c r="J1327" s="101"/>
      <c r="K1327" s="101"/>
      <c r="L1327" s="101"/>
      <c r="M1327" s="101"/>
      <c r="N1327" s="101"/>
      <c r="O1327" s="101"/>
      <c r="P1327" s="101"/>
      <c r="Q1327" s="101"/>
      <c r="R1327" s="101"/>
      <c r="S1327" s="101"/>
      <c r="T1327" s="101"/>
      <c r="U1327" s="101"/>
      <c r="V1327" s="101"/>
      <c r="W1327" s="101"/>
      <c r="X1327" s="101"/>
      <c r="Y1327" s="101"/>
      <c r="Z1327" s="101"/>
      <c r="AA1327" s="101"/>
      <c r="AB1327" s="101"/>
      <c r="AC1327" s="119"/>
      <c r="AD1327" s="119"/>
      <c r="AE1327" s="120"/>
      <c r="AF1327" s="119"/>
      <c r="AG1327" s="119"/>
      <c r="AH1327" s="120"/>
      <c r="AI1327" s="121"/>
      <c r="AJ1327" s="121"/>
      <c r="AK1327" s="121"/>
      <c r="AL1327" s="121"/>
      <c r="AM1327" s="122"/>
      <c r="AN1327" s="121"/>
      <c r="AP1327" s="87"/>
    </row>
    <row r="1328" spans="1:42">
      <c r="A1328" s="3"/>
      <c r="B1328" s="3"/>
      <c r="C1328" s="3"/>
      <c r="D1328" s="3"/>
      <c r="E1328" s="3"/>
      <c r="F1328" s="3"/>
      <c r="G1328" s="3"/>
      <c r="H1328" s="3"/>
      <c r="I1328" s="100"/>
      <c r="J1328" s="101"/>
      <c r="K1328" s="101"/>
      <c r="L1328" s="101"/>
      <c r="M1328" s="101"/>
      <c r="N1328" s="101"/>
      <c r="O1328" s="101"/>
      <c r="P1328" s="101"/>
      <c r="Q1328" s="101"/>
      <c r="R1328" s="101"/>
      <c r="S1328" s="101"/>
      <c r="T1328" s="101"/>
      <c r="U1328" s="101"/>
      <c r="V1328" s="101"/>
      <c r="W1328" s="101"/>
      <c r="X1328" s="101"/>
      <c r="Y1328" s="101"/>
      <c r="Z1328" s="101"/>
      <c r="AA1328" s="101"/>
      <c r="AB1328" s="101"/>
      <c r="AC1328" s="119"/>
      <c r="AD1328" s="119"/>
      <c r="AE1328" s="120"/>
      <c r="AF1328" s="119"/>
      <c r="AG1328" s="119"/>
      <c r="AH1328" s="120"/>
      <c r="AI1328" s="121"/>
      <c r="AJ1328" s="121"/>
      <c r="AK1328" s="121"/>
      <c r="AL1328" s="121"/>
      <c r="AM1328" s="122"/>
      <c r="AN1328" s="121"/>
      <c r="AP1328" s="87"/>
    </row>
    <row r="1329" spans="1:42">
      <c r="A1329" s="3"/>
      <c r="B1329" s="3"/>
      <c r="C1329" s="3"/>
      <c r="D1329" s="3"/>
      <c r="E1329" s="3"/>
      <c r="F1329" s="3"/>
      <c r="G1329" s="3"/>
      <c r="H1329" s="3"/>
      <c r="I1329" s="100"/>
      <c r="J1329" s="101"/>
      <c r="K1329" s="101"/>
      <c r="L1329" s="101"/>
      <c r="M1329" s="101"/>
      <c r="N1329" s="101"/>
      <c r="O1329" s="101"/>
      <c r="P1329" s="101"/>
      <c r="Q1329" s="101"/>
      <c r="R1329" s="101"/>
      <c r="S1329" s="101"/>
      <c r="T1329" s="101"/>
      <c r="U1329" s="101"/>
      <c r="V1329" s="101"/>
      <c r="W1329" s="101"/>
      <c r="X1329" s="101"/>
      <c r="Y1329" s="101"/>
      <c r="Z1329" s="101"/>
      <c r="AA1329" s="101"/>
      <c r="AB1329" s="101"/>
      <c r="AC1329" s="119"/>
      <c r="AD1329" s="119"/>
      <c r="AE1329" s="120"/>
      <c r="AF1329" s="119"/>
      <c r="AG1329" s="119"/>
      <c r="AH1329" s="120"/>
      <c r="AI1329" s="121"/>
      <c r="AJ1329" s="121"/>
      <c r="AK1329" s="121"/>
      <c r="AL1329" s="121"/>
      <c r="AM1329" s="122"/>
      <c r="AN1329" s="121"/>
      <c r="AP1329" s="87"/>
    </row>
    <row r="1330" spans="1:42">
      <c r="A1330" s="3"/>
      <c r="B1330" s="3"/>
      <c r="C1330" s="3"/>
      <c r="D1330" s="3"/>
      <c r="E1330" s="3"/>
      <c r="F1330" s="3"/>
      <c r="G1330" s="3"/>
      <c r="H1330" s="3"/>
      <c r="I1330" s="100"/>
      <c r="J1330" s="101"/>
      <c r="K1330" s="101"/>
      <c r="L1330" s="101"/>
      <c r="M1330" s="101"/>
      <c r="N1330" s="101"/>
      <c r="O1330" s="101"/>
      <c r="P1330" s="101"/>
      <c r="Q1330" s="101"/>
      <c r="R1330" s="101"/>
      <c r="S1330" s="101"/>
      <c r="T1330" s="101"/>
      <c r="U1330" s="101"/>
      <c r="V1330" s="101"/>
      <c r="W1330" s="101"/>
      <c r="X1330" s="101"/>
      <c r="Y1330" s="101"/>
      <c r="Z1330" s="101"/>
      <c r="AA1330" s="101"/>
      <c r="AB1330" s="101"/>
      <c r="AC1330" s="119"/>
      <c r="AD1330" s="119"/>
      <c r="AE1330" s="120"/>
      <c r="AF1330" s="119"/>
      <c r="AG1330" s="119"/>
      <c r="AH1330" s="120"/>
      <c r="AI1330" s="121"/>
      <c r="AJ1330" s="121"/>
      <c r="AK1330" s="121"/>
      <c r="AL1330" s="121"/>
      <c r="AM1330" s="122"/>
      <c r="AN1330" s="121"/>
      <c r="AP1330" s="87"/>
    </row>
    <row r="1331" spans="1:42">
      <c r="A1331" s="3"/>
      <c r="B1331" s="3"/>
      <c r="C1331" s="3"/>
      <c r="D1331" s="3"/>
      <c r="E1331" s="3"/>
      <c r="F1331" s="3"/>
      <c r="G1331" s="3"/>
      <c r="H1331" s="3"/>
      <c r="I1331" s="100"/>
      <c r="J1331" s="101"/>
      <c r="K1331" s="101"/>
      <c r="L1331" s="101"/>
      <c r="M1331" s="101"/>
      <c r="N1331" s="101"/>
      <c r="O1331" s="101"/>
      <c r="P1331" s="101"/>
      <c r="Q1331" s="101"/>
      <c r="R1331" s="101"/>
      <c r="S1331" s="101"/>
      <c r="T1331" s="101"/>
      <c r="U1331" s="101"/>
      <c r="V1331" s="101"/>
      <c r="W1331" s="101"/>
      <c r="X1331" s="101"/>
      <c r="Y1331" s="101"/>
      <c r="Z1331" s="101"/>
      <c r="AA1331" s="101"/>
      <c r="AB1331" s="101"/>
      <c r="AC1331" s="119"/>
      <c r="AD1331" s="119"/>
      <c r="AE1331" s="120"/>
      <c r="AF1331" s="119"/>
      <c r="AG1331" s="119"/>
      <c r="AH1331" s="120"/>
      <c r="AI1331" s="121"/>
      <c r="AJ1331" s="121"/>
      <c r="AK1331" s="121"/>
      <c r="AL1331" s="121"/>
      <c r="AM1331" s="122"/>
      <c r="AN1331" s="121"/>
      <c r="AP1331" s="87"/>
    </row>
    <row r="1332" spans="1:42">
      <c r="A1332" s="3"/>
      <c r="B1332" s="3"/>
      <c r="C1332" s="3"/>
      <c r="D1332" s="3"/>
      <c r="E1332" s="3"/>
      <c r="F1332" s="3"/>
      <c r="G1332" s="3"/>
      <c r="H1332" s="3"/>
      <c r="I1332" s="100"/>
      <c r="J1332" s="101"/>
      <c r="K1332" s="101"/>
      <c r="L1332" s="101"/>
      <c r="M1332" s="101"/>
      <c r="N1332" s="101"/>
      <c r="O1332" s="101"/>
      <c r="P1332" s="101"/>
      <c r="Q1332" s="101"/>
      <c r="R1332" s="101"/>
      <c r="S1332" s="101"/>
      <c r="T1332" s="101"/>
      <c r="U1332" s="101"/>
      <c r="V1332" s="101"/>
      <c r="W1332" s="101"/>
      <c r="X1332" s="101"/>
      <c r="Y1332" s="101"/>
      <c r="Z1332" s="101"/>
      <c r="AA1332" s="101"/>
      <c r="AB1332" s="101"/>
      <c r="AC1332" s="119"/>
      <c r="AD1332" s="119"/>
      <c r="AE1332" s="120"/>
      <c r="AF1332" s="119"/>
      <c r="AG1332" s="119"/>
      <c r="AH1332" s="120"/>
      <c r="AI1332" s="121"/>
      <c r="AJ1332" s="121"/>
      <c r="AK1332" s="121"/>
      <c r="AL1332" s="121"/>
      <c r="AM1332" s="122"/>
      <c r="AN1332" s="121"/>
      <c r="AP1332" s="87"/>
    </row>
    <row r="1333" spans="1:42">
      <c r="A1333" s="3"/>
      <c r="B1333" s="3"/>
      <c r="C1333" s="3"/>
      <c r="D1333" s="3"/>
      <c r="E1333" s="3"/>
      <c r="F1333" s="3"/>
      <c r="G1333" s="3"/>
      <c r="H1333" s="3"/>
      <c r="I1333" s="100"/>
      <c r="J1333" s="101"/>
      <c r="K1333" s="101"/>
      <c r="L1333" s="101"/>
      <c r="M1333" s="101"/>
      <c r="N1333" s="101"/>
      <c r="O1333" s="101"/>
      <c r="P1333" s="101"/>
      <c r="Q1333" s="101"/>
      <c r="R1333" s="101"/>
      <c r="S1333" s="101"/>
      <c r="T1333" s="101"/>
      <c r="U1333" s="101"/>
      <c r="V1333" s="101"/>
      <c r="W1333" s="101"/>
      <c r="X1333" s="101"/>
      <c r="Y1333" s="101"/>
      <c r="Z1333" s="101"/>
      <c r="AA1333" s="101"/>
      <c r="AB1333" s="101"/>
      <c r="AC1333" s="119"/>
      <c r="AD1333" s="119"/>
      <c r="AE1333" s="120"/>
      <c r="AF1333" s="119"/>
      <c r="AG1333" s="119"/>
      <c r="AH1333" s="120"/>
      <c r="AI1333" s="121"/>
      <c r="AJ1333" s="121"/>
      <c r="AK1333" s="121"/>
      <c r="AL1333" s="121"/>
      <c r="AM1333" s="122"/>
      <c r="AN1333" s="121"/>
      <c r="AP1333" s="87"/>
    </row>
    <row r="1334" spans="1:42">
      <c r="A1334" s="3"/>
      <c r="B1334" s="3"/>
      <c r="C1334" s="3"/>
      <c r="D1334" s="3"/>
      <c r="E1334" s="3"/>
      <c r="F1334" s="3"/>
      <c r="G1334" s="3"/>
      <c r="H1334" s="3"/>
      <c r="I1334" s="100"/>
      <c r="J1334" s="101"/>
      <c r="K1334" s="101"/>
      <c r="L1334" s="101"/>
      <c r="M1334" s="101"/>
      <c r="N1334" s="101"/>
      <c r="O1334" s="101"/>
      <c r="P1334" s="101"/>
      <c r="Q1334" s="101"/>
      <c r="R1334" s="101"/>
      <c r="S1334" s="101"/>
      <c r="T1334" s="101"/>
      <c r="U1334" s="101"/>
      <c r="V1334" s="101"/>
      <c r="W1334" s="101"/>
      <c r="X1334" s="101"/>
      <c r="Y1334" s="101"/>
      <c r="Z1334" s="101"/>
      <c r="AA1334" s="101"/>
      <c r="AB1334" s="101"/>
      <c r="AC1334" s="119"/>
      <c r="AD1334" s="119"/>
      <c r="AE1334" s="120"/>
      <c r="AF1334" s="119"/>
      <c r="AG1334" s="119"/>
      <c r="AH1334" s="120"/>
      <c r="AI1334" s="121"/>
      <c r="AJ1334" s="121"/>
      <c r="AK1334" s="121"/>
      <c r="AL1334" s="121"/>
      <c r="AM1334" s="122"/>
      <c r="AN1334" s="121"/>
      <c r="AP1334" s="87"/>
    </row>
    <row r="1335" spans="1:42">
      <c r="A1335" s="3"/>
      <c r="B1335" s="3"/>
      <c r="C1335" s="3"/>
      <c r="D1335" s="3"/>
      <c r="E1335" s="3"/>
      <c r="F1335" s="3"/>
      <c r="G1335" s="3"/>
      <c r="H1335" s="3"/>
      <c r="I1335" s="100"/>
      <c r="J1335" s="101"/>
      <c r="K1335" s="101"/>
      <c r="L1335" s="101"/>
      <c r="M1335" s="101"/>
      <c r="N1335" s="101"/>
      <c r="O1335" s="101"/>
      <c r="P1335" s="101"/>
      <c r="Q1335" s="101"/>
      <c r="R1335" s="101"/>
      <c r="S1335" s="101"/>
      <c r="T1335" s="101"/>
      <c r="U1335" s="101"/>
      <c r="V1335" s="101"/>
      <c r="W1335" s="101"/>
      <c r="X1335" s="101"/>
      <c r="Y1335" s="101"/>
      <c r="Z1335" s="101"/>
      <c r="AA1335" s="101"/>
      <c r="AB1335" s="101"/>
      <c r="AC1335" s="119"/>
      <c r="AD1335" s="119"/>
      <c r="AE1335" s="120"/>
      <c r="AF1335" s="119"/>
      <c r="AG1335" s="119"/>
      <c r="AH1335" s="120"/>
      <c r="AI1335" s="121"/>
      <c r="AJ1335" s="121"/>
      <c r="AK1335" s="121"/>
      <c r="AL1335" s="121"/>
      <c r="AM1335" s="122"/>
      <c r="AN1335" s="121"/>
      <c r="AP1335" s="87"/>
    </row>
    <row r="1336" spans="1:42">
      <c r="A1336" s="3"/>
      <c r="B1336" s="3"/>
      <c r="C1336" s="3"/>
      <c r="D1336" s="3"/>
      <c r="E1336" s="3"/>
      <c r="F1336" s="3"/>
      <c r="G1336" s="3"/>
      <c r="H1336" s="3"/>
      <c r="I1336" s="100"/>
      <c r="J1336" s="101"/>
      <c r="K1336" s="101"/>
      <c r="L1336" s="101"/>
      <c r="M1336" s="101"/>
      <c r="N1336" s="101"/>
      <c r="O1336" s="101"/>
      <c r="P1336" s="101"/>
      <c r="Q1336" s="101"/>
      <c r="R1336" s="101"/>
      <c r="S1336" s="101"/>
      <c r="T1336" s="101"/>
      <c r="U1336" s="101"/>
      <c r="V1336" s="101"/>
      <c r="W1336" s="101"/>
      <c r="X1336" s="101"/>
      <c r="Y1336" s="101"/>
      <c r="Z1336" s="101"/>
      <c r="AA1336" s="101"/>
      <c r="AB1336" s="101"/>
      <c r="AC1336" s="119"/>
      <c r="AD1336" s="119"/>
      <c r="AE1336" s="120"/>
      <c r="AF1336" s="119"/>
      <c r="AG1336" s="119"/>
      <c r="AH1336" s="120"/>
      <c r="AI1336" s="121"/>
      <c r="AJ1336" s="121"/>
      <c r="AK1336" s="121"/>
      <c r="AL1336" s="121"/>
      <c r="AM1336" s="122"/>
      <c r="AN1336" s="121"/>
      <c r="AP1336" s="87"/>
    </row>
    <row r="1337" spans="1:42">
      <c r="A1337" s="3"/>
      <c r="B1337" s="3"/>
      <c r="C1337" s="3"/>
      <c r="D1337" s="3"/>
      <c r="E1337" s="3"/>
      <c r="F1337" s="3"/>
      <c r="G1337" s="3"/>
      <c r="H1337" s="3"/>
      <c r="I1337" s="100"/>
      <c r="J1337" s="101"/>
      <c r="K1337" s="101"/>
      <c r="L1337" s="101"/>
      <c r="M1337" s="101"/>
      <c r="N1337" s="101"/>
      <c r="O1337" s="101"/>
      <c r="P1337" s="101"/>
      <c r="Q1337" s="101"/>
      <c r="R1337" s="101"/>
      <c r="S1337" s="101"/>
      <c r="T1337" s="101"/>
      <c r="U1337" s="101"/>
      <c r="V1337" s="101"/>
      <c r="W1337" s="101"/>
      <c r="X1337" s="101"/>
      <c r="Y1337" s="101"/>
      <c r="Z1337" s="101"/>
      <c r="AA1337" s="101"/>
      <c r="AB1337" s="101"/>
      <c r="AC1337" s="119"/>
      <c r="AD1337" s="119"/>
      <c r="AE1337" s="120"/>
      <c r="AF1337" s="119"/>
      <c r="AG1337" s="119"/>
      <c r="AH1337" s="120"/>
      <c r="AI1337" s="121"/>
      <c r="AJ1337" s="121"/>
      <c r="AK1337" s="121"/>
      <c r="AL1337" s="121"/>
      <c r="AM1337" s="122"/>
      <c r="AN1337" s="121"/>
      <c r="AP1337" s="87"/>
    </row>
    <row r="1338" spans="1:42">
      <c r="A1338" s="3"/>
      <c r="B1338" s="3"/>
      <c r="C1338" s="3"/>
      <c r="D1338" s="3"/>
      <c r="E1338" s="3"/>
      <c r="F1338" s="3"/>
      <c r="G1338" s="3"/>
      <c r="H1338" s="3"/>
      <c r="I1338" s="100"/>
      <c r="J1338" s="101"/>
      <c r="K1338" s="101"/>
      <c r="L1338" s="101"/>
      <c r="M1338" s="101"/>
      <c r="N1338" s="101"/>
      <c r="O1338" s="101"/>
      <c r="P1338" s="101"/>
      <c r="Q1338" s="101"/>
      <c r="R1338" s="101"/>
      <c r="S1338" s="101"/>
      <c r="T1338" s="101"/>
      <c r="U1338" s="101"/>
      <c r="V1338" s="101"/>
      <c r="W1338" s="101"/>
      <c r="X1338" s="101"/>
      <c r="Y1338" s="101"/>
      <c r="Z1338" s="101"/>
      <c r="AA1338" s="101"/>
      <c r="AB1338" s="101"/>
      <c r="AC1338" s="119"/>
      <c r="AD1338" s="119"/>
      <c r="AE1338" s="120"/>
      <c r="AF1338" s="119"/>
      <c r="AG1338" s="119"/>
      <c r="AH1338" s="120"/>
      <c r="AI1338" s="121"/>
      <c r="AJ1338" s="121"/>
      <c r="AK1338" s="121"/>
      <c r="AL1338" s="121"/>
      <c r="AM1338" s="122"/>
      <c r="AN1338" s="121"/>
      <c r="AP1338" s="87"/>
    </row>
    <row r="1339" spans="1:42">
      <c r="A1339" s="3"/>
      <c r="B1339" s="3"/>
      <c r="C1339" s="3"/>
      <c r="D1339" s="3"/>
      <c r="E1339" s="3"/>
      <c r="F1339" s="3"/>
      <c r="G1339" s="3"/>
      <c r="H1339" s="3"/>
      <c r="I1339" s="100"/>
      <c r="J1339" s="101"/>
      <c r="K1339" s="101"/>
      <c r="L1339" s="101"/>
      <c r="M1339" s="101"/>
      <c r="N1339" s="101"/>
      <c r="O1339" s="101"/>
      <c r="P1339" s="101"/>
      <c r="Q1339" s="101"/>
      <c r="R1339" s="101"/>
      <c r="S1339" s="101"/>
      <c r="T1339" s="101"/>
      <c r="U1339" s="101"/>
      <c r="V1339" s="101"/>
      <c r="W1339" s="101"/>
      <c r="X1339" s="101"/>
      <c r="Y1339" s="101"/>
      <c r="Z1339" s="101"/>
      <c r="AA1339" s="101"/>
      <c r="AB1339" s="101"/>
      <c r="AC1339" s="119"/>
      <c r="AD1339" s="119"/>
      <c r="AE1339" s="120"/>
      <c r="AF1339" s="119"/>
      <c r="AG1339" s="119"/>
      <c r="AH1339" s="120"/>
      <c r="AI1339" s="121"/>
      <c r="AJ1339" s="121"/>
      <c r="AK1339" s="121"/>
      <c r="AL1339" s="121"/>
      <c r="AM1339" s="122"/>
      <c r="AN1339" s="121"/>
      <c r="AP1339" s="87"/>
    </row>
    <row r="1340" spans="1:42">
      <c r="A1340" s="3"/>
      <c r="B1340" s="3"/>
      <c r="C1340" s="3"/>
      <c r="D1340" s="3"/>
      <c r="E1340" s="3"/>
      <c r="F1340" s="3"/>
      <c r="G1340" s="3"/>
      <c r="H1340" s="3"/>
      <c r="I1340" s="100"/>
      <c r="J1340" s="101"/>
      <c r="K1340" s="101"/>
      <c r="L1340" s="101"/>
      <c r="M1340" s="101"/>
      <c r="N1340" s="101"/>
      <c r="O1340" s="101"/>
      <c r="P1340" s="101"/>
      <c r="Q1340" s="101"/>
      <c r="R1340" s="101"/>
      <c r="S1340" s="101"/>
      <c r="T1340" s="101"/>
      <c r="U1340" s="101"/>
      <c r="V1340" s="101"/>
      <c r="W1340" s="101"/>
      <c r="X1340" s="101"/>
      <c r="Y1340" s="101"/>
      <c r="Z1340" s="101"/>
      <c r="AA1340" s="101"/>
      <c r="AB1340" s="101"/>
      <c r="AC1340" s="119"/>
      <c r="AD1340" s="119"/>
      <c r="AE1340" s="120"/>
      <c r="AF1340" s="119"/>
      <c r="AG1340" s="119"/>
      <c r="AH1340" s="120"/>
      <c r="AI1340" s="121"/>
      <c r="AJ1340" s="121"/>
      <c r="AK1340" s="121"/>
      <c r="AL1340" s="121"/>
      <c r="AM1340" s="122"/>
      <c r="AN1340" s="121"/>
      <c r="AP1340" s="87"/>
    </row>
    <row r="1341" spans="1:42">
      <c r="A1341" s="3"/>
      <c r="B1341" s="3"/>
      <c r="C1341" s="3"/>
      <c r="D1341" s="3"/>
      <c r="E1341" s="3"/>
      <c r="F1341" s="3"/>
      <c r="G1341" s="3"/>
      <c r="H1341" s="3"/>
      <c r="I1341" s="100"/>
      <c r="J1341" s="101"/>
      <c r="K1341" s="101"/>
      <c r="L1341" s="101"/>
      <c r="M1341" s="101"/>
      <c r="N1341" s="101"/>
      <c r="O1341" s="101"/>
      <c r="P1341" s="101"/>
      <c r="Q1341" s="101"/>
      <c r="R1341" s="101"/>
      <c r="S1341" s="101"/>
      <c r="T1341" s="101"/>
      <c r="U1341" s="101"/>
      <c r="V1341" s="101"/>
      <c r="W1341" s="101"/>
      <c r="X1341" s="101"/>
      <c r="Y1341" s="101"/>
      <c r="Z1341" s="101"/>
      <c r="AA1341" s="101"/>
      <c r="AB1341" s="101"/>
      <c r="AC1341" s="119"/>
      <c r="AD1341" s="119"/>
      <c r="AE1341" s="120"/>
      <c r="AF1341" s="119"/>
      <c r="AG1341" s="119"/>
      <c r="AH1341" s="120"/>
      <c r="AI1341" s="121"/>
      <c r="AJ1341" s="121"/>
      <c r="AK1341" s="121"/>
      <c r="AL1341" s="121"/>
      <c r="AM1341" s="122"/>
      <c r="AN1341" s="121"/>
      <c r="AP1341" s="87"/>
    </row>
    <row r="1342" spans="1:42">
      <c r="A1342" s="3"/>
      <c r="B1342" s="3"/>
      <c r="C1342" s="3"/>
      <c r="D1342" s="3"/>
      <c r="E1342" s="3"/>
      <c r="F1342" s="3"/>
      <c r="G1342" s="3"/>
      <c r="H1342" s="3"/>
      <c r="I1342" s="100"/>
      <c r="J1342" s="101"/>
      <c r="K1342" s="101"/>
      <c r="L1342" s="101"/>
      <c r="M1342" s="101"/>
      <c r="N1342" s="101"/>
      <c r="O1342" s="101"/>
      <c r="P1342" s="101"/>
      <c r="Q1342" s="101"/>
      <c r="R1342" s="101"/>
      <c r="S1342" s="101"/>
      <c r="T1342" s="101"/>
      <c r="U1342" s="101"/>
      <c r="V1342" s="101"/>
      <c r="W1342" s="101"/>
      <c r="X1342" s="101"/>
      <c r="Y1342" s="101"/>
      <c r="Z1342" s="101"/>
      <c r="AA1342" s="101"/>
      <c r="AB1342" s="101"/>
      <c r="AC1342" s="119"/>
      <c r="AD1342" s="119"/>
      <c r="AE1342" s="120"/>
      <c r="AF1342" s="119"/>
      <c r="AG1342" s="119"/>
      <c r="AH1342" s="120"/>
      <c r="AI1342" s="121"/>
      <c r="AJ1342" s="121"/>
      <c r="AK1342" s="121"/>
      <c r="AL1342" s="121"/>
      <c r="AM1342" s="122"/>
      <c r="AN1342" s="121"/>
      <c r="AP1342" s="87"/>
    </row>
    <row r="1343" spans="1:42">
      <c r="A1343" s="3"/>
      <c r="B1343" s="3"/>
      <c r="C1343" s="3"/>
      <c r="D1343" s="3"/>
      <c r="E1343" s="3"/>
      <c r="F1343" s="3"/>
      <c r="G1343" s="3"/>
      <c r="H1343" s="3"/>
      <c r="I1343" s="100"/>
      <c r="J1343" s="101"/>
      <c r="K1343" s="101"/>
      <c r="L1343" s="101"/>
      <c r="M1343" s="101"/>
      <c r="N1343" s="101"/>
      <c r="O1343" s="101"/>
      <c r="P1343" s="101"/>
      <c r="Q1343" s="101"/>
      <c r="R1343" s="101"/>
      <c r="S1343" s="101"/>
      <c r="T1343" s="101"/>
      <c r="U1343" s="101"/>
      <c r="V1343" s="101"/>
      <c r="W1343" s="101"/>
      <c r="X1343" s="101"/>
      <c r="Y1343" s="101"/>
      <c r="Z1343" s="101"/>
      <c r="AA1343" s="101"/>
      <c r="AB1343" s="101"/>
      <c r="AC1343" s="119"/>
      <c r="AD1343" s="119"/>
      <c r="AE1343" s="120"/>
      <c r="AF1343" s="119"/>
      <c r="AG1343" s="119"/>
      <c r="AH1343" s="120"/>
      <c r="AI1343" s="121"/>
      <c r="AJ1343" s="121"/>
      <c r="AK1343" s="121"/>
      <c r="AL1343" s="121"/>
      <c r="AM1343" s="122"/>
      <c r="AN1343" s="121"/>
      <c r="AP1343" s="87"/>
    </row>
    <row r="1344" spans="1:42">
      <c r="A1344" s="3"/>
      <c r="B1344" s="3"/>
      <c r="C1344" s="3"/>
      <c r="D1344" s="3"/>
      <c r="E1344" s="3"/>
      <c r="F1344" s="3"/>
      <c r="G1344" s="3"/>
      <c r="H1344" s="3"/>
      <c r="I1344" s="100"/>
      <c r="J1344" s="101"/>
      <c r="K1344" s="101"/>
      <c r="L1344" s="101"/>
      <c r="M1344" s="101"/>
      <c r="N1344" s="101"/>
      <c r="O1344" s="101"/>
      <c r="P1344" s="101"/>
      <c r="Q1344" s="101"/>
      <c r="R1344" s="101"/>
      <c r="S1344" s="101"/>
      <c r="T1344" s="101"/>
      <c r="U1344" s="101"/>
      <c r="V1344" s="101"/>
      <c r="W1344" s="101"/>
      <c r="X1344" s="101"/>
      <c r="Y1344" s="101"/>
      <c r="Z1344" s="101"/>
      <c r="AA1344" s="101"/>
      <c r="AB1344" s="101"/>
      <c r="AC1344" s="119"/>
      <c r="AD1344" s="119"/>
      <c r="AE1344" s="120"/>
      <c r="AF1344" s="119"/>
      <c r="AG1344" s="119"/>
      <c r="AH1344" s="120"/>
      <c r="AI1344" s="121"/>
      <c r="AJ1344" s="121"/>
      <c r="AK1344" s="121"/>
      <c r="AL1344" s="121"/>
      <c r="AM1344" s="122"/>
      <c r="AN1344" s="121"/>
      <c r="AP1344" s="87"/>
    </row>
    <row r="1345" spans="1:42">
      <c r="A1345" s="3"/>
      <c r="B1345" s="3"/>
      <c r="C1345" s="3"/>
      <c r="D1345" s="3"/>
      <c r="E1345" s="3"/>
      <c r="F1345" s="3"/>
      <c r="G1345" s="3"/>
      <c r="H1345" s="3"/>
      <c r="I1345" s="100"/>
      <c r="J1345" s="101"/>
      <c r="K1345" s="101"/>
      <c r="L1345" s="101"/>
      <c r="M1345" s="101"/>
      <c r="N1345" s="101"/>
      <c r="O1345" s="101"/>
      <c r="P1345" s="101"/>
      <c r="Q1345" s="101"/>
      <c r="R1345" s="101"/>
      <c r="S1345" s="101"/>
      <c r="T1345" s="101"/>
      <c r="U1345" s="101"/>
      <c r="V1345" s="101"/>
      <c r="W1345" s="101"/>
      <c r="X1345" s="101"/>
      <c r="Y1345" s="101"/>
      <c r="Z1345" s="101"/>
      <c r="AA1345" s="101"/>
      <c r="AB1345" s="101"/>
      <c r="AC1345" s="119"/>
      <c r="AD1345" s="119"/>
      <c r="AE1345" s="120"/>
      <c r="AF1345" s="119"/>
      <c r="AG1345" s="119"/>
      <c r="AH1345" s="120"/>
      <c r="AI1345" s="121"/>
      <c r="AJ1345" s="121"/>
      <c r="AK1345" s="121"/>
      <c r="AL1345" s="121"/>
      <c r="AM1345" s="122"/>
      <c r="AN1345" s="121"/>
      <c r="AP1345" s="87"/>
    </row>
    <row r="1346" spans="1:42">
      <c r="A1346" s="3"/>
      <c r="B1346" s="3"/>
      <c r="C1346" s="3"/>
      <c r="D1346" s="3"/>
      <c r="E1346" s="3"/>
      <c r="F1346" s="3"/>
      <c r="G1346" s="3"/>
      <c r="H1346" s="3"/>
      <c r="I1346" s="100"/>
      <c r="J1346" s="101"/>
      <c r="K1346" s="101"/>
      <c r="L1346" s="101"/>
      <c r="M1346" s="101"/>
      <c r="N1346" s="101"/>
      <c r="O1346" s="101"/>
      <c r="P1346" s="101"/>
      <c r="Q1346" s="101"/>
      <c r="R1346" s="101"/>
      <c r="S1346" s="101"/>
      <c r="T1346" s="101"/>
      <c r="U1346" s="101"/>
      <c r="V1346" s="101"/>
      <c r="W1346" s="101"/>
      <c r="X1346" s="101"/>
      <c r="Y1346" s="101"/>
      <c r="Z1346" s="101"/>
      <c r="AA1346" s="101"/>
      <c r="AB1346" s="101"/>
      <c r="AC1346" s="119"/>
      <c r="AD1346" s="119"/>
      <c r="AE1346" s="120"/>
      <c r="AF1346" s="119"/>
      <c r="AG1346" s="119"/>
      <c r="AH1346" s="120"/>
      <c r="AI1346" s="121"/>
      <c r="AJ1346" s="121"/>
      <c r="AK1346" s="121"/>
      <c r="AL1346" s="121"/>
      <c r="AM1346" s="122"/>
      <c r="AN1346" s="121"/>
      <c r="AP1346" s="87"/>
    </row>
    <row r="1347" spans="1:42">
      <c r="A1347" s="3"/>
      <c r="B1347" s="3"/>
      <c r="C1347" s="3"/>
      <c r="D1347" s="3"/>
      <c r="E1347" s="3"/>
      <c r="F1347" s="3"/>
      <c r="G1347" s="3"/>
      <c r="H1347" s="3"/>
      <c r="I1347" s="100"/>
      <c r="J1347" s="101"/>
      <c r="K1347" s="101"/>
      <c r="L1347" s="101"/>
      <c r="M1347" s="101"/>
      <c r="N1347" s="101"/>
      <c r="O1347" s="101"/>
      <c r="P1347" s="101"/>
      <c r="Q1347" s="101"/>
      <c r="R1347" s="101"/>
      <c r="S1347" s="101"/>
      <c r="T1347" s="101"/>
      <c r="U1347" s="101"/>
      <c r="V1347" s="101"/>
      <c r="W1347" s="101"/>
      <c r="X1347" s="101"/>
      <c r="Y1347" s="101"/>
      <c r="Z1347" s="101"/>
      <c r="AA1347" s="101"/>
      <c r="AB1347" s="101"/>
      <c r="AC1347" s="119"/>
      <c r="AD1347" s="119"/>
      <c r="AE1347" s="120"/>
      <c r="AF1347" s="119"/>
      <c r="AG1347" s="119"/>
      <c r="AH1347" s="120"/>
      <c r="AI1347" s="121"/>
      <c r="AJ1347" s="121"/>
      <c r="AK1347" s="121"/>
      <c r="AL1347" s="121"/>
      <c r="AM1347" s="122"/>
      <c r="AN1347" s="121"/>
      <c r="AP1347" s="87"/>
    </row>
    <row r="1348" spans="1:42">
      <c r="A1348" s="3"/>
      <c r="B1348" s="3"/>
      <c r="C1348" s="3"/>
      <c r="D1348" s="3"/>
      <c r="E1348" s="3"/>
      <c r="F1348" s="3"/>
      <c r="G1348" s="3"/>
      <c r="H1348" s="3"/>
      <c r="I1348" s="100"/>
      <c r="J1348" s="101"/>
      <c r="K1348" s="101"/>
      <c r="L1348" s="101"/>
      <c r="M1348" s="101"/>
      <c r="N1348" s="101"/>
      <c r="O1348" s="101"/>
      <c r="P1348" s="101"/>
      <c r="Q1348" s="101"/>
      <c r="R1348" s="101"/>
      <c r="S1348" s="101"/>
      <c r="T1348" s="101"/>
      <c r="U1348" s="101"/>
      <c r="V1348" s="101"/>
      <c r="W1348" s="101"/>
      <c r="X1348" s="101"/>
      <c r="Y1348" s="101"/>
      <c r="Z1348" s="101"/>
      <c r="AA1348" s="101"/>
      <c r="AB1348" s="101"/>
      <c r="AC1348" s="119"/>
      <c r="AD1348" s="119"/>
      <c r="AE1348" s="120"/>
      <c r="AF1348" s="119"/>
      <c r="AG1348" s="119"/>
      <c r="AH1348" s="120"/>
      <c r="AI1348" s="121"/>
      <c r="AJ1348" s="121"/>
      <c r="AK1348" s="121"/>
      <c r="AL1348" s="121"/>
      <c r="AM1348" s="122"/>
      <c r="AN1348" s="121"/>
      <c r="AP1348" s="87"/>
    </row>
    <row r="1349" spans="1:42">
      <c r="A1349" s="3"/>
      <c r="B1349" s="3"/>
      <c r="C1349" s="3"/>
      <c r="D1349" s="3"/>
      <c r="E1349" s="3"/>
      <c r="F1349" s="3"/>
      <c r="G1349" s="3"/>
      <c r="H1349" s="3"/>
      <c r="I1349" s="100"/>
      <c r="J1349" s="101"/>
      <c r="K1349" s="101"/>
      <c r="L1349" s="101"/>
      <c r="M1349" s="101"/>
      <c r="N1349" s="101"/>
      <c r="O1349" s="101"/>
      <c r="P1349" s="101"/>
      <c r="Q1349" s="101"/>
      <c r="R1349" s="101"/>
      <c r="S1349" s="101"/>
      <c r="T1349" s="101"/>
      <c r="U1349" s="101"/>
      <c r="V1349" s="101"/>
      <c r="W1349" s="101"/>
      <c r="X1349" s="101"/>
      <c r="Y1349" s="101"/>
      <c r="Z1349" s="101"/>
      <c r="AA1349" s="101"/>
      <c r="AB1349" s="101"/>
      <c r="AC1349" s="119"/>
      <c r="AD1349" s="119"/>
      <c r="AE1349" s="120"/>
      <c r="AF1349" s="119"/>
      <c r="AG1349" s="119"/>
      <c r="AH1349" s="120"/>
      <c r="AI1349" s="121"/>
      <c r="AJ1349" s="121"/>
      <c r="AK1349" s="121"/>
      <c r="AL1349" s="121"/>
      <c r="AM1349" s="122"/>
      <c r="AN1349" s="121"/>
      <c r="AP1349" s="87"/>
    </row>
    <row r="1350" spans="1:42">
      <c r="A1350" s="3"/>
      <c r="B1350" s="3"/>
      <c r="C1350" s="3"/>
      <c r="D1350" s="3"/>
      <c r="E1350" s="3"/>
      <c r="F1350" s="3"/>
      <c r="G1350" s="3"/>
      <c r="H1350" s="3"/>
      <c r="I1350" s="100"/>
      <c r="J1350" s="101"/>
      <c r="K1350" s="101"/>
      <c r="L1350" s="101"/>
      <c r="M1350" s="101"/>
      <c r="N1350" s="101"/>
      <c r="O1350" s="101"/>
      <c r="P1350" s="101"/>
      <c r="Q1350" s="101"/>
      <c r="R1350" s="101"/>
      <c r="S1350" s="101"/>
      <c r="T1350" s="101"/>
      <c r="U1350" s="101"/>
      <c r="V1350" s="101"/>
      <c r="W1350" s="101"/>
      <c r="X1350" s="101"/>
      <c r="Y1350" s="101"/>
      <c r="Z1350" s="101"/>
      <c r="AA1350" s="101"/>
      <c r="AB1350" s="101"/>
      <c r="AC1350" s="119"/>
      <c r="AD1350" s="119"/>
      <c r="AE1350" s="120"/>
      <c r="AF1350" s="119"/>
      <c r="AG1350" s="119"/>
      <c r="AH1350" s="120"/>
      <c r="AI1350" s="121"/>
      <c r="AJ1350" s="121"/>
      <c r="AK1350" s="121"/>
      <c r="AL1350" s="121"/>
      <c r="AM1350" s="122"/>
      <c r="AN1350" s="121"/>
      <c r="AP1350" s="87"/>
    </row>
    <row r="1351" spans="1:42">
      <c r="A1351" s="3"/>
      <c r="B1351" s="3"/>
      <c r="C1351" s="3"/>
      <c r="D1351" s="3"/>
      <c r="E1351" s="3"/>
      <c r="F1351" s="3"/>
      <c r="G1351" s="3"/>
      <c r="H1351" s="3"/>
      <c r="I1351" s="100"/>
      <c r="J1351" s="101"/>
      <c r="K1351" s="101"/>
      <c r="L1351" s="101"/>
      <c r="M1351" s="101"/>
      <c r="N1351" s="101"/>
      <c r="O1351" s="101"/>
      <c r="P1351" s="101"/>
      <c r="Q1351" s="101"/>
      <c r="R1351" s="101"/>
      <c r="S1351" s="101"/>
      <c r="T1351" s="101"/>
      <c r="U1351" s="101"/>
      <c r="V1351" s="101"/>
      <c r="W1351" s="101"/>
      <c r="X1351" s="101"/>
      <c r="Y1351" s="101"/>
      <c r="Z1351" s="101"/>
      <c r="AA1351" s="101"/>
      <c r="AB1351" s="101"/>
      <c r="AC1351" s="119"/>
      <c r="AD1351" s="119"/>
      <c r="AE1351" s="120"/>
      <c r="AF1351" s="119"/>
      <c r="AG1351" s="119"/>
      <c r="AH1351" s="120"/>
      <c r="AI1351" s="121"/>
      <c r="AJ1351" s="121"/>
      <c r="AK1351" s="121"/>
      <c r="AL1351" s="121"/>
      <c r="AM1351" s="122"/>
      <c r="AN1351" s="121"/>
      <c r="AP1351" s="87"/>
    </row>
    <row r="1352" spans="1:42">
      <c r="A1352" s="3"/>
      <c r="B1352" s="3"/>
      <c r="C1352" s="3"/>
      <c r="D1352" s="3"/>
      <c r="E1352" s="3"/>
      <c r="F1352" s="3"/>
      <c r="G1352" s="3"/>
      <c r="H1352" s="3"/>
      <c r="I1352" s="100"/>
      <c r="J1352" s="101"/>
      <c r="K1352" s="101"/>
      <c r="L1352" s="101"/>
      <c r="M1352" s="101"/>
      <c r="N1352" s="101"/>
      <c r="O1352" s="101"/>
      <c r="P1352" s="101"/>
      <c r="Q1352" s="101"/>
      <c r="R1352" s="101"/>
      <c r="S1352" s="101"/>
      <c r="T1352" s="101"/>
      <c r="U1352" s="101"/>
      <c r="V1352" s="101"/>
      <c r="W1352" s="101"/>
      <c r="X1352" s="101"/>
      <c r="Y1352" s="101"/>
      <c r="Z1352" s="101"/>
      <c r="AA1352" s="101"/>
      <c r="AB1352" s="101"/>
      <c r="AC1352" s="119"/>
      <c r="AD1352" s="119"/>
      <c r="AE1352" s="120"/>
      <c r="AF1352" s="119"/>
      <c r="AG1352" s="119"/>
      <c r="AH1352" s="120"/>
      <c r="AI1352" s="121"/>
      <c r="AJ1352" s="121"/>
      <c r="AK1352" s="121"/>
      <c r="AL1352" s="121"/>
      <c r="AM1352" s="122"/>
      <c r="AN1352" s="121"/>
      <c r="AP1352" s="87"/>
    </row>
    <row r="1353" spans="1:42">
      <c r="A1353" s="3"/>
      <c r="B1353" s="3"/>
      <c r="C1353" s="3"/>
      <c r="D1353" s="3"/>
      <c r="E1353" s="3"/>
      <c r="F1353" s="3"/>
      <c r="G1353" s="3"/>
      <c r="H1353" s="3"/>
      <c r="I1353" s="100"/>
      <c r="J1353" s="101"/>
      <c r="K1353" s="101"/>
      <c r="L1353" s="101"/>
      <c r="M1353" s="101"/>
      <c r="N1353" s="101"/>
      <c r="O1353" s="101"/>
      <c r="P1353" s="101"/>
      <c r="Q1353" s="101"/>
      <c r="R1353" s="101"/>
      <c r="S1353" s="101"/>
      <c r="T1353" s="101"/>
      <c r="U1353" s="101"/>
      <c r="V1353" s="101"/>
      <c r="W1353" s="101"/>
      <c r="X1353" s="101"/>
      <c r="Y1353" s="101"/>
      <c r="Z1353" s="101"/>
      <c r="AA1353" s="101"/>
      <c r="AB1353" s="101"/>
      <c r="AC1353" s="119"/>
      <c r="AD1353" s="119"/>
      <c r="AE1353" s="120"/>
      <c r="AF1353" s="119"/>
      <c r="AG1353" s="119"/>
      <c r="AH1353" s="120"/>
      <c r="AI1353" s="121"/>
      <c r="AJ1353" s="121"/>
      <c r="AK1353" s="121"/>
      <c r="AL1353" s="121"/>
      <c r="AM1353" s="122"/>
      <c r="AN1353" s="121"/>
      <c r="AP1353" s="87"/>
    </row>
    <row r="1354" spans="1:42">
      <c r="A1354" s="3"/>
      <c r="B1354" s="3"/>
      <c r="C1354" s="3"/>
      <c r="D1354" s="3"/>
      <c r="E1354" s="3"/>
      <c r="F1354" s="3"/>
      <c r="G1354" s="3"/>
      <c r="H1354" s="3"/>
      <c r="I1354" s="100"/>
      <c r="J1354" s="101"/>
      <c r="K1354" s="101"/>
      <c r="L1354" s="101"/>
      <c r="M1354" s="101"/>
      <c r="N1354" s="101"/>
      <c r="O1354" s="101"/>
      <c r="P1354" s="101"/>
      <c r="Q1354" s="101"/>
      <c r="R1354" s="101"/>
      <c r="S1354" s="101"/>
      <c r="T1354" s="101"/>
      <c r="U1354" s="101"/>
      <c r="V1354" s="101"/>
      <c r="W1354" s="101"/>
      <c r="X1354" s="101"/>
      <c r="Y1354" s="101"/>
      <c r="Z1354" s="101"/>
      <c r="AA1354" s="101"/>
      <c r="AB1354" s="101"/>
      <c r="AC1354" s="119"/>
      <c r="AD1354" s="119"/>
      <c r="AE1354" s="120"/>
      <c r="AF1354" s="119"/>
      <c r="AG1354" s="119"/>
      <c r="AH1354" s="120"/>
      <c r="AI1354" s="121"/>
      <c r="AJ1354" s="121"/>
      <c r="AK1354" s="121"/>
      <c r="AL1354" s="121"/>
      <c r="AM1354" s="122"/>
      <c r="AN1354" s="121"/>
      <c r="AP1354" s="87"/>
    </row>
    <row r="1355" spans="1:42">
      <c r="A1355" s="3"/>
      <c r="B1355" s="3"/>
      <c r="C1355" s="3"/>
      <c r="D1355" s="3"/>
      <c r="E1355" s="3"/>
      <c r="F1355" s="3"/>
      <c r="G1355" s="3"/>
      <c r="H1355" s="3"/>
      <c r="I1355" s="100"/>
      <c r="J1355" s="101"/>
      <c r="K1355" s="101"/>
      <c r="L1355" s="101"/>
      <c r="M1355" s="101"/>
      <c r="N1355" s="101"/>
      <c r="O1355" s="101"/>
      <c r="P1355" s="101"/>
      <c r="Q1355" s="101"/>
      <c r="R1355" s="101"/>
      <c r="S1355" s="101"/>
      <c r="T1355" s="101"/>
      <c r="U1355" s="101"/>
      <c r="V1355" s="101"/>
      <c r="W1355" s="101"/>
      <c r="X1355" s="101"/>
      <c r="Y1355" s="101"/>
      <c r="Z1355" s="101"/>
      <c r="AA1355" s="101"/>
      <c r="AB1355" s="101"/>
      <c r="AC1355" s="119"/>
      <c r="AD1355" s="119"/>
      <c r="AE1355" s="120"/>
      <c r="AF1355" s="119"/>
      <c r="AG1355" s="119"/>
      <c r="AH1355" s="120"/>
      <c r="AI1355" s="121"/>
      <c r="AJ1355" s="121"/>
      <c r="AK1355" s="121"/>
      <c r="AL1355" s="121"/>
      <c r="AM1355" s="122"/>
      <c r="AN1355" s="121"/>
      <c r="AP1355" s="87"/>
    </row>
    <row r="1356" spans="1:42">
      <c r="A1356" s="3"/>
      <c r="B1356" s="3"/>
      <c r="C1356" s="3"/>
      <c r="D1356" s="3"/>
      <c r="E1356" s="3"/>
      <c r="F1356" s="3"/>
      <c r="G1356" s="3"/>
      <c r="H1356" s="3"/>
      <c r="I1356" s="100"/>
      <c r="J1356" s="101"/>
      <c r="K1356" s="101"/>
      <c r="L1356" s="101"/>
      <c r="M1356" s="101"/>
      <c r="N1356" s="101"/>
      <c r="O1356" s="101"/>
      <c r="P1356" s="101"/>
      <c r="Q1356" s="101"/>
      <c r="R1356" s="101"/>
      <c r="S1356" s="101"/>
      <c r="T1356" s="101"/>
      <c r="U1356" s="101"/>
      <c r="V1356" s="101"/>
      <c r="W1356" s="101"/>
      <c r="X1356" s="101"/>
      <c r="Y1356" s="101"/>
      <c r="Z1356" s="101"/>
      <c r="AA1356" s="101"/>
      <c r="AB1356" s="101"/>
      <c r="AC1356" s="119"/>
      <c r="AD1356" s="119"/>
      <c r="AE1356" s="120"/>
      <c r="AF1356" s="119"/>
      <c r="AG1356" s="119"/>
      <c r="AH1356" s="120"/>
      <c r="AI1356" s="121"/>
      <c r="AJ1356" s="121"/>
      <c r="AK1356" s="121"/>
      <c r="AL1356" s="121"/>
      <c r="AM1356" s="122"/>
      <c r="AN1356" s="121"/>
      <c r="AP1356" s="87"/>
    </row>
    <row r="1357" spans="1:42">
      <c r="A1357" s="3"/>
      <c r="B1357" s="3"/>
      <c r="C1357" s="3"/>
      <c r="D1357" s="3"/>
      <c r="E1357" s="3"/>
      <c r="F1357" s="3"/>
      <c r="G1357" s="3"/>
      <c r="H1357" s="3"/>
      <c r="I1357" s="100"/>
      <c r="J1357" s="101"/>
      <c r="K1357" s="101"/>
      <c r="L1357" s="101"/>
      <c r="M1357" s="101"/>
      <c r="N1357" s="101"/>
      <c r="O1357" s="101"/>
      <c r="P1357" s="101"/>
      <c r="Q1357" s="101"/>
      <c r="R1357" s="101"/>
      <c r="S1357" s="101"/>
      <c r="T1357" s="101"/>
      <c r="U1357" s="101"/>
      <c r="V1357" s="101"/>
      <c r="W1357" s="101"/>
      <c r="X1357" s="101"/>
      <c r="Y1357" s="101"/>
      <c r="Z1357" s="101"/>
      <c r="AA1357" s="101"/>
      <c r="AB1357" s="101"/>
      <c r="AC1357" s="119"/>
      <c r="AD1357" s="119"/>
      <c r="AE1357" s="120"/>
      <c r="AF1357" s="119"/>
      <c r="AG1357" s="119"/>
      <c r="AH1357" s="120"/>
      <c r="AI1357" s="121"/>
      <c r="AJ1357" s="121"/>
      <c r="AK1357" s="121"/>
      <c r="AL1357" s="121"/>
      <c r="AM1357" s="122"/>
      <c r="AN1357" s="121"/>
      <c r="AP1357" s="87"/>
    </row>
    <row r="1358" spans="1:42">
      <c r="A1358" s="3"/>
      <c r="B1358" s="3"/>
      <c r="C1358" s="3"/>
      <c r="D1358" s="3"/>
      <c r="E1358" s="3"/>
      <c r="F1358" s="3"/>
      <c r="G1358" s="3"/>
      <c r="H1358" s="3"/>
      <c r="I1358" s="100"/>
      <c r="J1358" s="101"/>
      <c r="K1358" s="101"/>
      <c r="L1358" s="101"/>
      <c r="M1358" s="101"/>
      <c r="N1358" s="101"/>
      <c r="O1358" s="101"/>
      <c r="P1358" s="101"/>
      <c r="Q1358" s="101"/>
      <c r="R1358" s="101"/>
      <c r="S1358" s="101"/>
      <c r="T1358" s="101"/>
      <c r="U1358" s="101"/>
      <c r="V1358" s="101"/>
      <c r="W1358" s="101"/>
      <c r="X1358" s="101"/>
      <c r="Y1358" s="101"/>
      <c r="Z1358" s="101"/>
      <c r="AA1358" s="101"/>
      <c r="AB1358" s="101"/>
      <c r="AC1358" s="119"/>
      <c r="AD1358" s="119"/>
      <c r="AE1358" s="120"/>
      <c r="AF1358" s="119"/>
      <c r="AG1358" s="119"/>
      <c r="AH1358" s="120"/>
      <c r="AI1358" s="121"/>
      <c r="AJ1358" s="121"/>
      <c r="AK1358" s="121"/>
      <c r="AL1358" s="121"/>
      <c r="AM1358" s="122"/>
      <c r="AN1358" s="121"/>
      <c r="AP1358" s="87"/>
    </row>
    <row r="1359" spans="1:42">
      <c r="A1359" s="3"/>
      <c r="B1359" s="3"/>
      <c r="C1359" s="3"/>
      <c r="D1359" s="3"/>
      <c r="E1359" s="3"/>
      <c r="F1359" s="3"/>
      <c r="G1359" s="3"/>
      <c r="H1359" s="3"/>
      <c r="I1359" s="100"/>
      <c r="J1359" s="101"/>
      <c r="K1359" s="101"/>
      <c r="L1359" s="101"/>
      <c r="M1359" s="101"/>
      <c r="N1359" s="101"/>
      <c r="O1359" s="101"/>
      <c r="P1359" s="101"/>
      <c r="Q1359" s="101"/>
      <c r="R1359" s="101"/>
      <c r="S1359" s="101"/>
      <c r="T1359" s="101"/>
      <c r="U1359" s="101"/>
      <c r="V1359" s="101"/>
      <c r="W1359" s="101"/>
      <c r="X1359" s="101"/>
      <c r="Y1359" s="101"/>
      <c r="Z1359" s="101"/>
      <c r="AA1359" s="101"/>
      <c r="AB1359" s="101"/>
      <c r="AC1359" s="119"/>
      <c r="AD1359" s="119"/>
      <c r="AE1359" s="120"/>
      <c r="AF1359" s="119"/>
      <c r="AG1359" s="119"/>
      <c r="AH1359" s="120"/>
      <c r="AI1359" s="121"/>
      <c r="AJ1359" s="121"/>
      <c r="AK1359" s="121"/>
      <c r="AL1359" s="121"/>
      <c r="AM1359" s="122"/>
      <c r="AN1359" s="121"/>
      <c r="AP1359" s="87"/>
    </row>
    <row r="1360" spans="1:42">
      <c r="A1360" s="3"/>
      <c r="B1360" s="3"/>
      <c r="C1360" s="3"/>
      <c r="D1360" s="3"/>
      <c r="E1360" s="3"/>
      <c r="F1360" s="3"/>
      <c r="G1360" s="3"/>
      <c r="H1360" s="3"/>
      <c r="I1360" s="100"/>
      <c r="J1360" s="101"/>
      <c r="K1360" s="101"/>
      <c r="L1360" s="101"/>
      <c r="M1360" s="101"/>
      <c r="N1360" s="101"/>
      <c r="O1360" s="101"/>
      <c r="P1360" s="101"/>
      <c r="Q1360" s="101"/>
      <c r="R1360" s="101"/>
      <c r="S1360" s="101"/>
      <c r="T1360" s="101"/>
      <c r="U1360" s="101"/>
      <c r="V1360" s="101"/>
      <c r="W1360" s="101"/>
      <c r="X1360" s="101"/>
      <c r="Y1360" s="101"/>
      <c r="Z1360" s="101"/>
      <c r="AA1360" s="101"/>
      <c r="AB1360" s="101"/>
      <c r="AC1360" s="119"/>
      <c r="AD1360" s="119"/>
      <c r="AE1360" s="120"/>
      <c r="AF1360" s="119"/>
      <c r="AG1360" s="119"/>
      <c r="AH1360" s="120"/>
      <c r="AI1360" s="121"/>
      <c r="AJ1360" s="121"/>
      <c r="AK1360" s="121"/>
      <c r="AL1360" s="121"/>
      <c r="AM1360" s="122"/>
      <c r="AN1360" s="121"/>
      <c r="AP1360" s="87"/>
    </row>
    <row r="1361" spans="1:42">
      <c r="A1361" s="3"/>
      <c r="B1361" s="3"/>
      <c r="C1361" s="3"/>
      <c r="D1361" s="3"/>
      <c r="E1361" s="3"/>
      <c r="F1361" s="3"/>
      <c r="G1361" s="3"/>
      <c r="H1361" s="3"/>
      <c r="I1361" s="100"/>
      <c r="J1361" s="101"/>
      <c r="K1361" s="101"/>
      <c r="L1361" s="101"/>
      <c r="M1361" s="101"/>
      <c r="N1361" s="101"/>
      <c r="O1361" s="101"/>
      <c r="P1361" s="101"/>
      <c r="Q1361" s="101"/>
      <c r="R1361" s="101"/>
      <c r="S1361" s="101"/>
      <c r="T1361" s="101"/>
      <c r="U1361" s="101"/>
      <c r="V1361" s="101"/>
      <c r="W1361" s="101"/>
      <c r="X1361" s="101"/>
      <c r="Y1361" s="101"/>
      <c r="Z1361" s="101"/>
      <c r="AA1361" s="101"/>
      <c r="AB1361" s="101"/>
      <c r="AC1361" s="119"/>
      <c r="AD1361" s="119"/>
      <c r="AE1361" s="120"/>
      <c r="AF1361" s="119"/>
      <c r="AG1361" s="119"/>
      <c r="AH1361" s="120"/>
      <c r="AI1361" s="121"/>
      <c r="AJ1361" s="121"/>
      <c r="AK1361" s="121"/>
      <c r="AL1361" s="121"/>
      <c r="AM1361" s="122"/>
      <c r="AN1361" s="121"/>
      <c r="AP1361" s="87"/>
    </row>
    <row r="1362" spans="1:42">
      <c r="A1362" s="3"/>
      <c r="B1362" s="3"/>
      <c r="C1362" s="3"/>
      <c r="D1362" s="3"/>
      <c r="E1362" s="3"/>
      <c r="F1362" s="3"/>
      <c r="G1362" s="3"/>
      <c r="H1362" s="3"/>
      <c r="I1362" s="100"/>
      <c r="J1362" s="101"/>
      <c r="K1362" s="101"/>
      <c r="L1362" s="101"/>
      <c r="M1362" s="101"/>
      <c r="N1362" s="101"/>
      <c r="O1362" s="101"/>
      <c r="P1362" s="101"/>
      <c r="Q1362" s="101"/>
      <c r="R1362" s="101"/>
      <c r="S1362" s="101"/>
      <c r="T1362" s="101"/>
      <c r="U1362" s="101"/>
      <c r="V1362" s="101"/>
      <c r="W1362" s="101"/>
      <c r="X1362" s="101"/>
      <c r="Y1362" s="101"/>
      <c r="Z1362" s="101"/>
      <c r="AA1362" s="101"/>
      <c r="AB1362" s="101"/>
      <c r="AC1362" s="119"/>
      <c r="AD1362" s="119"/>
      <c r="AE1362" s="120"/>
      <c r="AF1362" s="119"/>
      <c r="AG1362" s="119"/>
      <c r="AH1362" s="120"/>
      <c r="AI1362" s="121"/>
      <c r="AJ1362" s="121"/>
      <c r="AK1362" s="121"/>
      <c r="AL1362" s="121"/>
      <c r="AM1362" s="122"/>
      <c r="AN1362" s="121"/>
      <c r="AP1362" s="87"/>
    </row>
    <row r="1363" spans="1:42">
      <c r="A1363" s="3"/>
      <c r="B1363" s="3"/>
      <c r="C1363" s="3"/>
      <c r="D1363" s="3"/>
      <c r="E1363" s="3"/>
      <c r="F1363" s="3"/>
      <c r="G1363" s="3"/>
      <c r="H1363" s="3"/>
      <c r="I1363" s="100"/>
      <c r="J1363" s="101"/>
      <c r="K1363" s="101"/>
      <c r="L1363" s="101"/>
      <c r="M1363" s="101"/>
      <c r="N1363" s="101"/>
      <c r="O1363" s="101"/>
      <c r="P1363" s="101"/>
      <c r="Q1363" s="101"/>
      <c r="R1363" s="101"/>
      <c r="S1363" s="101"/>
      <c r="T1363" s="101"/>
      <c r="U1363" s="101"/>
      <c r="V1363" s="101"/>
      <c r="W1363" s="101"/>
      <c r="X1363" s="101"/>
      <c r="Y1363" s="101"/>
      <c r="Z1363" s="101"/>
      <c r="AA1363" s="101"/>
      <c r="AB1363" s="101"/>
      <c r="AC1363" s="119"/>
      <c r="AD1363" s="119"/>
      <c r="AE1363" s="120"/>
      <c r="AF1363" s="119"/>
      <c r="AG1363" s="119"/>
      <c r="AH1363" s="120"/>
      <c r="AI1363" s="121"/>
      <c r="AJ1363" s="121"/>
      <c r="AK1363" s="121"/>
      <c r="AL1363" s="121"/>
      <c r="AM1363" s="122"/>
      <c r="AN1363" s="121"/>
      <c r="AP1363" s="87"/>
    </row>
    <row r="1364" spans="1:42">
      <c r="A1364" s="3"/>
      <c r="B1364" s="3"/>
      <c r="C1364" s="3"/>
      <c r="D1364" s="3"/>
      <c r="E1364" s="3"/>
      <c r="F1364" s="3"/>
      <c r="G1364" s="3"/>
      <c r="H1364" s="3"/>
      <c r="I1364" s="100"/>
      <c r="J1364" s="101"/>
      <c r="K1364" s="101"/>
      <c r="L1364" s="101"/>
      <c r="M1364" s="101"/>
      <c r="N1364" s="101"/>
      <c r="O1364" s="101"/>
      <c r="P1364" s="101"/>
      <c r="Q1364" s="101"/>
      <c r="R1364" s="101"/>
      <c r="S1364" s="101"/>
      <c r="T1364" s="101"/>
      <c r="U1364" s="101"/>
      <c r="V1364" s="101"/>
      <c r="W1364" s="101"/>
      <c r="X1364" s="101"/>
      <c r="Y1364" s="101"/>
      <c r="Z1364" s="101"/>
      <c r="AA1364" s="101"/>
      <c r="AB1364" s="101"/>
      <c r="AC1364" s="119"/>
      <c r="AD1364" s="119"/>
      <c r="AE1364" s="120"/>
      <c r="AF1364" s="119"/>
      <c r="AG1364" s="119"/>
      <c r="AH1364" s="120"/>
      <c r="AI1364" s="121"/>
      <c r="AJ1364" s="121"/>
      <c r="AK1364" s="121"/>
      <c r="AL1364" s="121"/>
      <c r="AM1364" s="122"/>
      <c r="AN1364" s="121"/>
      <c r="AP1364" s="87"/>
    </row>
    <row r="1365" spans="1:42">
      <c r="A1365" s="3"/>
      <c r="B1365" s="3"/>
      <c r="C1365" s="3"/>
      <c r="D1365" s="3"/>
      <c r="E1365" s="3"/>
      <c r="F1365" s="3"/>
      <c r="G1365" s="3"/>
      <c r="H1365" s="3"/>
      <c r="I1365" s="100"/>
      <c r="J1365" s="101"/>
      <c r="K1365" s="101"/>
      <c r="L1365" s="101"/>
      <c r="M1365" s="101"/>
      <c r="N1365" s="101"/>
      <c r="O1365" s="101"/>
      <c r="P1365" s="101"/>
      <c r="Q1365" s="101"/>
      <c r="R1365" s="101"/>
      <c r="S1365" s="101"/>
      <c r="T1365" s="101"/>
      <c r="U1365" s="101"/>
      <c r="V1365" s="101"/>
      <c r="W1365" s="101"/>
      <c r="X1365" s="101"/>
      <c r="Y1365" s="101"/>
      <c r="Z1365" s="101"/>
      <c r="AA1365" s="101"/>
      <c r="AB1365" s="101"/>
      <c r="AC1365" s="119"/>
      <c r="AD1365" s="119"/>
      <c r="AE1365" s="120"/>
      <c r="AF1365" s="119"/>
      <c r="AG1365" s="119"/>
      <c r="AH1365" s="120"/>
      <c r="AI1365" s="121"/>
      <c r="AJ1365" s="121"/>
      <c r="AK1365" s="121"/>
      <c r="AL1365" s="121"/>
      <c r="AM1365" s="122"/>
      <c r="AN1365" s="121"/>
      <c r="AP1365" s="87"/>
    </row>
    <row r="1366" spans="1:42">
      <c r="A1366" s="3"/>
      <c r="B1366" s="3"/>
      <c r="C1366" s="3"/>
      <c r="D1366" s="3"/>
      <c r="E1366" s="3"/>
      <c r="F1366" s="3"/>
      <c r="G1366" s="3"/>
      <c r="H1366" s="3"/>
      <c r="I1366" s="100"/>
      <c r="J1366" s="101"/>
      <c r="K1366" s="101"/>
      <c r="L1366" s="101"/>
      <c r="M1366" s="101"/>
      <c r="N1366" s="101"/>
      <c r="O1366" s="101"/>
      <c r="P1366" s="101"/>
      <c r="Q1366" s="101"/>
      <c r="R1366" s="101"/>
      <c r="S1366" s="101"/>
      <c r="T1366" s="101"/>
      <c r="U1366" s="101"/>
      <c r="V1366" s="101"/>
      <c r="W1366" s="101"/>
      <c r="X1366" s="101"/>
      <c r="Y1366" s="101"/>
      <c r="Z1366" s="101"/>
      <c r="AA1366" s="101"/>
      <c r="AB1366" s="101"/>
      <c r="AC1366" s="119"/>
      <c r="AD1366" s="119"/>
      <c r="AE1366" s="120"/>
      <c r="AF1366" s="119"/>
      <c r="AG1366" s="119"/>
      <c r="AH1366" s="120"/>
      <c r="AI1366" s="121"/>
      <c r="AJ1366" s="121"/>
      <c r="AK1366" s="121"/>
      <c r="AL1366" s="121"/>
      <c r="AM1366" s="122"/>
      <c r="AN1366" s="121"/>
      <c r="AP1366" s="87"/>
    </row>
    <row r="1367" spans="1:42">
      <c r="A1367" s="3"/>
      <c r="B1367" s="3"/>
      <c r="C1367" s="3"/>
      <c r="D1367" s="3"/>
      <c r="E1367" s="3"/>
      <c r="F1367" s="3"/>
      <c r="G1367" s="3"/>
      <c r="H1367" s="3"/>
      <c r="I1367" s="100"/>
      <c r="J1367" s="101"/>
      <c r="K1367" s="101"/>
      <c r="L1367" s="101"/>
      <c r="M1367" s="101"/>
      <c r="N1367" s="101"/>
      <c r="O1367" s="101"/>
      <c r="P1367" s="101"/>
      <c r="Q1367" s="101"/>
      <c r="R1367" s="101"/>
      <c r="S1367" s="101"/>
      <c r="T1367" s="101"/>
      <c r="U1367" s="101"/>
      <c r="V1367" s="101"/>
      <c r="W1367" s="101"/>
      <c r="X1367" s="101"/>
      <c r="Y1367" s="101"/>
      <c r="Z1367" s="101"/>
      <c r="AA1367" s="101"/>
      <c r="AB1367" s="101"/>
      <c r="AC1367" s="119"/>
      <c r="AD1367" s="119"/>
      <c r="AE1367" s="120"/>
      <c r="AF1367" s="119"/>
      <c r="AG1367" s="119"/>
      <c r="AH1367" s="120"/>
      <c r="AI1367" s="121"/>
      <c r="AJ1367" s="121"/>
      <c r="AK1367" s="121"/>
      <c r="AL1367" s="121"/>
      <c r="AM1367" s="122"/>
      <c r="AN1367" s="121"/>
      <c r="AP1367" s="87"/>
    </row>
    <row r="1368" spans="1:42">
      <c r="A1368" s="3"/>
      <c r="B1368" s="3"/>
      <c r="C1368" s="3"/>
      <c r="D1368" s="3"/>
      <c r="E1368" s="3"/>
      <c r="F1368" s="3"/>
      <c r="G1368" s="3"/>
      <c r="H1368" s="3"/>
      <c r="I1368" s="100"/>
      <c r="J1368" s="101"/>
      <c r="K1368" s="101"/>
      <c r="L1368" s="101"/>
      <c r="M1368" s="101"/>
      <c r="N1368" s="101"/>
      <c r="O1368" s="101"/>
      <c r="P1368" s="101"/>
      <c r="Q1368" s="101"/>
      <c r="R1368" s="101"/>
      <c r="S1368" s="101"/>
      <c r="T1368" s="101"/>
      <c r="U1368" s="101"/>
      <c r="V1368" s="101"/>
      <c r="W1368" s="101"/>
      <c r="X1368" s="101"/>
      <c r="Y1368" s="101"/>
      <c r="Z1368" s="101"/>
      <c r="AA1368" s="101"/>
      <c r="AB1368" s="101"/>
      <c r="AC1368" s="119"/>
      <c r="AD1368" s="119"/>
      <c r="AE1368" s="120"/>
      <c r="AF1368" s="119"/>
      <c r="AG1368" s="119"/>
      <c r="AH1368" s="120"/>
      <c r="AI1368" s="121"/>
      <c r="AJ1368" s="121"/>
      <c r="AK1368" s="121"/>
      <c r="AL1368" s="121"/>
      <c r="AM1368" s="122"/>
      <c r="AN1368" s="121"/>
      <c r="AP1368" s="87"/>
    </row>
    <row r="1369" spans="1:42">
      <c r="A1369" s="3"/>
      <c r="B1369" s="3"/>
      <c r="C1369" s="3"/>
      <c r="D1369" s="3"/>
      <c r="E1369" s="3"/>
      <c r="F1369" s="3"/>
      <c r="G1369" s="3"/>
      <c r="H1369" s="3"/>
      <c r="I1369" s="100"/>
      <c r="J1369" s="101"/>
      <c r="K1369" s="101"/>
      <c r="L1369" s="101"/>
      <c r="M1369" s="101"/>
      <c r="N1369" s="101"/>
      <c r="O1369" s="101"/>
      <c r="P1369" s="101"/>
      <c r="Q1369" s="101"/>
      <c r="R1369" s="101"/>
      <c r="S1369" s="101"/>
      <c r="T1369" s="101"/>
      <c r="U1369" s="101"/>
      <c r="V1369" s="101"/>
      <c r="W1369" s="101"/>
      <c r="X1369" s="101"/>
      <c r="Y1369" s="101"/>
      <c r="Z1369" s="101"/>
      <c r="AA1369" s="101"/>
      <c r="AB1369" s="101"/>
      <c r="AC1369" s="119"/>
      <c r="AD1369" s="119"/>
      <c r="AE1369" s="120"/>
      <c r="AF1369" s="119"/>
      <c r="AG1369" s="119"/>
      <c r="AH1369" s="120"/>
      <c r="AI1369" s="121"/>
      <c r="AJ1369" s="121"/>
      <c r="AK1369" s="121"/>
      <c r="AL1369" s="121"/>
      <c r="AM1369" s="122"/>
      <c r="AN1369" s="121"/>
      <c r="AP1369" s="87"/>
    </row>
    <row r="1370" spans="1:42">
      <c r="A1370" s="3"/>
      <c r="B1370" s="3"/>
      <c r="C1370" s="3"/>
      <c r="D1370" s="3"/>
      <c r="E1370" s="3"/>
      <c r="F1370" s="3"/>
      <c r="G1370" s="3"/>
      <c r="H1370" s="3"/>
      <c r="I1370" s="100"/>
      <c r="J1370" s="101"/>
      <c r="K1370" s="101"/>
      <c r="L1370" s="101"/>
      <c r="M1370" s="101"/>
      <c r="N1370" s="101"/>
      <c r="O1370" s="101"/>
      <c r="P1370" s="101"/>
      <c r="Q1370" s="101"/>
      <c r="R1370" s="101"/>
      <c r="S1370" s="101"/>
      <c r="T1370" s="101"/>
      <c r="U1370" s="101"/>
      <c r="V1370" s="101"/>
      <c r="W1370" s="101"/>
      <c r="X1370" s="101"/>
      <c r="Y1370" s="101"/>
      <c r="Z1370" s="101"/>
      <c r="AA1370" s="101"/>
      <c r="AB1370" s="101"/>
      <c r="AC1370" s="119"/>
      <c r="AD1370" s="119"/>
      <c r="AE1370" s="120"/>
      <c r="AF1370" s="119"/>
      <c r="AG1370" s="119"/>
      <c r="AH1370" s="120"/>
      <c r="AI1370" s="121"/>
      <c r="AJ1370" s="121"/>
      <c r="AK1370" s="121"/>
      <c r="AL1370" s="121"/>
      <c r="AM1370" s="122"/>
      <c r="AN1370" s="121"/>
      <c r="AP1370" s="87"/>
    </row>
    <row r="1371" spans="1:42">
      <c r="A1371" s="3"/>
      <c r="B1371" s="3"/>
      <c r="C1371" s="3"/>
      <c r="D1371" s="3"/>
      <c r="E1371" s="3"/>
      <c r="F1371" s="3"/>
      <c r="G1371" s="3"/>
      <c r="H1371" s="3"/>
      <c r="I1371" s="100"/>
      <c r="J1371" s="101"/>
      <c r="K1371" s="101"/>
      <c r="L1371" s="101"/>
      <c r="M1371" s="101"/>
      <c r="N1371" s="101"/>
      <c r="O1371" s="101"/>
      <c r="P1371" s="101"/>
      <c r="Q1371" s="101"/>
      <c r="R1371" s="101"/>
      <c r="S1371" s="101"/>
      <c r="T1371" s="101"/>
      <c r="U1371" s="101"/>
      <c r="V1371" s="101"/>
      <c r="W1371" s="101"/>
      <c r="X1371" s="101"/>
      <c r="Y1371" s="101"/>
      <c r="Z1371" s="101"/>
      <c r="AA1371" s="101"/>
      <c r="AB1371" s="101"/>
      <c r="AC1371" s="119"/>
      <c r="AD1371" s="119"/>
      <c r="AE1371" s="120"/>
      <c r="AF1371" s="119"/>
      <c r="AG1371" s="119"/>
      <c r="AH1371" s="120"/>
      <c r="AI1371" s="121"/>
      <c r="AJ1371" s="121"/>
      <c r="AK1371" s="121"/>
      <c r="AL1371" s="121"/>
      <c r="AM1371" s="122"/>
      <c r="AN1371" s="121"/>
      <c r="AP1371" s="87"/>
    </row>
    <row r="1372" spans="1:42">
      <c r="A1372" s="3"/>
      <c r="B1372" s="3"/>
      <c r="C1372" s="3"/>
      <c r="D1372" s="3"/>
      <c r="E1372" s="3"/>
      <c r="F1372" s="3"/>
      <c r="G1372" s="3"/>
      <c r="H1372" s="3"/>
      <c r="I1372" s="100"/>
      <c r="J1372" s="101"/>
      <c r="K1372" s="101"/>
      <c r="L1372" s="101"/>
      <c r="M1372" s="101"/>
      <c r="N1372" s="101"/>
      <c r="O1372" s="101"/>
      <c r="P1372" s="101"/>
      <c r="Q1372" s="101"/>
      <c r="R1372" s="101"/>
      <c r="S1372" s="101"/>
      <c r="T1372" s="101"/>
      <c r="U1372" s="101"/>
      <c r="V1372" s="101"/>
      <c r="W1372" s="101"/>
      <c r="X1372" s="101"/>
      <c r="Y1372" s="101"/>
      <c r="Z1372" s="101"/>
      <c r="AA1372" s="101"/>
      <c r="AB1372" s="101"/>
      <c r="AC1372" s="119"/>
      <c r="AD1372" s="119"/>
      <c r="AE1372" s="120"/>
      <c r="AF1372" s="119"/>
      <c r="AG1372" s="119"/>
      <c r="AH1372" s="120"/>
      <c r="AI1372" s="121"/>
      <c r="AJ1372" s="121"/>
      <c r="AK1372" s="121"/>
      <c r="AL1372" s="121"/>
      <c r="AM1372" s="122"/>
      <c r="AN1372" s="121"/>
      <c r="AP1372" s="87"/>
    </row>
    <row r="1373" spans="1:42">
      <c r="A1373" s="3"/>
      <c r="B1373" s="3"/>
      <c r="C1373" s="3"/>
      <c r="D1373" s="3"/>
      <c r="E1373" s="3"/>
      <c r="F1373" s="3"/>
      <c r="G1373" s="3"/>
      <c r="H1373" s="3"/>
      <c r="I1373" s="100"/>
      <c r="J1373" s="101"/>
      <c r="K1373" s="101"/>
      <c r="L1373" s="101"/>
      <c r="M1373" s="101"/>
      <c r="N1373" s="101"/>
      <c r="O1373" s="101"/>
      <c r="P1373" s="101"/>
      <c r="Q1373" s="101"/>
      <c r="R1373" s="101"/>
      <c r="S1373" s="101"/>
      <c r="T1373" s="101"/>
      <c r="U1373" s="101"/>
      <c r="V1373" s="101"/>
      <c r="W1373" s="101"/>
      <c r="X1373" s="101"/>
      <c r="Y1373" s="101"/>
      <c r="Z1373" s="101"/>
      <c r="AA1373" s="101"/>
      <c r="AB1373" s="101"/>
      <c r="AC1373" s="119"/>
      <c r="AD1373" s="119"/>
      <c r="AE1373" s="120"/>
      <c r="AF1373" s="119"/>
      <c r="AG1373" s="119"/>
      <c r="AH1373" s="120"/>
      <c r="AI1373" s="121"/>
      <c r="AJ1373" s="121"/>
      <c r="AK1373" s="121"/>
      <c r="AL1373" s="121"/>
      <c r="AM1373" s="122"/>
      <c r="AN1373" s="121"/>
      <c r="AP1373" s="87"/>
    </row>
    <row r="1374" spans="1:42">
      <c r="A1374" s="3"/>
      <c r="B1374" s="3"/>
      <c r="C1374" s="3"/>
      <c r="D1374" s="3"/>
      <c r="E1374" s="3"/>
      <c r="F1374" s="3"/>
      <c r="G1374" s="3"/>
      <c r="H1374" s="3"/>
      <c r="I1374" s="100"/>
      <c r="J1374" s="101"/>
      <c r="K1374" s="101"/>
      <c r="L1374" s="101"/>
      <c r="M1374" s="101"/>
      <c r="N1374" s="101"/>
      <c r="O1374" s="101"/>
      <c r="P1374" s="101"/>
      <c r="Q1374" s="101"/>
      <c r="R1374" s="101"/>
      <c r="S1374" s="101"/>
      <c r="T1374" s="101"/>
      <c r="U1374" s="101"/>
      <c r="V1374" s="101"/>
      <c r="W1374" s="101"/>
      <c r="X1374" s="101"/>
      <c r="Y1374" s="101"/>
      <c r="Z1374" s="101"/>
      <c r="AA1374" s="101"/>
      <c r="AB1374" s="101"/>
      <c r="AC1374" s="119"/>
      <c r="AD1374" s="119"/>
      <c r="AE1374" s="120"/>
      <c r="AF1374" s="119"/>
      <c r="AG1374" s="119"/>
      <c r="AH1374" s="120"/>
      <c r="AI1374" s="121"/>
      <c r="AJ1374" s="121"/>
      <c r="AK1374" s="121"/>
      <c r="AL1374" s="121"/>
      <c r="AM1374" s="122"/>
      <c r="AN1374" s="121"/>
      <c r="AP1374" s="87"/>
    </row>
    <row r="1375" spans="1:42">
      <c r="A1375" s="3"/>
      <c r="B1375" s="3"/>
      <c r="C1375" s="3"/>
      <c r="D1375" s="3"/>
      <c r="E1375" s="3"/>
      <c r="F1375" s="3"/>
      <c r="G1375" s="3"/>
      <c r="H1375" s="3"/>
      <c r="I1375" s="100"/>
      <c r="J1375" s="101"/>
      <c r="K1375" s="101"/>
      <c r="L1375" s="101"/>
      <c r="M1375" s="101"/>
      <c r="N1375" s="101"/>
      <c r="O1375" s="101"/>
      <c r="P1375" s="101"/>
      <c r="Q1375" s="101"/>
      <c r="R1375" s="101"/>
      <c r="S1375" s="101"/>
      <c r="T1375" s="101"/>
      <c r="U1375" s="101"/>
      <c r="V1375" s="101"/>
      <c r="W1375" s="101"/>
      <c r="X1375" s="101"/>
      <c r="Y1375" s="101"/>
      <c r="Z1375" s="101"/>
      <c r="AA1375" s="101"/>
      <c r="AB1375" s="101"/>
      <c r="AC1375" s="119"/>
      <c r="AD1375" s="119"/>
      <c r="AE1375" s="120"/>
      <c r="AF1375" s="119"/>
      <c r="AG1375" s="119"/>
      <c r="AH1375" s="120"/>
      <c r="AI1375" s="121"/>
      <c r="AJ1375" s="121"/>
      <c r="AK1375" s="121"/>
      <c r="AL1375" s="121"/>
      <c r="AM1375" s="122"/>
      <c r="AN1375" s="121"/>
      <c r="AP1375" s="87"/>
    </row>
    <row r="1376" spans="1:42">
      <c r="A1376" s="3"/>
      <c r="B1376" s="3"/>
      <c r="C1376" s="3"/>
      <c r="D1376" s="3"/>
      <c r="E1376" s="3"/>
      <c r="F1376" s="3"/>
      <c r="G1376" s="3"/>
      <c r="H1376" s="3"/>
      <c r="I1376" s="100"/>
      <c r="J1376" s="101"/>
      <c r="K1376" s="101"/>
      <c r="L1376" s="101"/>
      <c r="M1376" s="101"/>
      <c r="N1376" s="101"/>
      <c r="O1376" s="101"/>
      <c r="P1376" s="101"/>
      <c r="Q1376" s="101"/>
      <c r="R1376" s="101"/>
      <c r="S1376" s="101"/>
      <c r="T1376" s="101"/>
      <c r="U1376" s="101"/>
      <c r="V1376" s="101"/>
      <c r="W1376" s="101"/>
      <c r="X1376" s="101"/>
      <c r="Y1376" s="101"/>
      <c r="Z1376" s="101"/>
      <c r="AA1376" s="101"/>
      <c r="AB1376" s="101"/>
      <c r="AC1376" s="119"/>
      <c r="AD1376" s="119"/>
      <c r="AE1376" s="120"/>
      <c r="AF1376" s="119"/>
      <c r="AG1376" s="119"/>
      <c r="AH1376" s="120"/>
      <c r="AI1376" s="121"/>
      <c r="AJ1376" s="121"/>
      <c r="AK1376" s="121"/>
      <c r="AL1376" s="121"/>
      <c r="AM1376" s="122"/>
      <c r="AN1376" s="121"/>
      <c r="AP1376" s="87"/>
    </row>
    <row r="1377" spans="1:42">
      <c r="A1377" s="3"/>
      <c r="B1377" s="3"/>
      <c r="C1377" s="3"/>
      <c r="D1377" s="3"/>
      <c r="E1377" s="3"/>
      <c r="F1377" s="3"/>
      <c r="G1377" s="3"/>
      <c r="H1377" s="3"/>
      <c r="I1377" s="100"/>
      <c r="J1377" s="101"/>
      <c r="K1377" s="101"/>
      <c r="L1377" s="101"/>
      <c r="M1377" s="101"/>
      <c r="N1377" s="101"/>
      <c r="O1377" s="101"/>
      <c r="P1377" s="101"/>
      <c r="Q1377" s="101"/>
      <c r="R1377" s="101"/>
      <c r="S1377" s="101"/>
      <c r="T1377" s="101"/>
      <c r="U1377" s="101"/>
      <c r="V1377" s="101"/>
      <c r="W1377" s="101"/>
      <c r="X1377" s="101"/>
      <c r="Y1377" s="101"/>
      <c r="Z1377" s="101"/>
      <c r="AA1377" s="101"/>
      <c r="AB1377" s="101"/>
      <c r="AC1377" s="119"/>
      <c r="AD1377" s="119"/>
      <c r="AE1377" s="120"/>
      <c r="AF1377" s="119"/>
      <c r="AG1377" s="119"/>
      <c r="AH1377" s="120"/>
      <c r="AI1377" s="121"/>
      <c r="AJ1377" s="121"/>
      <c r="AK1377" s="121"/>
      <c r="AL1377" s="121"/>
      <c r="AM1377" s="122"/>
      <c r="AN1377" s="121"/>
      <c r="AP1377" s="87"/>
    </row>
    <row r="1378" spans="1:42">
      <c r="A1378" s="3"/>
      <c r="B1378" s="3"/>
      <c r="C1378" s="3"/>
      <c r="D1378" s="3"/>
      <c r="E1378" s="3"/>
      <c r="F1378" s="3"/>
      <c r="G1378" s="3"/>
      <c r="H1378" s="3"/>
      <c r="I1378" s="100"/>
      <c r="J1378" s="101"/>
      <c r="K1378" s="101"/>
      <c r="L1378" s="101"/>
      <c r="M1378" s="101"/>
      <c r="N1378" s="101"/>
      <c r="O1378" s="101"/>
      <c r="P1378" s="101"/>
      <c r="Q1378" s="101"/>
      <c r="R1378" s="101"/>
      <c r="S1378" s="101"/>
      <c r="T1378" s="101"/>
      <c r="U1378" s="101"/>
      <c r="V1378" s="101"/>
      <c r="W1378" s="101"/>
      <c r="X1378" s="101"/>
      <c r="Y1378" s="101"/>
      <c r="Z1378" s="101"/>
      <c r="AA1378" s="101"/>
      <c r="AB1378" s="101"/>
      <c r="AC1378" s="119"/>
      <c r="AD1378" s="119"/>
      <c r="AE1378" s="120"/>
      <c r="AF1378" s="119"/>
      <c r="AG1378" s="119"/>
      <c r="AH1378" s="120"/>
      <c r="AI1378" s="121"/>
      <c r="AJ1378" s="121"/>
      <c r="AK1378" s="121"/>
      <c r="AL1378" s="121"/>
      <c r="AM1378" s="122"/>
      <c r="AN1378" s="121"/>
      <c r="AP1378" s="87"/>
    </row>
    <row r="1379" spans="1:42">
      <c r="A1379" s="3"/>
      <c r="B1379" s="3"/>
      <c r="C1379" s="3"/>
      <c r="D1379" s="3"/>
      <c r="E1379" s="3"/>
      <c r="F1379" s="3"/>
      <c r="G1379" s="3"/>
      <c r="H1379" s="3"/>
      <c r="I1379" s="100"/>
      <c r="J1379" s="101"/>
      <c r="K1379" s="101"/>
      <c r="L1379" s="101"/>
      <c r="M1379" s="101"/>
      <c r="N1379" s="101"/>
      <c r="O1379" s="101"/>
      <c r="P1379" s="101"/>
      <c r="Q1379" s="101"/>
      <c r="R1379" s="101"/>
      <c r="S1379" s="101"/>
      <c r="T1379" s="101"/>
      <c r="U1379" s="101"/>
      <c r="V1379" s="101"/>
      <c r="W1379" s="101"/>
      <c r="X1379" s="101"/>
      <c r="Y1379" s="101"/>
      <c r="Z1379" s="101"/>
      <c r="AA1379" s="101"/>
      <c r="AB1379" s="101"/>
      <c r="AC1379" s="119"/>
      <c r="AD1379" s="119"/>
      <c r="AE1379" s="120"/>
      <c r="AF1379" s="119"/>
      <c r="AG1379" s="119"/>
      <c r="AH1379" s="120"/>
      <c r="AI1379" s="121"/>
      <c r="AJ1379" s="121"/>
      <c r="AK1379" s="121"/>
      <c r="AL1379" s="121"/>
      <c r="AM1379" s="122"/>
      <c r="AN1379" s="121"/>
      <c r="AP1379" s="87"/>
    </row>
    <row r="1380" spans="1:42">
      <c r="A1380" s="3"/>
      <c r="B1380" s="3"/>
      <c r="C1380" s="3"/>
      <c r="D1380" s="3"/>
      <c r="E1380" s="3"/>
      <c r="F1380" s="3"/>
      <c r="G1380" s="3"/>
      <c r="H1380" s="3"/>
      <c r="I1380" s="100"/>
      <c r="J1380" s="101"/>
      <c r="K1380" s="101"/>
      <c r="L1380" s="101"/>
      <c r="M1380" s="101"/>
      <c r="N1380" s="101"/>
      <c r="O1380" s="101"/>
      <c r="P1380" s="101"/>
      <c r="Q1380" s="101"/>
      <c r="R1380" s="101"/>
      <c r="S1380" s="101"/>
      <c r="T1380" s="101"/>
      <c r="U1380" s="101"/>
      <c r="V1380" s="101"/>
      <c r="W1380" s="101"/>
      <c r="X1380" s="101"/>
      <c r="Y1380" s="101"/>
      <c r="Z1380" s="101"/>
      <c r="AA1380" s="101"/>
      <c r="AB1380" s="101"/>
      <c r="AC1380" s="119"/>
      <c r="AD1380" s="119"/>
      <c r="AE1380" s="120"/>
      <c r="AF1380" s="119"/>
      <c r="AG1380" s="119"/>
      <c r="AH1380" s="120"/>
      <c r="AI1380" s="121"/>
      <c r="AJ1380" s="121"/>
      <c r="AK1380" s="121"/>
      <c r="AL1380" s="121"/>
      <c r="AM1380" s="122"/>
      <c r="AN1380" s="121"/>
      <c r="AP1380" s="87"/>
    </row>
    <row r="1381" spans="1:42">
      <c r="A1381" s="3"/>
      <c r="B1381" s="3"/>
      <c r="C1381" s="3"/>
      <c r="D1381" s="3"/>
      <c r="E1381" s="3"/>
      <c r="F1381" s="3"/>
      <c r="G1381" s="3"/>
      <c r="H1381" s="3"/>
      <c r="I1381" s="100"/>
      <c r="J1381" s="101"/>
      <c r="K1381" s="101"/>
      <c r="L1381" s="101"/>
      <c r="M1381" s="101"/>
      <c r="N1381" s="101"/>
      <c r="O1381" s="101"/>
      <c r="P1381" s="101"/>
      <c r="Q1381" s="101"/>
      <c r="R1381" s="101"/>
      <c r="S1381" s="101"/>
      <c r="T1381" s="101"/>
      <c r="U1381" s="101"/>
      <c r="V1381" s="101"/>
      <c r="W1381" s="101"/>
      <c r="X1381" s="101"/>
      <c r="Y1381" s="101"/>
      <c r="Z1381" s="101"/>
      <c r="AA1381" s="101"/>
      <c r="AB1381" s="101"/>
      <c r="AC1381" s="119"/>
      <c r="AD1381" s="119"/>
      <c r="AE1381" s="120"/>
      <c r="AF1381" s="119"/>
      <c r="AG1381" s="119"/>
      <c r="AH1381" s="120"/>
      <c r="AI1381" s="121"/>
      <c r="AJ1381" s="121"/>
      <c r="AK1381" s="121"/>
      <c r="AL1381" s="121"/>
      <c r="AM1381" s="122"/>
      <c r="AN1381" s="121"/>
      <c r="AP1381" s="87"/>
    </row>
    <row r="1382" spans="1:42">
      <c r="A1382" s="3"/>
      <c r="B1382" s="3"/>
      <c r="C1382" s="3"/>
      <c r="D1382" s="3"/>
      <c r="E1382" s="3"/>
      <c r="F1382" s="3"/>
      <c r="G1382" s="3"/>
      <c r="H1382" s="3"/>
      <c r="I1382" s="100"/>
      <c r="J1382" s="101"/>
      <c r="K1382" s="101"/>
      <c r="L1382" s="101"/>
      <c r="M1382" s="101"/>
      <c r="N1382" s="101"/>
      <c r="O1382" s="101"/>
      <c r="P1382" s="101"/>
      <c r="Q1382" s="101"/>
      <c r="R1382" s="101"/>
      <c r="S1382" s="101"/>
      <c r="T1382" s="101"/>
      <c r="U1382" s="101"/>
      <c r="V1382" s="101"/>
      <c r="W1382" s="101"/>
      <c r="X1382" s="101"/>
      <c r="Y1382" s="101"/>
      <c r="Z1382" s="101"/>
      <c r="AA1382" s="101"/>
      <c r="AB1382" s="101"/>
      <c r="AC1382" s="119"/>
      <c r="AD1382" s="119"/>
      <c r="AE1382" s="120"/>
      <c r="AF1382" s="119"/>
      <c r="AG1382" s="119"/>
      <c r="AH1382" s="120"/>
      <c r="AI1382" s="121"/>
      <c r="AJ1382" s="121"/>
      <c r="AK1382" s="121"/>
      <c r="AL1382" s="121"/>
      <c r="AM1382" s="122"/>
      <c r="AN1382" s="121"/>
      <c r="AP1382" s="87"/>
    </row>
    <row r="1383" spans="1:42">
      <c r="A1383" s="3"/>
      <c r="B1383" s="3"/>
      <c r="C1383" s="3"/>
      <c r="D1383" s="3"/>
      <c r="E1383" s="3"/>
      <c r="F1383" s="3"/>
      <c r="G1383" s="3"/>
      <c r="H1383" s="3"/>
      <c r="I1383" s="100"/>
      <c r="J1383" s="101"/>
      <c r="K1383" s="101"/>
      <c r="L1383" s="101"/>
      <c r="M1383" s="101"/>
      <c r="N1383" s="101"/>
      <c r="O1383" s="101"/>
      <c r="P1383" s="101"/>
      <c r="Q1383" s="101"/>
      <c r="R1383" s="101"/>
      <c r="S1383" s="101"/>
      <c r="T1383" s="101"/>
      <c r="U1383" s="101"/>
      <c r="V1383" s="101"/>
      <c r="W1383" s="101"/>
      <c r="X1383" s="101"/>
      <c r="Y1383" s="101"/>
      <c r="Z1383" s="101"/>
      <c r="AA1383" s="101"/>
      <c r="AB1383" s="101"/>
      <c r="AC1383" s="119"/>
      <c r="AD1383" s="119"/>
      <c r="AE1383" s="120"/>
      <c r="AF1383" s="119"/>
      <c r="AG1383" s="119"/>
      <c r="AH1383" s="120"/>
      <c r="AI1383" s="121"/>
      <c r="AJ1383" s="121"/>
      <c r="AK1383" s="121"/>
      <c r="AL1383" s="121"/>
      <c r="AM1383" s="122"/>
      <c r="AN1383" s="121"/>
      <c r="AP1383" s="87"/>
    </row>
    <row r="1384" spans="1:42">
      <c r="A1384" s="3"/>
      <c r="B1384" s="3"/>
      <c r="C1384" s="3"/>
      <c r="D1384" s="3"/>
      <c r="E1384" s="3"/>
      <c r="F1384" s="3"/>
      <c r="G1384" s="3"/>
      <c r="H1384" s="3"/>
      <c r="I1384" s="100"/>
      <c r="J1384" s="101"/>
      <c r="K1384" s="101"/>
      <c r="L1384" s="101"/>
      <c r="M1384" s="101"/>
      <c r="N1384" s="101"/>
      <c r="O1384" s="101"/>
      <c r="P1384" s="101"/>
      <c r="Q1384" s="101"/>
      <c r="R1384" s="101"/>
      <c r="S1384" s="101"/>
      <c r="T1384" s="101"/>
      <c r="U1384" s="101"/>
      <c r="V1384" s="101"/>
      <c r="W1384" s="101"/>
      <c r="X1384" s="101"/>
      <c r="Y1384" s="101"/>
      <c r="Z1384" s="101"/>
      <c r="AA1384" s="101"/>
      <c r="AB1384" s="101"/>
      <c r="AC1384" s="119"/>
      <c r="AD1384" s="119"/>
      <c r="AE1384" s="120"/>
      <c r="AF1384" s="119"/>
      <c r="AG1384" s="119"/>
      <c r="AH1384" s="120"/>
      <c r="AI1384" s="121"/>
      <c r="AJ1384" s="121"/>
      <c r="AK1384" s="121"/>
      <c r="AL1384" s="121"/>
      <c r="AM1384" s="122"/>
      <c r="AN1384" s="121"/>
      <c r="AP1384" s="87"/>
    </row>
    <row r="1385" spans="1:42">
      <c r="A1385" s="3"/>
      <c r="B1385" s="3"/>
      <c r="C1385" s="3"/>
      <c r="D1385" s="3"/>
      <c r="E1385" s="3"/>
      <c r="F1385" s="3"/>
      <c r="G1385" s="3"/>
      <c r="H1385" s="3"/>
      <c r="I1385" s="100"/>
      <c r="J1385" s="101"/>
      <c r="K1385" s="101"/>
      <c r="L1385" s="101"/>
      <c r="M1385" s="101"/>
      <c r="N1385" s="101"/>
      <c r="O1385" s="101"/>
      <c r="P1385" s="101"/>
      <c r="Q1385" s="101"/>
      <c r="R1385" s="101"/>
      <c r="S1385" s="101"/>
      <c r="T1385" s="101"/>
      <c r="U1385" s="101"/>
      <c r="V1385" s="101"/>
      <c r="W1385" s="101"/>
      <c r="X1385" s="101"/>
      <c r="Y1385" s="101"/>
      <c r="Z1385" s="101"/>
      <c r="AA1385" s="101"/>
      <c r="AB1385" s="101"/>
      <c r="AC1385" s="119"/>
      <c r="AD1385" s="119"/>
      <c r="AE1385" s="120"/>
      <c r="AF1385" s="119"/>
      <c r="AG1385" s="119"/>
      <c r="AH1385" s="120"/>
      <c r="AI1385" s="121"/>
      <c r="AJ1385" s="121"/>
      <c r="AK1385" s="121"/>
      <c r="AL1385" s="121"/>
      <c r="AM1385" s="122"/>
      <c r="AN1385" s="121"/>
      <c r="AP1385" s="87"/>
    </row>
    <row r="1386" spans="1:42">
      <c r="A1386" s="3"/>
      <c r="B1386" s="3"/>
      <c r="C1386" s="3"/>
      <c r="D1386" s="3"/>
      <c r="E1386" s="3"/>
      <c r="F1386" s="3"/>
      <c r="G1386" s="3"/>
      <c r="H1386" s="3"/>
      <c r="I1386" s="100"/>
      <c r="J1386" s="101"/>
      <c r="K1386" s="101"/>
      <c r="L1386" s="101"/>
      <c r="M1386" s="101"/>
      <c r="N1386" s="101"/>
      <c r="O1386" s="101"/>
      <c r="P1386" s="101"/>
      <c r="Q1386" s="101"/>
      <c r="R1386" s="101"/>
      <c r="S1386" s="101"/>
      <c r="T1386" s="101"/>
      <c r="U1386" s="101"/>
      <c r="V1386" s="101"/>
      <c r="W1386" s="101"/>
      <c r="X1386" s="101"/>
      <c r="Y1386" s="101"/>
      <c r="Z1386" s="101"/>
      <c r="AA1386" s="101"/>
      <c r="AB1386" s="101"/>
      <c r="AC1386" s="119"/>
      <c r="AD1386" s="119"/>
      <c r="AE1386" s="120"/>
      <c r="AF1386" s="119"/>
      <c r="AG1386" s="119"/>
      <c r="AH1386" s="120"/>
      <c r="AI1386" s="121"/>
      <c r="AJ1386" s="121"/>
      <c r="AK1386" s="121"/>
      <c r="AL1386" s="121"/>
      <c r="AM1386" s="122"/>
      <c r="AN1386" s="121"/>
      <c r="AP1386" s="87"/>
    </row>
    <row r="1387" spans="1:42">
      <c r="A1387" s="3"/>
      <c r="B1387" s="3"/>
      <c r="C1387" s="3"/>
      <c r="D1387" s="3"/>
      <c r="E1387" s="3"/>
      <c r="F1387" s="3"/>
      <c r="G1387" s="3"/>
      <c r="H1387" s="3"/>
      <c r="I1387" s="100"/>
      <c r="J1387" s="101"/>
      <c r="K1387" s="101"/>
      <c r="L1387" s="101"/>
      <c r="M1387" s="101"/>
      <c r="N1387" s="101"/>
      <c r="O1387" s="101"/>
      <c r="P1387" s="101"/>
      <c r="Q1387" s="101"/>
      <c r="R1387" s="101"/>
      <c r="S1387" s="101"/>
      <c r="T1387" s="101"/>
      <c r="U1387" s="101"/>
      <c r="V1387" s="101"/>
      <c r="W1387" s="101"/>
      <c r="X1387" s="101"/>
      <c r="Y1387" s="101"/>
      <c r="Z1387" s="101"/>
      <c r="AA1387" s="101"/>
      <c r="AB1387" s="101"/>
      <c r="AC1387" s="119"/>
      <c r="AD1387" s="119"/>
      <c r="AE1387" s="120"/>
      <c r="AF1387" s="119"/>
      <c r="AG1387" s="119"/>
      <c r="AH1387" s="120"/>
      <c r="AI1387" s="121"/>
      <c r="AJ1387" s="121"/>
      <c r="AK1387" s="121"/>
      <c r="AL1387" s="121"/>
      <c r="AM1387" s="122"/>
      <c r="AN1387" s="121"/>
      <c r="AP1387" s="87"/>
    </row>
    <row r="1388" spans="1:42">
      <c r="A1388" s="3"/>
      <c r="B1388" s="3"/>
      <c r="C1388" s="3"/>
      <c r="D1388" s="3"/>
      <c r="E1388" s="3"/>
      <c r="F1388" s="3"/>
      <c r="G1388" s="3"/>
      <c r="H1388" s="3"/>
      <c r="I1388" s="100"/>
      <c r="J1388" s="101"/>
      <c r="K1388" s="101"/>
      <c r="L1388" s="101"/>
      <c r="M1388" s="101"/>
      <c r="N1388" s="101"/>
      <c r="O1388" s="101"/>
      <c r="P1388" s="101"/>
      <c r="Q1388" s="101"/>
      <c r="R1388" s="101"/>
      <c r="S1388" s="101"/>
      <c r="T1388" s="101"/>
      <c r="U1388" s="101"/>
      <c r="V1388" s="101"/>
      <c r="W1388" s="101"/>
      <c r="X1388" s="101"/>
      <c r="Y1388" s="101"/>
      <c r="Z1388" s="101"/>
      <c r="AA1388" s="101"/>
      <c r="AB1388" s="101"/>
      <c r="AC1388" s="119"/>
      <c r="AD1388" s="119"/>
      <c r="AE1388" s="120"/>
      <c r="AF1388" s="119"/>
      <c r="AG1388" s="119"/>
      <c r="AH1388" s="120"/>
      <c r="AI1388" s="121"/>
      <c r="AJ1388" s="121"/>
      <c r="AK1388" s="121"/>
      <c r="AL1388" s="121"/>
      <c r="AM1388" s="122"/>
      <c r="AN1388" s="121"/>
      <c r="AP1388" s="87"/>
    </row>
    <row r="1389" spans="1:42">
      <c r="A1389" s="3"/>
      <c r="B1389" s="3"/>
      <c r="C1389" s="3"/>
      <c r="D1389" s="3"/>
      <c r="E1389" s="3"/>
      <c r="F1389" s="3"/>
      <c r="G1389" s="3"/>
      <c r="H1389" s="3"/>
      <c r="I1389" s="100"/>
      <c r="J1389" s="101"/>
      <c r="K1389" s="101"/>
      <c r="L1389" s="101"/>
      <c r="M1389" s="101"/>
      <c r="N1389" s="101"/>
      <c r="O1389" s="101"/>
      <c r="P1389" s="101"/>
      <c r="Q1389" s="101"/>
      <c r="R1389" s="101"/>
      <c r="S1389" s="101"/>
      <c r="T1389" s="101"/>
      <c r="U1389" s="101"/>
      <c r="V1389" s="101"/>
      <c r="W1389" s="101"/>
      <c r="X1389" s="101"/>
      <c r="Y1389" s="101"/>
      <c r="Z1389" s="101"/>
      <c r="AA1389" s="101"/>
      <c r="AB1389" s="101"/>
      <c r="AC1389" s="119"/>
      <c r="AD1389" s="119"/>
      <c r="AE1389" s="120"/>
      <c r="AF1389" s="119"/>
      <c r="AG1389" s="119"/>
      <c r="AH1389" s="120"/>
      <c r="AI1389" s="121"/>
      <c r="AJ1389" s="121"/>
      <c r="AK1389" s="121"/>
      <c r="AL1389" s="121"/>
      <c r="AM1389" s="122"/>
      <c r="AN1389" s="121"/>
      <c r="AP1389" s="87"/>
    </row>
    <row r="1390" spans="1:42">
      <c r="A1390" s="3"/>
      <c r="B1390" s="3"/>
      <c r="C1390" s="3"/>
      <c r="D1390" s="3"/>
      <c r="E1390" s="3"/>
      <c r="F1390" s="3"/>
      <c r="G1390" s="3"/>
      <c r="H1390" s="3"/>
      <c r="I1390" s="100"/>
      <c r="J1390" s="101"/>
      <c r="K1390" s="101"/>
      <c r="L1390" s="101"/>
      <c r="M1390" s="101"/>
      <c r="N1390" s="101"/>
      <c r="O1390" s="101"/>
      <c r="P1390" s="101"/>
      <c r="Q1390" s="101"/>
      <c r="R1390" s="101"/>
      <c r="S1390" s="101"/>
      <c r="T1390" s="101"/>
      <c r="U1390" s="101"/>
      <c r="V1390" s="101"/>
      <c r="W1390" s="101"/>
      <c r="X1390" s="101"/>
      <c r="Y1390" s="101"/>
      <c r="Z1390" s="101"/>
      <c r="AA1390" s="101"/>
      <c r="AB1390" s="101"/>
      <c r="AC1390" s="119"/>
      <c r="AD1390" s="119"/>
      <c r="AE1390" s="120"/>
      <c r="AF1390" s="119"/>
      <c r="AG1390" s="119"/>
      <c r="AH1390" s="120"/>
      <c r="AI1390" s="121"/>
      <c r="AJ1390" s="121"/>
      <c r="AK1390" s="121"/>
      <c r="AL1390" s="121"/>
      <c r="AM1390" s="122"/>
      <c r="AN1390" s="121"/>
      <c r="AP1390" s="87"/>
    </row>
    <row r="1391" spans="1:42">
      <c r="A1391" s="3"/>
      <c r="B1391" s="3"/>
      <c r="C1391" s="3"/>
      <c r="D1391" s="3"/>
      <c r="E1391" s="3"/>
      <c r="F1391" s="3"/>
      <c r="G1391" s="3"/>
      <c r="H1391" s="3"/>
      <c r="I1391" s="100"/>
      <c r="J1391" s="101"/>
      <c r="K1391" s="101"/>
      <c r="L1391" s="101"/>
      <c r="M1391" s="101"/>
      <c r="N1391" s="101"/>
      <c r="O1391" s="101"/>
      <c r="P1391" s="101"/>
      <c r="Q1391" s="101"/>
      <c r="R1391" s="101"/>
      <c r="S1391" s="101"/>
      <c r="T1391" s="101"/>
      <c r="U1391" s="101"/>
      <c r="V1391" s="101"/>
      <c r="W1391" s="101"/>
      <c r="X1391" s="101"/>
      <c r="Y1391" s="101"/>
      <c r="Z1391" s="101"/>
      <c r="AA1391" s="101"/>
      <c r="AB1391" s="101"/>
      <c r="AC1391" s="119"/>
      <c r="AD1391" s="119"/>
      <c r="AE1391" s="120"/>
      <c r="AF1391" s="119"/>
      <c r="AG1391" s="119"/>
      <c r="AH1391" s="120"/>
      <c r="AI1391" s="121"/>
      <c r="AJ1391" s="121"/>
      <c r="AK1391" s="121"/>
      <c r="AL1391" s="121"/>
      <c r="AM1391" s="122"/>
      <c r="AN1391" s="121"/>
      <c r="AP1391" s="87"/>
    </row>
    <row r="1392" spans="1:42">
      <c r="A1392" s="3"/>
      <c r="B1392" s="3"/>
      <c r="C1392" s="3"/>
      <c r="D1392" s="3"/>
      <c r="E1392" s="3"/>
      <c r="F1392" s="3"/>
      <c r="G1392" s="3"/>
      <c r="H1392" s="3"/>
      <c r="I1392" s="100"/>
      <c r="J1392" s="101"/>
      <c r="K1392" s="101"/>
      <c r="L1392" s="101"/>
      <c r="M1392" s="101"/>
      <c r="N1392" s="101"/>
      <c r="O1392" s="101"/>
      <c r="P1392" s="101"/>
      <c r="Q1392" s="101"/>
      <c r="R1392" s="101"/>
      <c r="S1392" s="101"/>
      <c r="T1392" s="101"/>
      <c r="U1392" s="101"/>
      <c r="V1392" s="101"/>
      <c r="W1392" s="101"/>
      <c r="X1392" s="101"/>
      <c r="Y1392" s="101"/>
      <c r="Z1392" s="101"/>
      <c r="AA1392" s="101"/>
      <c r="AB1392" s="101"/>
      <c r="AC1392" s="119"/>
      <c r="AD1392" s="119"/>
      <c r="AE1392" s="120"/>
      <c r="AF1392" s="119"/>
      <c r="AG1392" s="119"/>
      <c r="AH1392" s="120"/>
      <c r="AI1392" s="121"/>
      <c r="AJ1392" s="121"/>
      <c r="AK1392" s="121"/>
      <c r="AL1392" s="121"/>
      <c r="AM1392" s="122"/>
      <c r="AN1392" s="121"/>
      <c r="AP1392" s="87"/>
    </row>
    <row r="1393" spans="1:42">
      <c r="A1393" s="3"/>
      <c r="B1393" s="3"/>
      <c r="C1393" s="3"/>
      <c r="D1393" s="3"/>
      <c r="E1393" s="3"/>
      <c r="F1393" s="3"/>
      <c r="G1393" s="3"/>
      <c r="H1393" s="3"/>
      <c r="I1393" s="100"/>
      <c r="J1393" s="101"/>
      <c r="K1393" s="101"/>
      <c r="L1393" s="101"/>
      <c r="M1393" s="101"/>
      <c r="N1393" s="101"/>
      <c r="O1393" s="101"/>
      <c r="P1393" s="101"/>
      <c r="Q1393" s="101"/>
      <c r="R1393" s="101"/>
      <c r="S1393" s="101"/>
      <c r="T1393" s="101"/>
      <c r="U1393" s="101"/>
      <c r="V1393" s="101"/>
      <c r="W1393" s="101"/>
      <c r="X1393" s="101"/>
      <c r="Y1393" s="101"/>
      <c r="Z1393" s="101"/>
      <c r="AA1393" s="101"/>
      <c r="AB1393" s="101"/>
      <c r="AC1393" s="119"/>
      <c r="AD1393" s="119"/>
      <c r="AE1393" s="120"/>
      <c r="AF1393" s="119"/>
      <c r="AG1393" s="119"/>
      <c r="AH1393" s="120"/>
      <c r="AI1393" s="121"/>
      <c r="AJ1393" s="121"/>
      <c r="AK1393" s="121"/>
      <c r="AL1393" s="121"/>
      <c r="AM1393" s="122"/>
      <c r="AN1393" s="121"/>
      <c r="AP1393" s="87"/>
    </row>
    <row r="1394" spans="1:42">
      <c r="A1394" s="3"/>
      <c r="B1394" s="3"/>
      <c r="C1394" s="3"/>
      <c r="D1394" s="3"/>
      <c r="E1394" s="3"/>
      <c r="F1394" s="3"/>
      <c r="G1394" s="3"/>
      <c r="H1394" s="3"/>
      <c r="I1394" s="100"/>
      <c r="J1394" s="101"/>
      <c r="K1394" s="101"/>
      <c r="L1394" s="101"/>
      <c r="M1394" s="101"/>
      <c r="N1394" s="101"/>
      <c r="O1394" s="101"/>
      <c r="P1394" s="101"/>
      <c r="Q1394" s="101"/>
      <c r="R1394" s="101"/>
      <c r="S1394" s="101"/>
      <c r="T1394" s="101"/>
      <c r="U1394" s="101"/>
      <c r="V1394" s="101"/>
      <c r="W1394" s="101"/>
      <c r="X1394" s="101"/>
      <c r="Y1394" s="101"/>
      <c r="Z1394" s="101"/>
      <c r="AA1394" s="101"/>
      <c r="AB1394" s="101"/>
      <c r="AC1394" s="119"/>
      <c r="AD1394" s="119"/>
      <c r="AE1394" s="120"/>
      <c r="AF1394" s="119"/>
      <c r="AG1394" s="119"/>
      <c r="AH1394" s="120"/>
      <c r="AI1394" s="121"/>
      <c r="AJ1394" s="121"/>
      <c r="AK1394" s="121"/>
      <c r="AL1394" s="121"/>
      <c r="AM1394" s="122"/>
      <c r="AN1394" s="121"/>
      <c r="AP1394" s="87"/>
    </row>
    <row r="1395" spans="1:42">
      <c r="A1395" s="3"/>
      <c r="B1395" s="3"/>
      <c r="C1395" s="3"/>
      <c r="D1395" s="3"/>
      <c r="E1395" s="3"/>
      <c r="F1395" s="3"/>
      <c r="G1395" s="3"/>
      <c r="H1395" s="3"/>
      <c r="I1395" s="100"/>
      <c r="J1395" s="101"/>
      <c r="K1395" s="101"/>
      <c r="L1395" s="101"/>
      <c r="M1395" s="101"/>
      <c r="N1395" s="101"/>
      <c r="O1395" s="101"/>
      <c r="P1395" s="101"/>
      <c r="Q1395" s="101"/>
      <c r="R1395" s="101"/>
      <c r="S1395" s="101"/>
      <c r="T1395" s="101"/>
      <c r="U1395" s="101"/>
      <c r="V1395" s="101"/>
      <c r="W1395" s="101"/>
      <c r="X1395" s="101"/>
      <c r="Y1395" s="101"/>
      <c r="Z1395" s="101"/>
      <c r="AA1395" s="101"/>
      <c r="AB1395" s="101"/>
      <c r="AC1395" s="119"/>
      <c r="AD1395" s="119"/>
      <c r="AE1395" s="120"/>
      <c r="AF1395" s="119"/>
      <c r="AG1395" s="119"/>
      <c r="AH1395" s="120"/>
      <c r="AI1395" s="121"/>
      <c r="AJ1395" s="121"/>
      <c r="AK1395" s="121"/>
      <c r="AL1395" s="121"/>
      <c r="AM1395" s="122"/>
      <c r="AN1395" s="121"/>
      <c r="AP1395" s="87"/>
    </row>
    <row r="1396" spans="1:42">
      <c r="A1396" s="3"/>
      <c r="B1396" s="3"/>
      <c r="C1396" s="3"/>
      <c r="D1396" s="3"/>
      <c r="E1396" s="3"/>
      <c r="F1396" s="3"/>
      <c r="G1396" s="3"/>
      <c r="H1396" s="3"/>
      <c r="I1396" s="100"/>
      <c r="J1396" s="101"/>
      <c r="K1396" s="101"/>
      <c r="L1396" s="101"/>
      <c r="M1396" s="101"/>
      <c r="N1396" s="101"/>
      <c r="O1396" s="101"/>
      <c r="P1396" s="101"/>
      <c r="Q1396" s="101"/>
      <c r="R1396" s="101"/>
      <c r="S1396" s="101"/>
      <c r="T1396" s="101"/>
      <c r="U1396" s="101"/>
      <c r="V1396" s="101"/>
      <c r="W1396" s="101"/>
      <c r="X1396" s="101"/>
      <c r="Y1396" s="101"/>
      <c r="Z1396" s="101"/>
      <c r="AA1396" s="101"/>
      <c r="AB1396" s="101"/>
      <c r="AC1396" s="119"/>
      <c r="AD1396" s="119"/>
      <c r="AE1396" s="120"/>
      <c r="AF1396" s="119"/>
      <c r="AG1396" s="119"/>
      <c r="AH1396" s="120"/>
      <c r="AI1396" s="121"/>
      <c r="AJ1396" s="121"/>
      <c r="AK1396" s="121"/>
      <c r="AL1396" s="121"/>
      <c r="AM1396" s="122"/>
      <c r="AN1396" s="121"/>
      <c r="AP1396" s="87"/>
    </row>
    <row r="1397" spans="1:42">
      <c r="A1397" s="3"/>
      <c r="B1397" s="3"/>
      <c r="C1397" s="3"/>
      <c r="D1397" s="3"/>
      <c r="E1397" s="3"/>
      <c r="F1397" s="3"/>
      <c r="G1397" s="3"/>
      <c r="H1397" s="3"/>
      <c r="I1397" s="100"/>
      <c r="J1397" s="101"/>
      <c r="K1397" s="101"/>
      <c r="L1397" s="101"/>
      <c r="M1397" s="101"/>
      <c r="N1397" s="101"/>
      <c r="O1397" s="101"/>
      <c r="P1397" s="101"/>
      <c r="Q1397" s="101"/>
      <c r="R1397" s="101"/>
      <c r="S1397" s="101"/>
      <c r="T1397" s="101"/>
      <c r="U1397" s="101"/>
      <c r="V1397" s="101"/>
      <c r="W1397" s="101"/>
      <c r="X1397" s="101"/>
      <c r="Y1397" s="101"/>
      <c r="Z1397" s="101"/>
      <c r="AA1397" s="101"/>
      <c r="AB1397" s="101"/>
      <c r="AC1397" s="119"/>
      <c r="AD1397" s="119"/>
      <c r="AE1397" s="120"/>
      <c r="AF1397" s="119"/>
      <c r="AG1397" s="119"/>
      <c r="AH1397" s="120"/>
      <c r="AI1397" s="121"/>
      <c r="AJ1397" s="121"/>
      <c r="AK1397" s="121"/>
      <c r="AL1397" s="121"/>
      <c r="AM1397" s="122"/>
      <c r="AN1397" s="121"/>
      <c r="AP1397" s="87"/>
    </row>
    <row r="1398" spans="1:42">
      <c r="A1398" s="3"/>
      <c r="B1398" s="3"/>
      <c r="C1398" s="3"/>
      <c r="D1398" s="3"/>
      <c r="E1398" s="3"/>
      <c r="F1398" s="3"/>
      <c r="G1398" s="3"/>
      <c r="H1398" s="3"/>
      <c r="I1398" s="100"/>
      <c r="J1398" s="101"/>
      <c r="K1398" s="101"/>
      <c r="L1398" s="101"/>
      <c r="M1398" s="101"/>
      <c r="N1398" s="101"/>
      <c r="O1398" s="101"/>
      <c r="P1398" s="101"/>
      <c r="Q1398" s="101"/>
      <c r="R1398" s="101"/>
      <c r="S1398" s="101"/>
      <c r="T1398" s="101"/>
      <c r="U1398" s="101"/>
      <c r="V1398" s="101"/>
      <c r="W1398" s="101"/>
      <c r="X1398" s="101"/>
      <c r="Y1398" s="101"/>
      <c r="Z1398" s="101"/>
      <c r="AA1398" s="101"/>
      <c r="AB1398" s="101"/>
      <c r="AC1398" s="119"/>
      <c r="AD1398" s="119"/>
      <c r="AE1398" s="120"/>
      <c r="AF1398" s="119"/>
      <c r="AG1398" s="119"/>
      <c r="AH1398" s="120"/>
      <c r="AI1398" s="121"/>
      <c r="AJ1398" s="121"/>
      <c r="AK1398" s="121"/>
      <c r="AL1398" s="121"/>
      <c r="AM1398" s="122"/>
      <c r="AN1398" s="121"/>
      <c r="AP1398" s="87"/>
    </row>
    <row r="1399" spans="1:42">
      <c r="A1399" s="3"/>
      <c r="B1399" s="3"/>
      <c r="C1399" s="3"/>
      <c r="D1399" s="3"/>
      <c r="E1399" s="3"/>
      <c r="F1399" s="3"/>
      <c r="G1399" s="3"/>
      <c r="H1399" s="3"/>
      <c r="I1399" s="100"/>
      <c r="J1399" s="101"/>
      <c r="K1399" s="101"/>
      <c r="L1399" s="101"/>
      <c r="M1399" s="101"/>
      <c r="N1399" s="101"/>
      <c r="O1399" s="101"/>
      <c r="P1399" s="101"/>
      <c r="Q1399" s="101"/>
      <c r="R1399" s="101"/>
      <c r="S1399" s="101"/>
      <c r="T1399" s="101"/>
      <c r="U1399" s="101"/>
      <c r="V1399" s="101"/>
      <c r="W1399" s="101"/>
      <c r="X1399" s="101"/>
      <c r="Y1399" s="101"/>
      <c r="Z1399" s="101"/>
      <c r="AA1399" s="101"/>
      <c r="AB1399" s="101"/>
      <c r="AC1399" s="119"/>
      <c r="AD1399" s="119"/>
      <c r="AE1399" s="120"/>
      <c r="AF1399" s="119"/>
      <c r="AG1399" s="119"/>
      <c r="AH1399" s="120"/>
      <c r="AI1399" s="121"/>
      <c r="AJ1399" s="121"/>
      <c r="AK1399" s="121"/>
      <c r="AL1399" s="121"/>
      <c r="AM1399" s="122"/>
      <c r="AN1399" s="121"/>
      <c r="AP1399" s="87"/>
    </row>
    <row r="1400" spans="1:42">
      <c r="A1400" s="3"/>
      <c r="B1400" s="3"/>
      <c r="C1400" s="3"/>
      <c r="D1400" s="3"/>
      <c r="E1400" s="3"/>
      <c r="F1400" s="3"/>
      <c r="G1400" s="3"/>
      <c r="H1400" s="3"/>
      <c r="I1400" s="100"/>
      <c r="J1400" s="101"/>
      <c r="K1400" s="101"/>
      <c r="L1400" s="101"/>
      <c r="M1400" s="101"/>
      <c r="N1400" s="101"/>
      <c r="O1400" s="101"/>
      <c r="P1400" s="101"/>
      <c r="Q1400" s="101"/>
      <c r="R1400" s="101"/>
      <c r="S1400" s="101"/>
      <c r="T1400" s="101"/>
      <c r="U1400" s="101"/>
      <c r="V1400" s="101"/>
      <c r="W1400" s="101"/>
      <c r="X1400" s="101"/>
      <c r="Y1400" s="101"/>
      <c r="Z1400" s="101"/>
      <c r="AA1400" s="101"/>
      <c r="AB1400" s="101"/>
      <c r="AC1400" s="119"/>
      <c r="AD1400" s="119"/>
      <c r="AE1400" s="120"/>
      <c r="AF1400" s="119"/>
      <c r="AG1400" s="119"/>
      <c r="AH1400" s="120"/>
      <c r="AI1400" s="121"/>
      <c r="AJ1400" s="121"/>
      <c r="AK1400" s="121"/>
      <c r="AL1400" s="121"/>
      <c r="AM1400" s="122"/>
      <c r="AN1400" s="121"/>
      <c r="AP1400" s="87"/>
    </row>
    <row r="1401" spans="1:42">
      <c r="A1401" s="3"/>
      <c r="B1401" s="3"/>
      <c r="C1401" s="3"/>
      <c r="D1401" s="3"/>
      <c r="E1401" s="3"/>
      <c r="F1401" s="3"/>
      <c r="G1401" s="3"/>
      <c r="H1401" s="3"/>
      <c r="I1401" s="100"/>
      <c r="J1401" s="101"/>
      <c r="K1401" s="101"/>
      <c r="L1401" s="101"/>
      <c r="M1401" s="101"/>
      <c r="N1401" s="101"/>
      <c r="O1401" s="101"/>
      <c r="P1401" s="101"/>
      <c r="Q1401" s="101"/>
      <c r="R1401" s="101"/>
      <c r="S1401" s="101"/>
      <c r="T1401" s="101"/>
      <c r="U1401" s="101"/>
      <c r="V1401" s="101"/>
      <c r="W1401" s="101"/>
      <c r="X1401" s="101"/>
      <c r="Y1401" s="101"/>
      <c r="Z1401" s="101"/>
      <c r="AA1401" s="101"/>
      <c r="AB1401" s="101"/>
      <c r="AC1401" s="119"/>
      <c r="AD1401" s="119"/>
      <c r="AE1401" s="120"/>
      <c r="AF1401" s="119"/>
      <c r="AG1401" s="119"/>
      <c r="AH1401" s="120"/>
      <c r="AI1401" s="121"/>
      <c r="AJ1401" s="121"/>
      <c r="AK1401" s="121"/>
      <c r="AL1401" s="121"/>
      <c r="AM1401" s="122"/>
      <c r="AN1401" s="121"/>
      <c r="AP1401" s="87"/>
    </row>
    <row r="1402" spans="1:42">
      <c r="A1402" s="3"/>
      <c r="B1402" s="3"/>
      <c r="C1402" s="3"/>
      <c r="D1402" s="3"/>
      <c r="E1402" s="3"/>
      <c r="F1402" s="3"/>
      <c r="G1402" s="3"/>
      <c r="H1402" s="3"/>
      <c r="I1402" s="100"/>
      <c r="J1402" s="101"/>
      <c r="K1402" s="101"/>
      <c r="L1402" s="101"/>
      <c r="M1402" s="101"/>
      <c r="N1402" s="101"/>
      <c r="O1402" s="101"/>
      <c r="P1402" s="101"/>
      <c r="Q1402" s="101"/>
      <c r="R1402" s="101"/>
      <c r="S1402" s="101"/>
      <c r="T1402" s="101"/>
      <c r="U1402" s="101"/>
      <c r="V1402" s="101"/>
      <c r="W1402" s="101"/>
      <c r="X1402" s="101"/>
      <c r="Y1402" s="101"/>
      <c r="Z1402" s="101"/>
      <c r="AA1402" s="101"/>
      <c r="AB1402" s="101"/>
      <c r="AC1402" s="119"/>
      <c r="AD1402" s="119"/>
      <c r="AE1402" s="120"/>
      <c r="AF1402" s="119"/>
      <c r="AG1402" s="119"/>
      <c r="AH1402" s="120"/>
      <c r="AI1402" s="121"/>
      <c r="AJ1402" s="121"/>
      <c r="AK1402" s="121"/>
      <c r="AL1402" s="121"/>
      <c r="AM1402" s="122"/>
      <c r="AN1402" s="121"/>
      <c r="AP1402" s="87"/>
    </row>
    <row r="1403" spans="1:42">
      <c r="A1403" s="3"/>
      <c r="B1403" s="3"/>
      <c r="C1403" s="3"/>
      <c r="D1403" s="3"/>
      <c r="E1403" s="3"/>
      <c r="F1403" s="3"/>
      <c r="G1403" s="3"/>
      <c r="H1403" s="3"/>
      <c r="I1403" s="100"/>
      <c r="J1403" s="101"/>
      <c r="K1403" s="101"/>
      <c r="L1403" s="101"/>
      <c r="M1403" s="101"/>
      <c r="N1403" s="101"/>
      <c r="O1403" s="101"/>
      <c r="P1403" s="101"/>
      <c r="Q1403" s="101"/>
      <c r="R1403" s="101"/>
      <c r="S1403" s="101"/>
      <c r="T1403" s="101"/>
      <c r="U1403" s="101"/>
      <c r="V1403" s="101"/>
      <c r="W1403" s="101"/>
      <c r="X1403" s="101"/>
      <c r="Y1403" s="101"/>
      <c r="Z1403" s="101"/>
      <c r="AA1403" s="101"/>
      <c r="AB1403" s="101"/>
      <c r="AC1403" s="119"/>
      <c r="AD1403" s="119"/>
      <c r="AE1403" s="120"/>
      <c r="AF1403" s="119"/>
      <c r="AG1403" s="119"/>
      <c r="AH1403" s="120"/>
      <c r="AI1403" s="121"/>
      <c r="AJ1403" s="121"/>
      <c r="AK1403" s="121"/>
      <c r="AL1403" s="121"/>
      <c r="AM1403" s="122"/>
      <c r="AN1403" s="121"/>
      <c r="AP1403" s="87"/>
    </row>
    <row r="1404" spans="1:42">
      <c r="A1404" s="3"/>
      <c r="B1404" s="3"/>
      <c r="C1404" s="3"/>
      <c r="D1404" s="3"/>
      <c r="E1404" s="3"/>
      <c r="F1404" s="3"/>
      <c r="G1404" s="3"/>
      <c r="H1404" s="3"/>
      <c r="I1404" s="100"/>
      <c r="J1404" s="101"/>
      <c r="K1404" s="101"/>
      <c r="L1404" s="101"/>
      <c r="M1404" s="101"/>
      <c r="N1404" s="101"/>
      <c r="O1404" s="101"/>
      <c r="P1404" s="101"/>
      <c r="Q1404" s="101"/>
      <c r="R1404" s="101"/>
      <c r="S1404" s="101"/>
      <c r="T1404" s="101"/>
      <c r="U1404" s="101"/>
      <c r="V1404" s="101"/>
      <c r="W1404" s="101"/>
      <c r="X1404" s="101"/>
      <c r="Y1404" s="101"/>
      <c r="Z1404" s="101"/>
      <c r="AA1404" s="101"/>
      <c r="AB1404" s="101"/>
      <c r="AC1404" s="119"/>
      <c r="AD1404" s="119"/>
      <c r="AE1404" s="120"/>
      <c r="AF1404" s="119"/>
      <c r="AG1404" s="119"/>
      <c r="AH1404" s="120"/>
      <c r="AI1404" s="121"/>
      <c r="AJ1404" s="121"/>
      <c r="AK1404" s="121"/>
      <c r="AL1404" s="121"/>
      <c r="AM1404" s="122"/>
      <c r="AN1404" s="121"/>
      <c r="AP1404" s="87"/>
    </row>
    <row r="1405" spans="1:42">
      <c r="A1405" s="3"/>
      <c r="B1405" s="3"/>
      <c r="C1405" s="3"/>
      <c r="D1405" s="3"/>
      <c r="E1405" s="3"/>
      <c r="F1405" s="3"/>
      <c r="G1405" s="3"/>
      <c r="H1405" s="3"/>
      <c r="I1405" s="100"/>
      <c r="J1405" s="101"/>
      <c r="K1405" s="101"/>
      <c r="L1405" s="101"/>
      <c r="M1405" s="101"/>
      <c r="N1405" s="101"/>
      <c r="O1405" s="101"/>
      <c r="P1405" s="101"/>
      <c r="Q1405" s="101"/>
      <c r="R1405" s="101"/>
      <c r="S1405" s="101"/>
      <c r="T1405" s="101"/>
      <c r="U1405" s="101"/>
      <c r="V1405" s="101"/>
      <c r="W1405" s="101"/>
      <c r="X1405" s="101"/>
      <c r="Y1405" s="101"/>
      <c r="Z1405" s="101"/>
      <c r="AA1405" s="101"/>
      <c r="AB1405" s="101"/>
      <c r="AC1405" s="119"/>
      <c r="AD1405" s="119"/>
      <c r="AE1405" s="120"/>
      <c r="AF1405" s="119"/>
      <c r="AG1405" s="119"/>
      <c r="AH1405" s="120"/>
      <c r="AI1405" s="121"/>
      <c r="AJ1405" s="121"/>
      <c r="AK1405" s="121"/>
      <c r="AL1405" s="121"/>
      <c r="AM1405" s="122"/>
      <c r="AN1405" s="121"/>
      <c r="AP1405" s="87"/>
    </row>
    <row r="1406" spans="1:42">
      <c r="A1406" s="3"/>
      <c r="B1406" s="3"/>
      <c r="C1406" s="3"/>
      <c r="D1406" s="3"/>
      <c r="E1406" s="3"/>
      <c r="F1406" s="3"/>
      <c r="G1406" s="3"/>
      <c r="H1406" s="3"/>
      <c r="I1406" s="100"/>
      <c r="J1406" s="101"/>
      <c r="K1406" s="101"/>
      <c r="L1406" s="101"/>
      <c r="M1406" s="101"/>
      <c r="N1406" s="101"/>
      <c r="O1406" s="101"/>
      <c r="P1406" s="101"/>
      <c r="Q1406" s="101"/>
      <c r="R1406" s="101"/>
      <c r="S1406" s="101"/>
      <c r="T1406" s="101"/>
      <c r="U1406" s="101"/>
      <c r="V1406" s="101"/>
      <c r="W1406" s="101"/>
      <c r="X1406" s="101"/>
      <c r="Y1406" s="101"/>
      <c r="Z1406" s="101"/>
      <c r="AA1406" s="101"/>
      <c r="AB1406" s="101"/>
      <c r="AC1406" s="119"/>
      <c r="AD1406" s="119"/>
      <c r="AE1406" s="120"/>
      <c r="AF1406" s="119"/>
      <c r="AG1406" s="119"/>
      <c r="AH1406" s="120"/>
      <c r="AI1406" s="121"/>
      <c r="AJ1406" s="121"/>
      <c r="AK1406" s="121"/>
      <c r="AL1406" s="121"/>
      <c r="AM1406" s="122"/>
      <c r="AN1406" s="121"/>
      <c r="AP1406" s="87"/>
    </row>
    <row r="1407" spans="1:42">
      <c r="A1407" s="3"/>
      <c r="B1407" s="3"/>
      <c r="C1407" s="3"/>
      <c r="D1407" s="3"/>
      <c r="E1407" s="3"/>
      <c r="F1407" s="3"/>
      <c r="G1407" s="3"/>
      <c r="H1407" s="3"/>
      <c r="I1407" s="100"/>
      <c r="J1407" s="101"/>
      <c r="K1407" s="101"/>
      <c r="L1407" s="101"/>
      <c r="M1407" s="101"/>
      <c r="N1407" s="101"/>
      <c r="O1407" s="101"/>
      <c r="P1407" s="101"/>
      <c r="Q1407" s="101"/>
      <c r="R1407" s="101"/>
      <c r="S1407" s="101"/>
      <c r="T1407" s="101"/>
      <c r="U1407" s="101"/>
      <c r="V1407" s="101"/>
      <c r="W1407" s="101"/>
      <c r="X1407" s="101"/>
      <c r="Y1407" s="101"/>
      <c r="Z1407" s="101"/>
      <c r="AA1407" s="101"/>
      <c r="AB1407" s="101"/>
      <c r="AC1407" s="119"/>
      <c r="AD1407" s="119"/>
      <c r="AE1407" s="120"/>
      <c r="AF1407" s="119"/>
      <c r="AG1407" s="119"/>
      <c r="AH1407" s="120"/>
      <c r="AI1407" s="121"/>
      <c r="AJ1407" s="121"/>
      <c r="AK1407" s="121"/>
      <c r="AL1407" s="121"/>
      <c r="AM1407" s="122"/>
      <c r="AN1407" s="121"/>
      <c r="AP1407" s="87"/>
    </row>
    <row r="1408" spans="1:42">
      <c r="A1408" s="3"/>
      <c r="B1408" s="3"/>
      <c r="C1408" s="3"/>
      <c r="D1408" s="3"/>
      <c r="E1408" s="3"/>
      <c r="F1408" s="3"/>
      <c r="G1408" s="3"/>
      <c r="H1408" s="3"/>
      <c r="I1408" s="100"/>
      <c r="J1408" s="101"/>
      <c r="K1408" s="101"/>
      <c r="L1408" s="101"/>
      <c r="M1408" s="101"/>
      <c r="N1408" s="101"/>
      <c r="O1408" s="101"/>
      <c r="P1408" s="101"/>
      <c r="Q1408" s="101"/>
      <c r="R1408" s="101"/>
      <c r="S1408" s="101"/>
      <c r="T1408" s="101"/>
      <c r="U1408" s="101"/>
      <c r="V1408" s="101"/>
      <c r="W1408" s="101"/>
      <c r="X1408" s="101"/>
      <c r="Y1408" s="101"/>
      <c r="Z1408" s="101"/>
      <c r="AA1408" s="101"/>
      <c r="AB1408" s="101"/>
      <c r="AC1408" s="119"/>
      <c r="AD1408" s="119"/>
      <c r="AE1408" s="120"/>
      <c r="AF1408" s="119"/>
      <c r="AG1408" s="119"/>
      <c r="AH1408" s="120"/>
      <c r="AI1408" s="121"/>
      <c r="AJ1408" s="121"/>
      <c r="AK1408" s="121"/>
      <c r="AL1408" s="121"/>
      <c r="AM1408" s="122"/>
      <c r="AN1408" s="121"/>
      <c r="AP1408" s="87"/>
    </row>
    <row r="1409" spans="1:42">
      <c r="A1409" s="3"/>
      <c r="B1409" s="3"/>
      <c r="C1409" s="3"/>
      <c r="D1409" s="3"/>
      <c r="E1409" s="3"/>
      <c r="F1409" s="3"/>
      <c r="G1409" s="3"/>
      <c r="H1409" s="3"/>
      <c r="I1409" s="100"/>
      <c r="J1409" s="101"/>
      <c r="K1409" s="101"/>
      <c r="L1409" s="101"/>
      <c r="M1409" s="101"/>
      <c r="N1409" s="101"/>
      <c r="O1409" s="101"/>
      <c r="P1409" s="101"/>
      <c r="Q1409" s="101"/>
      <c r="R1409" s="101"/>
      <c r="S1409" s="101"/>
      <c r="T1409" s="101"/>
      <c r="U1409" s="101"/>
      <c r="V1409" s="101"/>
      <c r="W1409" s="101"/>
      <c r="X1409" s="101"/>
      <c r="Y1409" s="101"/>
      <c r="Z1409" s="101"/>
      <c r="AA1409" s="101"/>
      <c r="AB1409" s="101"/>
      <c r="AC1409" s="119"/>
      <c r="AD1409" s="119"/>
      <c r="AE1409" s="120"/>
      <c r="AF1409" s="119"/>
      <c r="AG1409" s="119"/>
      <c r="AH1409" s="120"/>
      <c r="AI1409" s="121"/>
      <c r="AJ1409" s="121"/>
      <c r="AK1409" s="121"/>
      <c r="AL1409" s="121"/>
      <c r="AM1409" s="122"/>
      <c r="AN1409" s="121"/>
      <c r="AP1409" s="87"/>
    </row>
    <row r="1410" spans="1:42">
      <c r="A1410" s="3"/>
      <c r="B1410" s="3"/>
      <c r="C1410" s="3"/>
      <c r="D1410" s="3"/>
      <c r="E1410" s="3"/>
      <c r="F1410" s="3"/>
      <c r="G1410" s="3"/>
      <c r="H1410" s="3"/>
      <c r="I1410" s="100"/>
      <c r="J1410" s="101"/>
      <c r="K1410" s="101"/>
      <c r="L1410" s="101"/>
      <c r="M1410" s="101"/>
      <c r="N1410" s="101"/>
      <c r="O1410" s="101"/>
      <c r="P1410" s="101"/>
      <c r="Q1410" s="101"/>
      <c r="R1410" s="101"/>
      <c r="S1410" s="101"/>
      <c r="T1410" s="101"/>
      <c r="U1410" s="101"/>
      <c r="V1410" s="101"/>
      <c r="W1410" s="101"/>
      <c r="X1410" s="101"/>
      <c r="Y1410" s="101"/>
      <c r="Z1410" s="101"/>
      <c r="AA1410" s="101"/>
      <c r="AB1410" s="101"/>
      <c r="AC1410" s="119"/>
      <c r="AD1410" s="119"/>
      <c r="AE1410" s="120"/>
      <c r="AF1410" s="119"/>
      <c r="AG1410" s="119"/>
      <c r="AH1410" s="120"/>
      <c r="AI1410" s="121"/>
      <c r="AJ1410" s="121"/>
      <c r="AK1410" s="121"/>
      <c r="AL1410" s="121"/>
      <c r="AM1410" s="122"/>
      <c r="AN1410" s="121"/>
      <c r="AP1410" s="87"/>
    </row>
    <row r="1411" spans="1:42">
      <c r="A1411" s="3"/>
      <c r="B1411" s="3"/>
      <c r="C1411" s="3"/>
      <c r="D1411" s="3"/>
      <c r="E1411" s="3"/>
      <c r="F1411" s="3"/>
      <c r="G1411" s="3"/>
      <c r="H1411" s="3"/>
      <c r="I1411" s="100"/>
      <c r="J1411" s="101"/>
      <c r="K1411" s="101"/>
      <c r="L1411" s="101"/>
      <c r="M1411" s="101"/>
      <c r="N1411" s="101"/>
      <c r="O1411" s="101"/>
      <c r="P1411" s="101"/>
      <c r="Q1411" s="101"/>
      <c r="R1411" s="101"/>
      <c r="S1411" s="101"/>
      <c r="T1411" s="101"/>
      <c r="U1411" s="101"/>
      <c r="V1411" s="101"/>
      <c r="W1411" s="101"/>
      <c r="X1411" s="101"/>
      <c r="Y1411" s="101"/>
      <c r="Z1411" s="101"/>
      <c r="AA1411" s="101"/>
      <c r="AB1411" s="101"/>
      <c r="AC1411" s="119"/>
      <c r="AD1411" s="119"/>
      <c r="AE1411" s="120"/>
      <c r="AF1411" s="119"/>
      <c r="AG1411" s="119"/>
      <c r="AH1411" s="120"/>
      <c r="AI1411" s="121"/>
      <c r="AJ1411" s="121"/>
      <c r="AK1411" s="121"/>
      <c r="AL1411" s="121"/>
      <c r="AM1411" s="122"/>
      <c r="AN1411" s="121"/>
      <c r="AP1411" s="87"/>
    </row>
    <row r="1412" spans="1:42">
      <c r="A1412" s="3"/>
      <c r="B1412" s="3"/>
      <c r="C1412" s="3"/>
      <c r="D1412" s="3"/>
      <c r="E1412" s="3"/>
      <c r="F1412" s="3"/>
      <c r="G1412" s="3"/>
      <c r="H1412" s="3"/>
      <c r="I1412" s="100"/>
      <c r="J1412" s="101"/>
      <c r="K1412" s="101"/>
      <c r="L1412" s="101"/>
      <c r="M1412" s="101"/>
      <c r="N1412" s="101"/>
      <c r="O1412" s="101"/>
      <c r="P1412" s="101"/>
      <c r="Q1412" s="101"/>
      <c r="R1412" s="101"/>
      <c r="S1412" s="101"/>
      <c r="T1412" s="101"/>
      <c r="U1412" s="101"/>
      <c r="V1412" s="101"/>
      <c r="W1412" s="101"/>
      <c r="X1412" s="101"/>
      <c r="Y1412" s="101"/>
      <c r="Z1412" s="101"/>
      <c r="AA1412" s="101"/>
      <c r="AB1412" s="101"/>
      <c r="AC1412" s="119"/>
      <c r="AD1412" s="119"/>
      <c r="AE1412" s="120"/>
      <c r="AF1412" s="119"/>
      <c r="AG1412" s="119"/>
      <c r="AH1412" s="120"/>
      <c r="AI1412" s="121"/>
      <c r="AJ1412" s="121"/>
      <c r="AK1412" s="121"/>
      <c r="AL1412" s="121"/>
      <c r="AM1412" s="122"/>
      <c r="AN1412" s="121"/>
      <c r="AP1412" s="87"/>
    </row>
    <row r="1413" spans="1:42">
      <c r="A1413" s="3"/>
      <c r="B1413" s="3"/>
      <c r="C1413" s="3"/>
      <c r="D1413" s="3"/>
      <c r="E1413" s="3"/>
      <c r="F1413" s="3"/>
      <c r="G1413" s="3"/>
      <c r="H1413" s="3"/>
      <c r="I1413" s="100"/>
      <c r="J1413" s="101"/>
      <c r="K1413" s="101"/>
      <c r="L1413" s="101"/>
      <c r="M1413" s="101"/>
      <c r="N1413" s="101"/>
      <c r="O1413" s="101"/>
      <c r="P1413" s="101"/>
      <c r="Q1413" s="101"/>
      <c r="R1413" s="101"/>
      <c r="S1413" s="101"/>
      <c r="T1413" s="101"/>
      <c r="U1413" s="101"/>
      <c r="V1413" s="101"/>
      <c r="W1413" s="101"/>
      <c r="X1413" s="101"/>
      <c r="Y1413" s="101"/>
      <c r="Z1413" s="101"/>
      <c r="AA1413" s="101"/>
      <c r="AB1413" s="101"/>
      <c r="AC1413" s="119"/>
      <c r="AD1413" s="119"/>
      <c r="AE1413" s="120"/>
      <c r="AF1413" s="119"/>
      <c r="AG1413" s="119"/>
      <c r="AH1413" s="120"/>
      <c r="AI1413" s="121"/>
      <c r="AJ1413" s="121"/>
      <c r="AK1413" s="121"/>
      <c r="AL1413" s="121"/>
      <c r="AM1413" s="122"/>
      <c r="AN1413" s="121"/>
      <c r="AP1413" s="87"/>
    </row>
    <row r="1414" spans="1:42">
      <c r="A1414" s="3"/>
      <c r="B1414" s="3"/>
      <c r="C1414" s="3"/>
      <c r="D1414" s="3"/>
      <c r="E1414" s="3"/>
      <c r="F1414" s="3"/>
      <c r="G1414" s="3"/>
      <c r="H1414" s="3"/>
      <c r="I1414" s="100"/>
      <c r="J1414" s="101"/>
      <c r="K1414" s="101"/>
      <c r="L1414" s="101"/>
      <c r="M1414" s="101"/>
      <c r="N1414" s="101"/>
      <c r="O1414" s="101"/>
      <c r="P1414" s="101"/>
      <c r="Q1414" s="101"/>
      <c r="R1414" s="101"/>
      <c r="S1414" s="101"/>
      <c r="T1414" s="101"/>
      <c r="U1414" s="101"/>
      <c r="V1414" s="101"/>
      <c r="W1414" s="101"/>
      <c r="X1414" s="101"/>
      <c r="Y1414" s="101"/>
      <c r="Z1414" s="101"/>
      <c r="AA1414" s="101"/>
      <c r="AB1414" s="101"/>
      <c r="AC1414" s="119"/>
      <c r="AD1414" s="119"/>
      <c r="AE1414" s="120"/>
      <c r="AF1414" s="119"/>
      <c r="AG1414" s="119"/>
      <c r="AH1414" s="120"/>
      <c r="AI1414" s="121"/>
      <c r="AJ1414" s="121"/>
      <c r="AK1414" s="121"/>
      <c r="AL1414" s="121"/>
      <c r="AM1414" s="122"/>
      <c r="AN1414" s="121"/>
      <c r="AP1414" s="87"/>
    </row>
    <row r="1415" spans="1:42">
      <c r="A1415" s="3"/>
      <c r="B1415" s="3"/>
      <c r="C1415" s="3"/>
      <c r="D1415" s="3"/>
      <c r="E1415" s="3"/>
      <c r="F1415" s="3"/>
      <c r="G1415" s="3"/>
      <c r="H1415" s="3"/>
      <c r="I1415" s="100"/>
      <c r="J1415" s="101"/>
      <c r="K1415" s="101"/>
      <c r="L1415" s="101"/>
      <c r="M1415" s="101"/>
      <c r="N1415" s="101"/>
      <c r="O1415" s="101"/>
      <c r="P1415" s="101"/>
      <c r="Q1415" s="101"/>
      <c r="R1415" s="101"/>
      <c r="S1415" s="101"/>
      <c r="T1415" s="101"/>
      <c r="U1415" s="101"/>
      <c r="V1415" s="101"/>
      <c r="W1415" s="101"/>
      <c r="X1415" s="101"/>
      <c r="Y1415" s="101"/>
      <c r="Z1415" s="101"/>
      <c r="AA1415" s="101"/>
      <c r="AB1415" s="101"/>
      <c r="AC1415" s="119"/>
      <c r="AD1415" s="119"/>
      <c r="AE1415" s="120"/>
      <c r="AF1415" s="119"/>
      <c r="AG1415" s="119"/>
      <c r="AH1415" s="120"/>
      <c r="AI1415" s="121"/>
      <c r="AJ1415" s="121"/>
      <c r="AK1415" s="121"/>
      <c r="AL1415" s="121"/>
      <c r="AM1415" s="122"/>
      <c r="AN1415" s="121"/>
      <c r="AP1415" s="87"/>
    </row>
    <row r="1416" spans="1:42">
      <c r="A1416" s="3"/>
      <c r="B1416" s="3"/>
      <c r="C1416" s="3"/>
      <c r="D1416" s="3"/>
      <c r="E1416" s="3"/>
      <c r="F1416" s="3"/>
      <c r="G1416" s="3"/>
      <c r="H1416" s="3"/>
      <c r="I1416" s="100"/>
      <c r="J1416" s="101"/>
      <c r="K1416" s="101"/>
      <c r="L1416" s="101"/>
      <c r="M1416" s="101"/>
      <c r="N1416" s="101"/>
      <c r="O1416" s="101"/>
      <c r="P1416" s="101"/>
      <c r="Q1416" s="101"/>
      <c r="R1416" s="101"/>
      <c r="S1416" s="101"/>
      <c r="T1416" s="101"/>
      <c r="U1416" s="101"/>
      <c r="V1416" s="101"/>
      <c r="W1416" s="101"/>
      <c r="X1416" s="101"/>
      <c r="Y1416" s="101"/>
      <c r="Z1416" s="101"/>
      <c r="AA1416" s="101"/>
      <c r="AB1416" s="101"/>
      <c r="AC1416" s="119"/>
      <c r="AD1416" s="119"/>
      <c r="AE1416" s="120"/>
      <c r="AF1416" s="119"/>
      <c r="AG1416" s="119"/>
      <c r="AH1416" s="120"/>
      <c r="AI1416" s="121"/>
      <c r="AJ1416" s="121"/>
      <c r="AK1416" s="121"/>
      <c r="AL1416" s="121"/>
      <c r="AM1416" s="122"/>
      <c r="AN1416" s="121"/>
      <c r="AP1416" s="87"/>
    </row>
    <row r="1417" spans="1:42">
      <c r="A1417" s="3"/>
      <c r="B1417" s="3"/>
      <c r="C1417" s="3"/>
      <c r="D1417" s="3"/>
      <c r="E1417" s="3"/>
      <c r="F1417" s="3"/>
      <c r="G1417" s="3"/>
      <c r="H1417" s="3"/>
      <c r="I1417" s="100"/>
      <c r="J1417" s="101"/>
      <c r="K1417" s="101"/>
      <c r="L1417" s="101"/>
      <c r="M1417" s="101"/>
      <c r="N1417" s="101"/>
      <c r="O1417" s="101"/>
      <c r="P1417" s="101"/>
      <c r="Q1417" s="101"/>
      <c r="R1417" s="101"/>
      <c r="S1417" s="101"/>
      <c r="T1417" s="101"/>
      <c r="U1417" s="101"/>
      <c r="V1417" s="101"/>
      <c r="W1417" s="101"/>
      <c r="X1417" s="101"/>
      <c r="Y1417" s="101"/>
      <c r="Z1417" s="101"/>
      <c r="AA1417" s="101"/>
      <c r="AB1417" s="101"/>
      <c r="AC1417" s="119"/>
      <c r="AD1417" s="119"/>
      <c r="AE1417" s="120"/>
      <c r="AF1417" s="119"/>
      <c r="AG1417" s="119"/>
      <c r="AH1417" s="120"/>
      <c r="AI1417" s="121"/>
      <c r="AJ1417" s="121"/>
      <c r="AK1417" s="121"/>
      <c r="AL1417" s="121"/>
      <c r="AM1417" s="122"/>
      <c r="AN1417" s="121"/>
      <c r="AP1417" s="87"/>
    </row>
    <row r="1418" spans="1:42">
      <c r="A1418" s="3"/>
      <c r="B1418" s="3"/>
      <c r="C1418" s="3"/>
      <c r="D1418" s="3"/>
      <c r="E1418" s="3"/>
      <c r="F1418" s="3"/>
      <c r="G1418" s="3"/>
      <c r="H1418" s="3"/>
      <c r="I1418" s="100"/>
      <c r="J1418" s="101"/>
      <c r="K1418" s="101"/>
      <c r="L1418" s="101"/>
      <c r="M1418" s="101"/>
      <c r="N1418" s="101"/>
      <c r="O1418" s="101"/>
      <c r="P1418" s="101"/>
      <c r="Q1418" s="101"/>
      <c r="R1418" s="101"/>
      <c r="S1418" s="101"/>
      <c r="T1418" s="101"/>
      <c r="U1418" s="101"/>
      <c r="V1418" s="101"/>
      <c r="W1418" s="101"/>
      <c r="X1418" s="101"/>
      <c r="Y1418" s="101"/>
      <c r="Z1418" s="101"/>
      <c r="AA1418" s="101"/>
      <c r="AB1418" s="101"/>
      <c r="AC1418" s="119"/>
      <c r="AD1418" s="119"/>
      <c r="AE1418" s="120"/>
      <c r="AF1418" s="119"/>
      <c r="AG1418" s="119"/>
      <c r="AH1418" s="120"/>
      <c r="AI1418" s="121"/>
      <c r="AJ1418" s="121"/>
      <c r="AK1418" s="121"/>
      <c r="AL1418" s="121"/>
      <c r="AM1418" s="122"/>
      <c r="AN1418" s="121"/>
      <c r="AP1418" s="87"/>
    </row>
    <row r="1419" spans="1:42">
      <c r="A1419" s="3"/>
      <c r="B1419" s="3"/>
      <c r="C1419" s="3"/>
      <c r="D1419" s="3"/>
      <c r="E1419" s="3"/>
      <c r="F1419" s="3"/>
      <c r="G1419" s="3"/>
      <c r="H1419" s="3"/>
      <c r="I1419" s="100"/>
      <c r="J1419" s="101"/>
      <c r="K1419" s="101"/>
      <c r="L1419" s="101"/>
      <c r="M1419" s="101"/>
      <c r="N1419" s="101"/>
      <c r="O1419" s="101"/>
      <c r="P1419" s="101"/>
      <c r="Q1419" s="101"/>
      <c r="R1419" s="101"/>
      <c r="S1419" s="101"/>
      <c r="T1419" s="101"/>
      <c r="U1419" s="101"/>
      <c r="V1419" s="101"/>
      <c r="W1419" s="101"/>
      <c r="X1419" s="101"/>
      <c r="Y1419" s="101"/>
      <c r="Z1419" s="101"/>
      <c r="AA1419" s="101"/>
      <c r="AB1419" s="101"/>
      <c r="AC1419" s="119"/>
      <c r="AD1419" s="119"/>
      <c r="AE1419" s="120"/>
      <c r="AF1419" s="119"/>
      <c r="AG1419" s="119"/>
      <c r="AH1419" s="120"/>
      <c r="AI1419" s="121"/>
      <c r="AJ1419" s="121"/>
      <c r="AK1419" s="121"/>
      <c r="AL1419" s="121"/>
      <c r="AM1419" s="122"/>
      <c r="AN1419" s="121"/>
      <c r="AP1419" s="87"/>
    </row>
    <row r="1420" spans="1:42">
      <c r="A1420" s="3"/>
      <c r="B1420" s="3"/>
      <c r="C1420" s="3"/>
      <c r="D1420" s="3"/>
      <c r="E1420" s="3"/>
      <c r="F1420" s="3"/>
      <c r="G1420" s="3"/>
      <c r="H1420" s="3"/>
      <c r="I1420" s="100"/>
      <c r="J1420" s="101"/>
      <c r="K1420" s="101"/>
      <c r="L1420" s="101"/>
      <c r="M1420" s="101"/>
      <c r="N1420" s="101"/>
      <c r="O1420" s="101"/>
      <c r="P1420" s="101"/>
      <c r="Q1420" s="101"/>
      <c r="R1420" s="101"/>
      <c r="S1420" s="101"/>
      <c r="T1420" s="101"/>
      <c r="U1420" s="101"/>
      <c r="V1420" s="101"/>
      <c r="W1420" s="101"/>
      <c r="X1420" s="101"/>
      <c r="Y1420" s="101"/>
      <c r="Z1420" s="101"/>
      <c r="AA1420" s="101"/>
      <c r="AB1420" s="101"/>
      <c r="AC1420" s="119"/>
      <c r="AD1420" s="119"/>
      <c r="AE1420" s="120"/>
      <c r="AF1420" s="119"/>
      <c r="AG1420" s="119"/>
      <c r="AH1420" s="120"/>
      <c r="AI1420" s="121"/>
      <c r="AJ1420" s="121"/>
      <c r="AK1420" s="121"/>
      <c r="AL1420" s="121"/>
      <c r="AM1420" s="122"/>
      <c r="AN1420" s="121"/>
      <c r="AP1420" s="87"/>
    </row>
    <row r="1421" spans="1:42">
      <c r="A1421" s="3"/>
      <c r="B1421" s="3"/>
      <c r="C1421" s="3"/>
      <c r="D1421" s="3"/>
      <c r="E1421" s="3"/>
      <c r="F1421" s="3"/>
      <c r="G1421" s="3"/>
      <c r="H1421" s="3"/>
      <c r="I1421" s="100"/>
      <c r="J1421" s="101"/>
      <c r="K1421" s="101"/>
      <c r="L1421" s="101"/>
      <c r="M1421" s="101"/>
      <c r="N1421" s="101"/>
      <c r="O1421" s="101"/>
      <c r="P1421" s="101"/>
      <c r="Q1421" s="101"/>
      <c r="R1421" s="101"/>
      <c r="S1421" s="101"/>
      <c r="T1421" s="101"/>
      <c r="U1421" s="101"/>
      <c r="V1421" s="101"/>
      <c r="W1421" s="101"/>
      <c r="X1421" s="101"/>
      <c r="Y1421" s="101"/>
      <c r="Z1421" s="101"/>
      <c r="AA1421" s="101"/>
      <c r="AB1421" s="101"/>
      <c r="AC1421" s="119"/>
      <c r="AD1421" s="119"/>
      <c r="AE1421" s="120"/>
      <c r="AF1421" s="119"/>
      <c r="AG1421" s="119"/>
      <c r="AH1421" s="120"/>
      <c r="AI1421" s="121"/>
      <c r="AJ1421" s="121"/>
      <c r="AK1421" s="121"/>
      <c r="AL1421" s="121"/>
      <c r="AM1421" s="122"/>
      <c r="AN1421" s="121"/>
      <c r="AP1421" s="87"/>
    </row>
    <row r="1422" spans="1:42">
      <c r="A1422" s="3"/>
      <c r="B1422" s="3"/>
      <c r="C1422" s="3"/>
      <c r="D1422" s="3"/>
      <c r="E1422" s="3"/>
      <c r="F1422" s="3"/>
      <c r="G1422" s="3"/>
      <c r="H1422" s="3"/>
      <c r="I1422" s="100"/>
      <c r="J1422" s="101"/>
      <c r="K1422" s="101"/>
      <c r="L1422" s="101"/>
      <c r="M1422" s="101"/>
      <c r="N1422" s="101"/>
      <c r="O1422" s="101"/>
      <c r="P1422" s="101"/>
      <c r="Q1422" s="101"/>
      <c r="R1422" s="101"/>
      <c r="S1422" s="101"/>
      <c r="T1422" s="101"/>
      <c r="U1422" s="101"/>
      <c r="V1422" s="101"/>
      <c r="W1422" s="101"/>
      <c r="X1422" s="101"/>
      <c r="Y1422" s="101"/>
      <c r="Z1422" s="101"/>
      <c r="AA1422" s="101"/>
      <c r="AB1422" s="101"/>
      <c r="AC1422" s="119"/>
      <c r="AD1422" s="119"/>
      <c r="AE1422" s="120"/>
      <c r="AF1422" s="119"/>
      <c r="AG1422" s="119"/>
      <c r="AH1422" s="120"/>
      <c r="AI1422" s="121"/>
      <c r="AJ1422" s="121"/>
      <c r="AK1422" s="121"/>
      <c r="AL1422" s="121"/>
      <c r="AM1422" s="122"/>
      <c r="AN1422" s="121"/>
      <c r="AP1422" s="87"/>
    </row>
    <row r="1423" spans="1:42">
      <c r="A1423" s="3"/>
      <c r="B1423" s="3"/>
      <c r="C1423" s="3"/>
      <c r="D1423" s="3"/>
      <c r="E1423" s="3"/>
      <c r="F1423" s="3"/>
      <c r="G1423" s="3"/>
      <c r="H1423" s="3"/>
      <c r="I1423" s="100"/>
      <c r="J1423" s="101"/>
      <c r="K1423" s="101"/>
      <c r="L1423" s="101"/>
      <c r="M1423" s="101"/>
      <c r="N1423" s="101"/>
      <c r="O1423" s="101"/>
      <c r="P1423" s="101"/>
      <c r="Q1423" s="101"/>
      <c r="R1423" s="101"/>
      <c r="S1423" s="101"/>
      <c r="T1423" s="101"/>
      <c r="U1423" s="101"/>
      <c r="V1423" s="101"/>
      <c r="W1423" s="101"/>
      <c r="X1423" s="101"/>
      <c r="Y1423" s="101"/>
      <c r="Z1423" s="101"/>
      <c r="AA1423" s="101"/>
      <c r="AB1423" s="101"/>
      <c r="AC1423" s="119"/>
      <c r="AD1423" s="119"/>
      <c r="AE1423" s="120"/>
      <c r="AF1423" s="119"/>
      <c r="AG1423" s="119"/>
      <c r="AH1423" s="120"/>
      <c r="AI1423" s="121"/>
      <c r="AJ1423" s="121"/>
      <c r="AK1423" s="121"/>
      <c r="AL1423" s="121"/>
      <c r="AM1423" s="122"/>
      <c r="AN1423" s="121"/>
      <c r="AP1423" s="87"/>
    </row>
    <row r="1424" spans="1:42">
      <c r="A1424" s="3"/>
      <c r="B1424" s="3"/>
      <c r="C1424" s="3"/>
      <c r="D1424" s="3"/>
      <c r="E1424" s="3"/>
      <c r="F1424" s="3"/>
      <c r="G1424" s="3"/>
      <c r="H1424" s="3"/>
      <c r="I1424" s="100"/>
      <c r="J1424" s="101"/>
      <c r="K1424" s="101"/>
      <c r="L1424" s="101"/>
      <c r="M1424" s="101"/>
      <c r="N1424" s="101"/>
      <c r="O1424" s="101"/>
      <c r="P1424" s="101"/>
      <c r="Q1424" s="101"/>
      <c r="R1424" s="101"/>
      <c r="S1424" s="101"/>
      <c r="T1424" s="101"/>
      <c r="U1424" s="101"/>
      <c r="V1424" s="101"/>
      <c r="W1424" s="101"/>
      <c r="X1424" s="101"/>
      <c r="Y1424" s="101"/>
      <c r="Z1424" s="101"/>
      <c r="AA1424" s="101"/>
      <c r="AB1424" s="101"/>
      <c r="AC1424" s="119"/>
      <c r="AD1424" s="119"/>
      <c r="AE1424" s="120"/>
      <c r="AF1424" s="119"/>
      <c r="AG1424" s="119"/>
      <c r="AH1424" s="120"/>
      <c r="AI1424" s="121"/>
      <c r="AJ1424" s="121"/>
      <c r="AK1424" s="121"/>
      <c r="AL1424" s="121"/>
      <c r="AM1424" s="122"/>
      <c r="AN1424" s="121"/>
      <c r="AP1424" s="87"/>
    </row>
    <row r="1425" spans="1:42">
      <c r="A1425" s="3"/>
      <c r="B1425" s="3"/>
      <c r="C1425" s="3"/>
      <c r="D1425" s="3"/>
      <c r="E1425" s="3"/>
      <c r="F1425" s="3"/>
      <c r="G1425" s="3"/>
      <c r="H1425" s="3"/>
      <c r="I1425" s="100"/>
      <c r="J1425" s="101"/>
      <c r="K1425" s="101"/>
      <c r="L1425" s="101"/>
      <c r="M1425" s="101"/>
      <c r="N1425" s="101"/>
      <c r="O1425" s="101"/>
      <c r="P1425" s="101"/>
      <c r="Q1425" s="101"/>
      <c r="R1425" s="101"/>
      <c r="S1425" s="101"/>
      <c r="T1425" s="101"/>
      <c r="U1425" s="101"/>
      <c r="V1425" s="101"/>
      <c r="W1425" s="101"/>
      <c r="X1425" s="101"/>
      <c r="Y1425" s="101"/>
      <c r="Z1425" s="101"/>
      <c r="AA1425" s="101"/>
      <c r="AB1425" s="101"/>
      <c r="AC1425" s="119"/>
      <c r="AD1425" s="119"/>
      <c r="AE1425" s="120"/>
      <c r="AF1425" s="119"/>
      <c r="AG1425" s="119"/>
      <c r="AH1425" s="120"/>
      <c r="AI1425" s="121"/>
      <c r="AJ1425" s="121"/>
      <c r="AK1425" s="121"/>
      <c r="AL1425" s="121"/>
      <c r="AM1425" s="122"/>
      <c r="AN1425" s="121"/>
      <c r="AP1425" s="87"/>
    </row>
    <row r="1426" spans="1:42">
      <c r="A1426" s="3"/>
      <c r="B1426" s="3"/>
      <c r="C1426" s="3"/>
      <c r="D1426" s="3"/>
      <c r="E1426" s="3"/>
      <c r="F1426" s="3"/>
      <c r="G1426" s="3"/>
      <c r="H1426" s="3"/>
      <c r="I1426" s="100"/>
      <c r="J1426" s="101"/>
      <c r="K1426" s="101"/>
      <c r="L1426" s="101"/>
      <c r="M1426" s="101"/>
      <c r="N1426" s="101"/>
      <c r="O1426" s="101"/>
      <c r="P1426" s="101"/>
      <c r="Q1426" s="101"/>
      <c r="R1426" s="101"/>
      <c r="S1426" s="101"/>
      <c r="T1426" s="101"/>
      <c r="U1426" s="101"/>
      <c r="V1426" s="101"/>
      <c r="W1426" s="101"/>
      <c r="X1426" s="101"/>
      <c r="Y1426" s="101"/>
      <c r="Z1426" s="101"/>
      <c r="AA1426" s="101"/>
      <c r="AB1426" s="101"/>
      <c r="AC1426" s="119"/>
      <c r="AD1426" s="119"/>
      <c r="AE1426" s="120"/>
      <c r="AF1426" s="119"/>
      <c r="AG1426" s="119"/>
      <c r="AH1426" s="120"/>
      <c r="AI1426" s="121"/>
      <c r="AJ1426" s="121"/>
      <c r="AK1426" s="121"/>
      <c r="AL1426" s="121"/>
      <c r="AM1426" s="122"/>
      <c r="AN1426" s="121"/>
      <c r="AP1426" s="87"/>
    </row>
    <row r="1427" spans="1:42">
      <c r="A1427" s="3"/>
      <c r="B1427" s="3"/>
      <c r="C1427" s="3"/>
      <c r="D1427" s="3"/>
      <c r="E1427" s="3"/>
      <c r="F1427" s="3"/>
      <c r="G1427" s="3"/>
      <c r="H1427" s="3"/>
      <c r="I1427" s="100"/>
      <c r="J1427" s="101"/>
      <c r="K1427" s="101"/>
      <c r="L1427" s="101"/>
      <c r="M1427" s="101"/>
      <c r="N1427" s="101"/>
      <c r="O1427" s="101"/>
      <c r="P1427" s="101"/>
      <c r="Q1427" s="101"/>
      <c r="R1427" s="101"/>
      <c r="S1427" s="101"/>
      <c r="T1427" s="101"/>
      <c r="U1427" s="101"/>
      <c r="V1427" s="101"/>
      <c r="W1427" s="101"/>
      <c r="X1427" s="101"/>
      <c r="Y1427" s="101"/>
      <c r="Z1427" s="101"/>
      <c r="AA1427" s="101"/>
      <c r="AB1427" s="101"/>
      <c r="AC1427" s="119"/>
      <c r="AD1427" s="119"/>
      <c r="AE1427" s="120"/>
      <c r="AF1427" s="119"/>
      <c r="AG1427" s="119"/>
      <c r="AH1427" s="120"/>
      <c r="AI1427" s="121"/>
      <c r="AJ1427" s="121"/>
      <c r="AK1427" s="121"/>
      <c r="AL1427" s="121"/>
      <c r="AM1427" s="122"/>
      <c r="AN1427" s="121"/>
      <c r="AP1427" s="87"/>
    </row>
    <row r="1428" spans="1:42">
      <c r="A1428" s="3"/>
      <c r="B1428" s="3"/>
      <c r="C1428" s="3"/>
      <c r="D1428" s="3"/>
      <c r="E1428" s="3"/>
      <c r="F1428" s="3"/>
      <c r="G1428" s="3"/>
      <c r="H1428" s="3"/>
      <c r="I1428" s="100"/>
      <c r="J1428" s="101"/>
      <c r="K1428" s="101"/>
      <c r="L1428" s="101"/>
      <c r="M1428" s="101"/>
      <c r="N1428" s="101"/>
      <c r="O1428" s="101"/>
      <c r="P1428" s="101"/>
      <c r="Q1428" s="101"/>
      <c r="R1428" s="101"/>
      <c r="S1428" s="101"/>
      <c r="T1428" s="101"/>
      <c r="U1428" s="101"/>
      <c r="V1428" s="101"/>
      <c r="W1428" s="101"/>
      <c r="X1428" s="101"/>
      <c r="Y1428" s="101"/>
      <c r="Z1428" s="101"/>
      <c r="AA1428" s="101"/>
      <c r="AB1428" s="101"/>
      <c r="AC1428" s="119"/>
      <c r="AD1428" s="119"/>
      <c r="AE1428" s="120"/>
      <c r="AF1428" s="119"/>
      <c r="AG1428" s="119"/>
      <c r="AH1428" s="120"/>
      <c r="AI1428" s="121"/>
      <c r="AJ1428" s="121"/>
      <c r="AK1428" s="121"/>
      <c r="AL1428" s="121"/>
      <c r="AM1428" s="122"/>
      <c r="AN1428" s="121"/>
      <c r="AP1428" s="87"/>
    </row>
    <row r="1429" spans="1:42">
      <c r="A1429" s="3"/>
      <c r="B1429" s="3"/>
      <c r="C1429" s="3"/>
      <c r="D1429" s="3"/>
      <c r="E1429" s="3"/>
      <c r="F1429" s="3"/>
      <c r="G1429" s="3"/>
      <c r="H1429" s="3"/>
      <c r="I1429" s="100"/>
      <c r="J1429" s="101"/>
      <c r="K1429" s="101"/>
      <c r="L1429" s="101"/>
      <c r="M1429" s="101"/>
      <c r="N1429" s="101"/>
      <c r="O1429" s="101"/>
      <c r="P1429" s="101"/>
      <c r="Q1429" s="101"/>
      <c r="R1429" s="101"/>
      <c r="S1429" s="101"/>
      <c r="T1429" s="101"/>
      <c r="U1429" s="101"/>
      <c r="V1429" s="101"/>
      <c r="W1429" s="101"/>
      <c r="X1429" s="101"/>
      <c r="Y1429" s="101"/>
      <c r="Z1429" s="101"/>
      <c r="AA1429" s="101"/>
      <c r="AB1429" s="101"/>
      <c r="AC1429" s="119"/>
      <c r="AD1429" s="119"/>
      <c r="AE1429" s="120"/>
      <c r="AF1429" s="119"/>
      <c r="AG1429" s="119"/>
      <c r="AH1429" s="120"/>
      <c r="AI1429" s="121"/>
      <c r="AJ1429" s="121"/>
      <c r="AK1429" s="121"/>
      <c r="AL1429" s="121"/>
      <c r="AM1429" s="122"/>
      <c r="AN1429" s="121"/>
      <c r="AP1429" s="87"/>
    </row>
    <row r="1430" spans="1:42">
      <c r="A1430" s="3"/>
      <c r="B1430" s="3"/>
      <c r="C1430" s="3"/>
      <c r="D1430" s="3"/>
      <c r="E1430" s="3"/>
      <c r="F1430" s="3"/>
      <c r="G1430" s="3"/>
      <c r="H1430" s="3"/>
      <c r="I1430" s="100"/>
      <c r="J1430" s="101"/>
      <c r="K1430" s="101"/>
      <c r="L1430" s="101"/>
      <c r="M1430" s="101"/>
      <c r="N1430" s="101"/>
      <c r="O1430" s="101"/>
      <c r="P1430" s="101"/>
      <c r="Q1430" s="101"/>
      <c r="R1430" s="101"/>
      <c r="S1430" s="101"/>
      <c r="T1430" s="101"/>
      <c r="U1430" s="101"/>
      <c r="V1430" s="101"/>
      <c r="W1430" s="101"/>
      <c r="X1430" s="101"/>
      <c r="Y1430" s="101"/>
      <c r="Z1430" s="101"/>
      <c r="AA1430" s="101"/>
      <c r="AB1430" s="101"/>
      <c r="AC1430" s="119"/>
      <c r="AD1430" s="119"/>
      <c r="AE1430" s="120"/>
      <c r="AF1430" s="119"/>
      <c r="AG1430" s="119"/>
      <c r="AH1430" s="120"/>
      <c r="AI1430" s="121"/>
      <c r="AJ1430" s="121"/>
      <c r="AK1430" s="121"/>
      <c r="AL1430" s="121"/>
      <c r="AM1430" s="122"/>
      <c r="AN1430" s="121"/>
      <c r="AP1430" s="87"/>
    </row>
    <row r="1431" spans="1:42">
      <c r="A1431" s="3"/>
      <c r="B1431" s="3"/>
      <c r="C1431" s="3"/>
      <c r="D1431" s="3"/>
      <c r="E1431" s="3"/>
      <c r="F1431" s="3"/>
      <c r="G1431" s="3"/>
      <c r="H1431" s="3"/>
      <c r="I1431" s="100"/>
      <c r="J1431" s="101"/>
      <c r="K1431" s="101"/>
      <c r="L1431" s="101"/>
      <c r="M1431" s="101"/>
      <c r="N1431" s="101"/>
      <c r="O1431" s="101"/>
      <c r="P1431" s="101"/>
      <c r="Q1431" s="101"/>
      <c r="R1431" s="101"/>
      <c r="S1431" s="101"/>
      <c r="T1431" s="101"/>
      <c r="U1431" s="101"/>
      <c r="V1431" s="101"/>
      <c r="W1431" s="101"/>
      <c r="X1431" s="101"/>
      <c r="Y1431" s="101"/>
      <c r="Z1431" s="101"/>
      <c r="AA1431" s="101"/>
      <c r="AB1431" s="101"/>
      <c r="AC1431" s="119"/>
      <c r="AD1431" s="119"/>
      <c r="AE1431" s="120"/>
      <c r="AF1431" s="119"/>
      <c r="AG1431" s="119"/>
      <c r="AH1431" s="120"/>
      <c r="AI1431" s="121"/>
      <c r="AJ1431" s="121"/>
      <c r="AK1431" s="121"/>
      <c r="AL1431" s="121"/>
      <c r="AM1431" s="122"/>
      <c r="AN1431" s="121"/>
      <c r="AP1431" s="87"/>
    </row>
    <row r="1432" spans="1:42">
      <c r="A1432" s="3"/>
      <c r="B1432" s="3"/>
      <c r="C1432" s="3"/>
      <c r="D1432" s="3"/>
      <c r="E1432" s="3"/>
      <c r="F1432" s="3"/>
      <c r="G1432" s="3"/>
      <c r="H1432" s="3"/>
      <c r="I1432" s="100"/>
      <c r="J1432" s="101"/>
      <c r="K1432" s="101"/>
      <c r="L1432" s="101"/>
      <c r="M1432" s="101"/>
      <c r="N1432" s="101"/>
      <c r="O1432" s="101"/>
      <c r="P1432" s="101"/>
      <c r="Q1432" s="101"/>
      <c r="R1432" s="101"/>
      <c r="S1432" s="101"/>
      <c r="T1432" s="101"/>
      <c r="U1432" s="101"/>
      <c r="V1432" s="101"/>
      <c r="W1432" s="101"/>
      <c r="X1432" s="101"/>
      <c r="Y1432" s="101"/>
      <c r="Z1432" s="101"/>
      <c r="AA1432" s="101"/>
      <c r="AB1432" s="101"/>
      <c r="AC1432" s="119"/>
      <c r="AD1432" s="119"/>
      <c r="AE1432" s="120"/>
      <c r="AF1432" s="119"/>
      <c r="AG1432" s="119"/>
      <c r="AH1432" s="120"/>
      <c r="AI1432" s="121"/>
      <c r="AJ1432" s="121"/>
      <c r="AK1432" s="121"/>
      <c r="AL1432" s="121"/>
      <c r="AM1432" s="122"/>
      <c r="AN1432" s="121"/>
      <c r="AP1432" s="87"/>
    </row>
    <row r="1433" spans="1:42">
      <c r="A1433" s="3"/>
      <c r="B1433" s="3"/>
      <c r="C1433" s="3"/>
      <c r="D1433" s="3"/>
      <c r="E1433" s="3"/>
      <c r="F1433" s="3"/>
      <c r="G1433" s="3"/>
      <c r="H1433" s="3"/>
      <c r="I1433" s="100"/>
      <c r="J1433" s="101"/>
      <c r="K1433" s="101"/>
      <c r="L1433" s="101"/>
      <c r="M1433" s="101"/>
      <c r="N1433" s="101"/>
      <c r="O1433" s="101"/>
      <c r="P1433" s="101"/>
      <c r="Q1433" s="101"/>
      <c r="R1433" s="101"/>
      <c r="S1433" s="101"/>
      <c r="T1433" s="101"/>
      <c r="U1433" s="101"/>
      <c r="V1433" s="101"/>
      <c r="W1433" s="101"/>
      <c r="X1433" s="101"/>
      <c r="Y1433" s="101"/>
      <c r="Z1433" s="101"/>
      <c r="AA1433" s="101"/>
      <c r="AB1433" s="101"/>
      <c r="AC1433" s="119"/>
      <c r="AD1433" s="119"/>
      <c r="AE1433" s="120"/>
      <c r="AF1433" s="119"/>
      <c r="AG1433" s="119"/>
      <c r="AH1433" s="120"/>
      <c r="AI1433" s="121"/>
      <c r="AJ1433" s="121"/>
      <c r="AK1433" s="121"/>
      <c r="AL1433" s="121"/>
      <c r="AM1433" s="122"/>
      <c r="AN1433" s="121"/>
      <c r="AP1433" s="87"/>
    </row>
    <row r="1434" spans="1:42">
      <c r="A1434" s="3"/>
      <c r="B1434" s="3"/>
      <c r="C1434" s="3"/>
      <c r="D1434" s="3"/>
      <c r="E1434" s="3"/>
      <c r="F1434" s="3"/>
      <c r="G1434" s="3"/>
      <c r="H1434" s="3"/>
      <c r="I1434" s="100"/>
      <c r="J1434" s="101"/>
      <c r="K1434" s="101"/>
      <c r="L1434" s="101"/>
      <c r="M1434" s="101"/>
      <c r="N1434" s="101"/>
      <c r="O1434" s="101"/>
      <c r="P1434" s="101"/>
      <c r="Q1434" s="101"/>
      <c r="R1434" s="101"/>
      <c r="S1434" s="101"/>
      <c r="T1434" s="101"/>
      <c r="U1434" s="101"/>
      <c r="V1434" s="101"/>
      <c r="W1434" s="101"/>
      <c r="X1434" s="101"/>
      <c r="Y1434" s="101"/>
      <c r="Z1434" s="101"/>
      <c r="AA1434" s="101"/>
      <c r="AB1434" s="101"/>
      <c r="AC1434" s="119"/>
      <c r="AD1434" s="119"/>
      <c r="AE1434" s="120"/>
      <c r="AF1434" s="119"/>
      <c r="AG1434" s="119"/>
      <c r="AH1434" s="120"/>
      <c r="AI1434" s="121"/>
      <c r="AJ1434" s="121"/>
      <c r="AK1434" s="121"/>
      <c r="AL1434" s="121"/>
      <c r="AM1434" s="122"/>
      <c r="AN1434" s="121"/>
      <c r="AP1434" s="87"/>
    </row>
    <row r="1435" spans="1:42">
      <c r="A1435" s="3"/>
      <c r="B1435" s="3"/>
      <c r="C1435" s="3"/>
      <c r="D1435" s="3"/>
      <c r="E1435" s="3"/>
      <c r="F1435" s="3"/>
      <c r="G1435" s="3"/>
      <c r="H1435" s="3"/>
      <c r="I1435" s="100"/>
      <c r="J1435" s="101"/>
      <c r="K1435" s="101"/>
      <c r="L1435" s="101"/>
      <c r="M1435" s="101"/>
      <c r="N1435" s="101"/>
      <c r="O1435" s="101"/>
      <c r="P1435" s="101"/>
      <c r="Q1435" s="101"/>
      <c r="R1435" s="101"/>
      <c r="S1435" s="101"/>
      <c r="T1435" s="101"/>
      <c r="U1435" s="101"/>
      <c r="V1435" s="101"/>
      <c r="W1435" s="101"/>
      <c r="X1435" s="101"/>
      <c r="Y1435" s="101"/>
      <c r="Z1435" s="101"/>
      <c r="AA1435" s="101"/>
      <c r="AB1435" s="101"/>
      <c r="AC1435" s="119"/>
      <c r="AD1435" s="119"/>
      <c r="AE1435" s="120"/>
      <c r="AF1435" s="119"/>
      <c r="AG1435" s="119"/>
      <c r="AH1435" s="120"/>
      <c r="AI1435" s="121"/>
      <c r="AJ1435" s="121"/>
      <c r="AK1435" s="121"/>
      <c r="AL1435" s="121"/>
      <c r="AM1435" s="122"/>
      <c r="AN1435" s="121"/>
      <c r="AP1435" s="87"/>
    </row>
    <row r="1436" spans="1:42">
      <c r="A1436" s="3"/>
      <c r="B1436" s="3"/>
      <c r="C1436" s="3"/>
      <c r="D1436" s="3"/>
      <c r="E1436" s="3"/>
      <c r="F1436" s="3"/>
      <c r="G1436" s="3"/>
      <c r="H1436" s="3"/>
      <c r="I1436" s="100"/>
      <c r="J1436" s="101"/>
      <c r="K1436" s="101"/>
      <c r="L1436" s="101"/>
      <c r="M1436" s="101"/>
      <c r="N1436" s="101"/>
      <c r="O1436" s="101"/>
      <c r="P1436" s="101"/>
      <c r="Q1436" s="101"/>
      <c r="R1436" s="101"/>
      <c r="S1436" s="101"/>
      <c r="T1436" s="101"/>
      <c r="U1436" s="101"/>
      <c r="V1436" s="101"/>
      <c r="W1436" s="101"/>
      <c r="X1436" s="101"/>
      <c r="Y1436" s="101"/>
      <c r="Z1436" s="101"/>
      <c r="AA1436" s="101"/>
      <c r="AB1436" s="101"/>
      <c r="AC1436" s="119"/>
      <c r="AD1436" s="119"/>
      <c r="AE1436" s="120"/>
      <c r="AF1436" s="119"/>
      <c r="AG1436" s="119"/>
      <c r="AH1436" s="120"/>
      <c r="AI1436" s="121"/>
      <c r="AJ1436" s="121"/>
      <c r="AK1436" s="121"/>
      <c r="AL1436" s="121"/>
      <c r="AM1436" s="122"/>
      <c r="AN1436" s="121"/>
      <c r="AP1436" s="87"/>
    </row>
    <row r="1437" spans="1:42">
      <c r="A1437" s="3"/>
      <c r="B1437" s="3"/>
      <c r="C1437" s="3"/>
      <c r="D1437" s="3"/>
      <c r="E1437" s="3"/>
      <c r="F1437" s="3"/>
      <c r="G1437" s="3"/>
      <c r="H1437" s="3"/>
      <c r="I1437" s="100"/>
      <c r="J1437" s="101"/>
      <c r="K1437" s="101"/>
      <c r="L1437" s="101"/>
      <c r="M1437" s="101"/>
      <c r="N1437" s="101"/>
      <c r="O1437" s="101"/>
      <c r="P1437" s="101"/>
      <c r="Q1437" s="101"/>
      <c r="R1437" s="101"/>
      <c r="S1437" s="101"/>
      <c r="T1437" s="101"/>
      <c r="U1437" s="101"/>
      <c r="V1437" s="101"/>
      <c r="W1437" s="101"/>
      <c r="X1437" s="101"/>
      <c r="Y1437" s="101"/>
      <c r="Z1437" s="101"/>
      <c r="AA1437" s="101"/>
      <c r="AB1437" s="101"/>
      <c r="AC1437" s="119"/>
      <c r="AD1437" s="119"/>
      <c r="AE1437" s="120"/>
      <c r="AF1437" s="119"/>
      <c r="AG1437" s="119"/>
      <c r="AH1437" s="120"/>
      <c r="AI1437" s="121"/>
      <c r="AJ1437" s="121"/>
      <c r="AK1437" s="121"/>
      <c r="AL1437" s="121"/>
      <c r="AM1437" s="122"/>
      <c r="AN1437" s="121"/>
      <c r="AP1437" s="87"/>
    </row>
    <row r="1438" spans="1:42">
      <c r="A1438" s="3"/>
      <c r="B1438" s="3"/>
      <c r="C1438" s="3"/>
      <c r="D1438" s="3"/>
      <c r="E1438" s="3"/>
      <c r="F1438" s="3"/>
      <c r="G1438" s="3"/>
      <c r="H1438" s="3"/>
      <c r="I1438" s="100"/>
      <c r="J1438" s="101"/>
      <c r="K1438" s="101"/>
      <c r="L1438" s="101"/>
      <c r="M1438" s="101"/>
      <c r="N1438" s="101"/>
      <c r="O1438" s="101"/>
      <c r="P1438" s="101"/>
      <c r="Q1438" s="101"/>
      <c r="R1438" s="101"/>
      <c r="S1438" s="101"/>
      <c r="T1438" s="101"/>
      <c r="U1438" s="101"/>
      <c r="V1438" s="101"/>
      <c r="W1438" s="101"/>
      <c r="X1438" s="101"/>
      <c r="Y1438" s="101"/>
      <c r="Z1438" s="101"/>
      <c r="AA1438" s="101"/>
      <c r="AB1438" s="101"/>
      <c r="AC1438" s="119"/>
      <c r="AD1438" s="119"/>
      <c r="AE1438" s="120"/>
      <c r="AF1438" s="119"/>
      <c r="AG1438" s="119"/>
      <c r="AH1438" s="120"/>
      <c r="AI1438" s="121"/>
      <c r="AJ1438" s="121"/>
      <c r="AK1438" s="121"/>
      <c r="AL1438" s="121"/>
      <c r="AM1438" s="122"/>
      <c r="AN1438" s="121"/>
      <c r="AP1438" s="87"/>
    </row>
    <row r="1439" spans="1:42">
      <c r="A1439" s="3"/>
      <c r="B1439" s="3"/>
      <c r="C1439" s="3"/>
      <c r="D1439" s="3"/>
      <c r="E1439" s="3"/>
      <c r="F1439" s="3"/>
      <c r="G1439" s="3"/>
      <c r="H1439" s="3"/>
      <c r="I1439" s="100"/>
      <c r="J1439" s="101"/>
      <c r="K1439" s="101"/>
      <c r="L1439" s="101"/>
      <c r="M1439" s="101"/>
      <c r="N1439" s="101"/>
      <c r="O1439" s="101"/>
      <c r="P1439" s="101"/>
      <c r="Q1439" s="101"/>
      <c r="R1439" s="101"/>
      <c r="S1439" s="101"/>
      <c r="T1439" s="101"/>
      <c r="U1439" s="101"/>
      <c r="V1439" s="101"/>
      <c r="W1439" s="101"/>
      <c r="X1439" s="101"/>
      <c r="Y1439" s="101"/>
      <c r="Z1439" s="101"/>
      <c r="AA1439" s="101"/>
      <c r="AB1439" s="101"/>
      <c r="AC1439" s="119"/>
      <c r="AD1439" s="119"/>
      <c r="AE1439" s="120"/>
      <c r="AF1439" s="119"/>
      <c r="AG1439" s="119"/>
      <c r="AH1439" s="120"/>
      <c r="AI1439" s="121"/>
      <c r="AJ1439" s="121"/>
      <c r="AK1439" s="121"/>
      <c r="AL1439" s="121"/>
      <c r="AM1439" s="122"/>
      <c r="AN1439" s="121"/>
      <c r="AP1439" s="87"/>
    </row>
    <row r="1440" spans="1:42">
      <c r="A1440" s="3"/>
      <c r="B1440" s="3"/>
      <c r="C1440" s="3"/>
      <c r="D1440" s="3"/>
      <c r="E1440" s="3"/>
      <c r="F1440" s="3"/>
      <c r="G1440" s="3"/>
      <c r="H1440" s="3"/>
      <c r="I1440" s="100"/>
      <c r="J1440" s="101"/>
      <c r="K1440" s="101"/>
      <c r="L1440" s="101"/>
      <c r="M1440" s="101"/>
      <c r="N1440" s="101"/>
      <c r="O1440" s="101"/>
      <c r="P1440" s="101"/>
      <c r="Q1440" s="101"/>
      <c r="R1440" s="101"/>
      <c r="S1440" s="101"/>
      <c r="T1440" s="101"/>
      <c r="U1440" s="101"/>
      <c r="V1440" s="101"/>
      <c r="W1440" s="101"/>
      <c r="X1440" s="101"/>
      <c r="Y1440" s="101"/>
      <c r="Z1440" s="101"/>
      <c r="AA1440" s="101"/>
      <c r="AB1440" s="101"/>
      <c r="AC1440" s="119"/>
      <c r="AD1440" s="119"/>
      <c r="AE1440" s="120"/>
      <c r="AF1440" s="119"/>
      <c r="AG1440" s="119"/>
      <c r="AH1440" s="120"/>
      <c r="AI1440" s="121"/>
      <c r="AJ1440" s="121"/>
      <c r="AK1440" s="121"/>
      <c r="AL1440" s="121"/>
      <c r="AM1440" s="122"/>
      <c r="AN1440" s="121"/>
      <c r="AP1440" s="87"/>
    </row>
    <row r="1441" spans="1:42">
      <c r="A1441" s="3"/>
      <c r="B1441" s="3"/>
      <c r="C1441" s="3"/>
      <c r="D1441" s="3"/>
      <c r="E1441" s="3"/>
      <c r="F1441" s="3"/>
      <c r="G1441" s="3"/>
      <c r="H1441" s="3"/>
      <c r="I1441" s="100"/>
      <c r="J1441" s="101"/>
      <c r="K1441" s="101"/>
      <c r="L1441" s="101"/>
      <c r="M1441" s="101"/>
      <c r="N1441" s="101"/>
      <c r="O1441" s="101"/>
      <c r="P1441" s="101"/>
      <c r="Q1441" s="101"/>
      <c r="R1441" s="101"/>
      <c r="S1441" s="101"/>
      <c r="T1441" s="101"/>
      <c r="U1441" s="101"/>
      <c r="V1441" s="101"/>
      <c r="W1441" s="101"/>
      <c r="X1441" s="101"/>
      <c r="Y1441" s="101"/>
      <c r="Z1441" s="101"/>
      <c r="AA1441" s="101"/>
      <c r="AB1441" s="101"/>
      <c r="AC1441" s="119"/>
      <c r="AD1441" s="119"/>
      <c r="AE1441" s="120"/>
      <c r="AF1441" s="119"/>
      <c r="AG1441" s="119"/>
      <c r="AH1441" s="120"/>
      <c r="AI1441" s="121"/>
      <c r="AJ1441" s="121"/>
      <c r="AK1441" s="121"/>
      <c r="AL1441" s="121"/>
      <c r="AM1441" s="122"/>
      <c r="AN1441" s="121"/>
      <c r="AP1441" s="87"/>
    </row>
    <row r="1442" spans="1:42">
      <c r="A1442" s="3"/>
      <c r="B1442" s="3"/>
      <c r="C1442" s="3"/>
      <c r="D1442" s="3"/>
      <c r="E1442" s="3"/>
      <c r="F1442" s="3"/>
      <c r="G1442" s="3"/>
      <c r="H1442" s="3"/>
      <c r="I1442" s="100"/>
      <c r="J1442" s="101"/>
      <c r="K1442" s="101"/>
      <c r="L1442" s="101"/>
      <c r="M1442" s="101"/>
      <c r="N1442" s="101"/>
      <c r="O1442" s="101"/>
      <c r="P1442" s="101"/>
      <c r="Q1442" s="101"/>
      <c r="R1442" s="101"/>
      <c r="S1442" s="101"/>
      <c r="T1442" s="101"/>
      <c r="U1442" s="101"/>
      <c r="V1442" s="101"/>
      <c r="W1442" s="101"/>
      <c r="X1442" s="101"/>
      <c r="Y1442" s="101"/>
      <c r="Z1442" s="101"/>
      <c r="AA1442" s="101"/>
      <c r="AB1442" s="101"/>
      <c r="AC1442" s="119"/>
      <c r="AD1442" s="119"/>
      <c r="AE1442" s="120"/>
      <c r="AF1442" s="119"/>
      <c r="AG1442" s="119"/>
      <c r="AH1442" s="120"/>
      <c r="AI1442" s="121"/>
      <c r="AJ1442" s="121"/>
      <c r="AK1442" s="121"/>
      <c r="AL1442" s="121"/>
      <c r="AM1442" s="122"/>
      <c r="AN1442" s="121"/>
      <c r="AP1442" s="87"/>
    </row>
    <row r="1443" spans="1:42">
      <c r="A1443" s="3"/>
      <c r="B1443" s="3"/>
      <c r="C1443" s="3"/>
      <c r="D1443" s="3"/>
      <c r="E1443" s="3"/>
      <c r="F1443" s="3"/>
      <c r="G1443" s="3"/>
      <c r="H1443" s="3"/>
      <c r="I1443" s="100"/>
      <c r="J1443" s="101"/>
      <c r="K1443" s="101"/>
      <c r="L1443" s="101"/>
      <c r="M1443" s="101"/>
      <c r="N1443" s="101"/>
      <c r="O1443" s="101"/>
      <c r="P1443" s="101"/>
      <c r="Q1443" s="101"/>
      <c r="R1443" s="101"/>
      <c r="S1443" s="101"/>
      <c r="T1443" s="101"/>
      <c r="U1443" s="101"/>
      <c r="V1443" s="101"/>
      <c r="W1443" s="101"/>
      <c r="X1443" s="101"/>
      <c r="Y1443" s="101"/>
      <c r="Z1443" s="101"/>
      <c r="AA1443" s="101"/>
      <c r="AB1443" s="101"/>
      <c r="AC1443" s="119"/>
      <c r="AD1443" s="119"/>
      <c r="AE1443" s="120"/>
      <c r="AF1443" s="119"/>
      <c r="AG1443" s="119"/>
      <c r="AH1443" s="120"/>
      <c r="AI1443" s="121"/>
      <c r="AJ1443" s="121"/>
      <c r="AK1443" s="121"/>
      <c r="AL1443" s="121"/>
      <c r="AM1443" s="122"/>
      <c r="AN1443" s="121"/>
      <c r="AP1443" s="87"/>
    </row>
    <row r="1444" spans="1:42">
      <c r="A1444" s="3"/>
      <c r="B1444" s="3"/>
      <c r="C1444" s="3"/>
      <c r="D1444" s="3"/>
      <c r="E1444" s="3"/>
      <c r="F1444" s="3"/>
      <c r="G1444" s="3"/>
      <c r="H1444" s="3"/>
      <c r="I1444" s="100"/>
      <c r="J1444" s="101"/>
      <c r="K1444" s="101"/>
      <c r="L1444" s="101"/>
      <c r="M1444" s="101"/>
      <c r="N1444" s="101"/>
      <c r="O1444" s="101"/>
      <c r="P1444" s="101"/>
      <c r="Q1444" s="101"/>
      <c r="R1444" s="101"/>
      <c r="S1444" s="101"/>
      <c r="T1444" s="101"/>
      <c r="U1444" s="101"/>
      <c r="V1444" s="101"/>
      <c r="W1444" s="101"/>
      <c r="X1444" s="101"/>
      <c r="Y1444" s="101"/>
      <c r="Z1444" s="101"/>
      <c r="AA1444" s="101"/>
      <c r="AB1444" s="101"/>
      <c r="AC1444" s="119"/>
      <c r="AD1444" s="119"/>
      <c r="AE1444" s="120"/>
      <c r="AF1444" s="119"/>
      <c r="AG1444" s="119"/>
      <c r="AH1444" s="120"/>
      <c r="AI1444" s="121"/>
      <c r="AJ1444" s="121"/>
      <c r="AK1444" s="121"/>
      <c r="AL1444" s="121"/>
      <c r="AM1444" s="122"/>
      <c r="AN1444" s="121"/>
      <c r="AP1444" s="87"/>
    </row>
    <row r="1445" spans="1:42">
      <c r="A1445" s="3"/>
      <c r="B1445" s="3"/>
      <c r="C1445" s="3"/>
      <c r="D1445" s="3"/>
      <c r="E1445" s="3"/>
      <c r="F1445" s="3"/>
      <c r="G1445" s="3"/>
      <c r="H1445" s="3"/>
      <c r="I1445" s="100"/>
      <c r="J1445" s="101"/>
      <c r="K1445" s="101"/>
      <c r="L1445" s="101"/>
      <c r="M1445" s="101"/>
      <c r="N1445" s="101"/>
      <c r="O1445" s="101"/>
      <c r="P1445" s="101"/>
      <c r="Q1445" s="101"/>
      <c r="R1445" s="101"/>
      <c r="S1445" s="101"/>
      <c r="T1445" s="101"/>
      <c r="U1445" s="101"/>
      <c r="V1445" s="101"/>
      <c r="W1445" s="101"/>
      <c r="X1445" s="101"/>
      <c r="Y1445" s="101"/>
      <c r="Z1445" s="101"/>
      <c r="AA1445" s="101"/>
      <c r="AB1445" s="101"/>
      <c r="AC1445" s="119"/>
      <c r="AD1445" s="119"/>
      <c r="AE1445" s="120"/>
      <c r="AF1445" s="119"/>
      <c r="AG1445" s="119"/>
      <c r="AH1445" s="120"/>
      <c r="AI1445" s="121"/>
      <c r="AJ1445" s="121"/>
      <c r="AK1445" s="121"/>
      <c r="AL1445" s="121"/>
      <c r="AM1445" s="122"/>
      <c r="AN1445" s="121"/>
      <c r="AP1445" s="87"/>
    </row>
    <row r="1446" spans="1:42">
      <c r="A1446" s="3"/>
      <c r="B1446" s="3"/>
      <c r="C1446" s="3"/>
      <c r="D1446" s="3"/>
      <c r="E1446" s="3"/>
      <c r="F1446" s="3"/>
      <c r="G1446" s="3"/>
      <c r="H1446" s="3"/>
      <c r="I1446" s="100"/>
      <c r="J1446" s="101"/>
      <c r="K1446" s="101"/>
      <c r="L1446" s="101"/>
      <c r="M1446" s="101"/>
      <c r="N1446" s="101"/>
      <c r="O1446" s="101"/>
      <c r="P1446" s="101"/>
      <c r="Q1446" s="101"/>
      <c r="R1446" s="101"/>
      <c r="S1446" s="101"/>
      <c r="T1446" s="101"/>
      <c r="U1446" s="101"/>
      <c r="V1446" s="101"/>
      <c r="W1446" s="101"/>
      <c r="X1446" s="101"/>
      <c r="Y1446" s="101"/>
      <c r="Z1446" s="101"/>
      <c r="AA1446" s="101"/>
      <c r="AB1446" s="101"/>
      <c r="AC1446" s="119"/>
      <c r="AD1446" s="119"/>
      <c r="AE1446" s="120"/>
      <c r="AF1446" s="119"/>
      <c r="AG1446" s="119"/>
      <c r="AH1446" s="120"/>
      <c r="AI1446" s="121"/>
      <c r="AJ1446" s="121"/>
      <c r="AK1446" s="121"/>
      <c r="AL1446" s="121"/>
      <c r="AM1446" s="122"/>
      <c r="AN1446" s="121"/>
      <c r="AP1446" s="87"/>
    </row>
    <row r="1447" spans="1:42">
      <c r="A1447" s="3"/>
      <c r="B1447" s="3"/>
      <c r="C1447" s="3"/>
      <c r="D1447" s="3"/>
      <c r="E1447" s="3"/>
      <c r="F1447" s="3"/>
      <c r="G1447" s="3"/>
      <c r="H1447" s="3"/>
      <c r="I1447" s="100"/>
      <c r="J1447" s="101"/>
      <c r="K1447" s="101"/>
      <c r="L1447" s="101"/>
      <c r="M1447" s="101"/>
      <c r="N1447" s="101"/>
      <c r="O1447" s="101"/>
      <c r="P1447" s="101"/>
      <c r="Q1447" s="101"/>
      <c r="R1447" s="101"/>
      <c r="S1447" s="101"/>
      <c r="T1447" s="101"/>
      <c r="U1447" s="101"/>
      <c r="V1447" s="101"/>
      <c r="W1447" s="101"/>
      <c r="X1447" s="101"/>
      <c r="Y1447" s="101"/>
      <c r="Z1447" s="101"/>
      <c r="AA1447" s="101"/>
      <c r="AB1447" s="101"/>
      <c r="AC1447" s="119"/>
      <c r="AD1447" s="119"/>
      <c r="AE1447" s="120"/>
      <c r="AF1447" s="119"/>
      <c r="AG1447" s="119"/>
      <c r="AH1447" s="120"/>
      <c r="AI1447" s="121"/>
      <c r="AJ1447" s="121"/>
      <c r="AK1447" s="121"/>
      <c r="AL1447" s="121"/>
      <c r="AM1447" s="122"/>
      <c r="AN1447" s="121"/>
      <c r="AP1447" s="87"/>
    </row>
    <row r="1448" spans="1:42">
      <c r="A1448" s="3"/>
      <c r="B1448" s="3"/>
      <c r="C1448" s="3"/>
      <c r="D1448" s="3"/>
      <c r="E1448" s="3"/>
      <c r="F1448" s="3"/>
      <c r="G1448" s="3"/>
      <c r="H1448" s="3"/>
      <c r="I1448" s="100"/>
      <c r="J1448" s="101"/>
      <c r="K1448" s="101"/>
      <c r="L1448" s="101"/>
      <c r="M1448" s="101"/>
      <c r="N1448" s="101"/>
      <c r="O1448" s="101"/>
      <c r="P1448" s="101"/>
      <c r="Q1448" s="101"/>
      <c r="R1448" s="101"/>
      <c r="S1448" s="101"/>
      <c r="T1448" s="101"/>
      <c r="U1448" s="101"/>
      <c r="V1448" s="101"/>
      <c r="W1448" s="101"/>
      <c r="X1448" s="101"/>
      <c r="Y1448" s="101"/>
      <c r="Z1448" s="101"/>
      <c r="AA1448" s="101"/>
      <c r="AB1448" s="101"/>
      <c r="AC1448" s="119"/>
      <c r="AD1448" s="119"/>
      <c r="AE1448" s="120"/>
      <c r="AF1448" s="119"/>
      <c r="AG1448" s="119"/>
      <c r="AH1448" s="120"/>
      <c r="AI1448" s="121"/>
      <c r="AJ1448" s="121"/>
      <c r="AK1448" s="121"/>
      <c r="AL1448" s="121"/>
      <c r="AM1448" s="122"/>
      <c r="AN1448" s="121"/>
      <c r="AP1448" s="87"/>
    </row>
    <row r="1449" spans="1:42">
      <c r="A1449" s="3"/>
      <c r="B1449" s="3"/>
      <c r="C1449" s="3"/>
      <c r="D1449" s="3"/>
      <c r="E1449" s="3"/>
      <c r="F1449" s="3"/>
      <c r="G1449" s="3"/>
      <c r="H1449" s="3"/>
      <c r="I1449" s="100"/>
      <c r="J1449" s="101"/>
      <c r="K1449" s="101"/>
      <c r="L1449" s="101"/>
      <c r="M1449" s="101"/>
      <c r="N1449" s="101"/>
      <c r="O1449" s="101"/>
      <c r="P1449" s="101"/>
      <c r="Q1449" s="101"/>
      <c r="R1449" s="101"/>
      <c r="S1449" s="101"/>
      <c r="T1449" s="101"/>
      <c r="U1449" s="101"/>
      <c r="V1449" s="101"/>
      <c r="W1449" s="101"/>
      <c r="X1449" s="101"/>
      <c r="Y1449" s="101"/>
      <c r="Z1449" s="101"/>
      <c r="AA1449" s="101"/>
      <c r="AB1449" s="101"/>
      <c r="AC1449" s="119"/>
      <c r="AD1449" s="119"/>
      <c r="AE1449" s="120"/>
      <c r="AF1449" s="119"/>
      <c r="AG1449" s="119"/>
      <c r="AH1449" s="120"/>
      <c r="AI1449" s="121"/>
      <c r="AJ1449" s="121"/>
      <c r="AK1449" s="121"/>
      <c r="AL1449" s="121"/>
      <c r="AM1449" s="122"/>
      <c r="AN1449" s="121"/>
      <c r="AP1449" s="87"/>
    </row>
    <row r="1450" spans="1:42">
      <c r="A1450" s="3"/>
      <c r="B1450" s="3"/>
      <c r="C1450" s="3"/>
      <c r="D1450" s="3"/>
      <c r="E1450" s="3"/>
      <c r="F1450" s="3"/>
      <c r="G1450" s="3"/>
      <c r="H1450" s="3"/>
      <c r="I1450" s="100"/>
      <c r="J1450" s="101"/>
      <c r="K1450" s="101"/>
      <c r="L1450" s="101"/>
      <c r="M1450" s="101"/>
      <c r="N1450" s="101"/>
      <c r="O1450" s="101"/>
      <c r="P1450" s="101"/>
      <c r="Q1450" s="101"/>
      <c r="R1450" s="101"/>
      <c r="S1450" s="101"/>
      <c r="T1450" s="101"/>
      <c r="U1450" s="101"/>
      <c r="V1450" s="101"/>
      <c r="W1450" s="101"/>
      <c r="X1450" s="101"/>
      <c r="Y1450" s="101"/>
      <c r="Z1450" s="101"/>
      <c r="AA1450" s="101"/>
      <c r="AB1450" s="101"/>
      <c r="AC1450" s="119"/>
      <c r="AD1450" s="119"/>
      <c r="AE1450" s="120"/>
      <c r="AF1450" s="119"/>
      <c r="AG1450" s="119"/>
      <c r="AH1450" s="120"/>
      <c r="AI1450" s="121"/>
      <c r="AJ1450" s="121"/>
      <c r="AK1450" s="121"/>
      <c r="AL1450" s="121"/>
      <c r="AM1450" s="122"/>
      <c r="AN1450" s="121"/>
      <c r="AP1450" s="87"/>
    </row>
    <row r="1451" spans="1:42">
      <c r="A1451" s="3"/>
      <c r="B1451" s="3"/>
      <c r="C1451" s="3"/>
      <c r="D1451" s="3"/>
      <c r="E1451" s="3"/>
      <c r="F1451" s="3"/>
      <c r="G1451" s="3"/>
      <c r="H1451" s="3"/>
      <c r="I1451" s="100"/>
      <c r="J1451" s="101"/>
      <c r="K1451" s="101"/>
      <c r="L1451" s="101"/>
      <c r="M1451" s="101"/>
      <c r="N1451" s="101"/>
      <c r="O1451" s="101"/>
      <c r="P1451" s="101"/>
      <c r="Q1451" s="101"/>
      <c r="R1451" s="101"/>
      <c r="S1451" s="101"/>
      <c r="T1451" s="101"/>
      <c r="U1451" s="101"/>
      <c r="V1451" s="101"/>
      <c r="W1451" s="101"/>
      <c r="X1451" s="101"/>
      <c r="Y1451" s="101"/>
      <c r="Z1451" s="101"/>
      <c r="AA1451" s="101"/>
      <c r="AB1451" s="101"/>
      <c r="AC1451" s="119"/>
      <c r="AD1451" s="119"/>
      <c r="AE1451" s="120"/>
      <c r="AF1451" s="119"/>
      <c r="AG1451" s="119"/>
      <c r="AH1451" s="120"/>
      <c r="AI1451" s="121"/>
      <c r="AJ1451" s="121"/>
      <c r="AK1451" s="121"/>
      <c r="AL1451" s="121"/>
      <c r="AM1451" s="122"/>
      <c r="AN1451" s="121"/>
      <c r="AP1451" s="87"/>
    </row>
    <row r="1452" spans="1:42">
      <c r="A1452" s="3"/>
      <c r="B1452" s="3"/>
      <c r="C1452" s="3"/>
      <c r="D1452" s="3"/>
      <c r="E1452" s="3"/>
      <c r="F1452" s="3"/>
      <c r="G1452" s="3"/>
      <c r="H1452" s="3"/>
      <c r="I1452" s="100"/>
      <c r="J1452" s="101"/>
      <c r="K1452" s="101"/>
      <c r="L1452" s="101"/>
      <c r="M1452" s="101"/>
      <c r="N1452" s="101"/>
      <c r="O1452" s="101"/>
      <c r="P1452" s="101"/>
      <c r="Q1452" s="101"/>
      <c r="R1452" s="101"/>
      <c r="S1452" s="101"/>
      <c r="T1452" s="101"/>
      <c r="U1452" s="101"/>
      <c r="V1452" s="101"/>
      <c r="W1452" s="101"/>
      <c r="X1452" s="101"/>
      <c r="Y1452" s="101"/>
      <c r="Z1452" s="101"/>
      <c r="AA1452" s="101"/>
      <c r="AB1452" s="101"/>
      <c r="AC1452" s="119"/>
      <c r="AD1452" s="119"/>
      <c r="AE1452" s="120"/>
      <c r="AF1452" s="119"/>
      <c r="AG1452" s="119"/>
      <c r="AH1452" s="120"/>
      <c r="AI1452" s="121"/>
      <c r="AJ1452" s="121"/>
      <c r="AK1452" s="121"/>
      <c r="AL1452" s="121"/>
      <c r="AM1452" s="122"/>
      <c r="AN1452" s="121"/>
      <c r="AP1452" s="87"/>
    </row>
    <row r="1453" spans="1:42">
      <c r="A1453" s="3"/>
      <c r="B1453" s="3"/>
      <c r="C1453" s="3"/>
      <c r="D1453" s="3"/>
      <c r="E1453" s="3"/>
      <c r="F1453" s="3"/>
      <c r="G1453" s="3"/>
      <c r="H1453" s="3"/>
      <c r="I1453" s="100"/>
      <c r="J1453" s="101"/>
      <c r="K1453" s="101"/>
      <c r="L1453" s="101"/>
      <c r="M1453" s="101"/>
      <c r="N1453" s="101"/>
      <c r="O1453" s="101"/>
      <c r="P1453" s="101"/>
      <c r="Q1453" s="101"/>
      <c r="R1453" s="101"/>
      <c r="S1453" s="101"/>
      <c r="T1453" s="101"/>
      <c r="U1453" s="101"/>
      <c r="V1453" s="101"/>
      <c r="W1453" s="101"/>
      <c r="X1453" s="101"/>
      <c r="Y1453" s="101"/>
      <c r="Z1453" s="101"/>
      <c r="AA1453" s="101"/>
      <c r="AB1453" s="101"/>
      <c r="AC1453" s="119"/>
      <c r="AD1453" s="119"/>
      <c r="AE1453" s="120"/>
      <c r="AF1453" s="119"/>
      <c r="AG1453" s="119"/>
      <c r="AH1453" s="120"/>
      <c r="AI1453" s="121"/>
      <c r="AJ1453" s="121"/>
      <c r="AK1453" s="121"/>
      <c r="AL1453" s="121"/>
      <c r="AM1453" s="122"/>
      <c r="AN1453" s="121"/>
      <c r="AP1453" s="87"/>
    </row>
    <row r="1454" spans="1:42">
      <c r="A1454" s="3"/>
      <c r="B1454" s="3"/>
      <c r="C1454" s="3"/>
      <c r="D1454" s="3"/>
      <c r="E1454" s="3"/>
      <c r="F1454" s="3"/>
      <c r="G1454" s="3"/>
      <c r="H1454" s="3"/>
      <c r="I1454" s="100"/>
      <c r="J1454" s="101"/>
      <c r="K1454" s="101"/>
      <c r="L1454" s="101"/>
      <c r="M1454" s="101"/>
      <c r="N1454" s="101"/>
      <c r="O1454" s="101"/>
      <c r="P1454" s="101"/>
      <c r="Q1454" s="101"/>
      <c r="R1454" s="101"/>
      <c r="S1454" s="101"/>
      <c r="T1454" s="101"/>
      <c r="U1454" s="101"/>
      <c r="V1454" s="101"/>
      <c r="W1454" s="101"/>
      <c r="X1454" s="101"/>
      <c r="Y1454" s="101"/>
      <c r="Z1454" s="101"/>
      <c r="AA1454" s="101"/>
      <c r="AB1454" s="101"/>
      <c r="AC1454" s="119"/>
      <c r="AD1454" s="119"/>
      <c r="AE1454" s="120"/>
      <c r="AF1454" s="119"/>
      <c r="AG1454" s="119"/>
      <c r="AH1454" s="120"/>
      <c r="AI1454" s="121"/>
      <c r="AJ1454" s="121"/>
      <c r="AK1454" s="121"/>
      <c r="AL1454" s="121"/>
      <c r="AM1454" s="122"/>
      <c r="AN1454" s="121"/>
      <c r="AP1454" s="87"/>
    </row>
    <row r="1455" spans="1:42">
      <c r="A1455" s="3"/>
      <c r="B1455" s="3"/>
      <c r="C1455" s="3"/>
      <c r="D1455" s="3"/>
      <c r="E1455" s="3"/>
      <c r="F1455" s="3"/>
      <c r="G1455" s="3"/>
      <c r="H1455" s="3"/>
      <c r="I1455" s="100"/>
      <c r="J1455" s="101"/>
      <c r="K1455" s="101"/>
      <c r="L1455" s="101"/>
      <c r="M1455" s="101"/>
      <c r="N1455" s="101"/>
      <c r="O1455" s="101"/>
      <c r="P1455" s="101"/>
      <c r="Q1455" s="101"/>
      <c r="R1455" s="101"/>
      <c r="S1455" s="101"/>
      <c r="T1455" s="101"/>
      <c r="U1455" s="101"/>
      <c r="V1455" s="101"/>
      <c r="W1455" s="101"/>
      <c r="X1455" s="101"/>
      <c r="Y1455" s="101"/>
      <c r="Z1455" s="101"/>
      <c r="AA1455" s="101"/>
      <c r="AB1455" s="101"/>
      <c r="AC1455" s="119"/>
      <c r="AD1455" s="119"/>
      <c r="AE1455" s="120"/>
      <c r="AF1455" s="119"/>
      <c r="AG1455" s="119"/>
      <c r="AH1455" s="120"/>
      <c r="AI1455" s="121"/>
      <c r="AJ1455" s="121"/>
      <c r="AK1455" s="121"/>
      <c r="AL1455" s="121"/>
      <c r="AM1455" s="122"/>
      <c r="AN1455" s="121"/>
      <c r="AP1455" s="87"/>
    </row>
    <row r="1456" spans="1:42">
      <c r="A1456" s="3"/>
      <c r="B1456" s="3"/>
      <c r="C1456" s="3"/>
      <c r="D1456" s="3"/>
      <c r="E1456" s="3"/>
      <c r="F1456" s="3"/>
      <c r="G1456" s="3"/>
      <c r="H1456" s="3"/>
      <c r="I1456" s="100"/>
      <c r="J1456" s="101"/>
      <c r="K1456" s="101"/>
      <c r="L1456" s="101"/>
      <c r="M1456" s="101"/>
      <c r="N1456" s="101"/>
      <c r="O1456" s="101"/>
      <c r="P1456" s="101"/>
      <c r="Q1456" s="101"/>
      <c r="R1456" s="101"/>
      <c r="S1456" s="101"/>
      <c r="T1456" s="101"/>
      <c r="U1456" s="101"/>
      <c r="V1456" s="101"/>
      <c r="W1456" s="101"/>
      <c r="X1456" s="101"/>
      <c r="Y1456" s="101"/>
      <c r="Z1456" s="101"/>
      <c r="AA1456" s="101"/>
      <c r="AB1456" s="101"/>
      <c r="AC1456" s="119"/>
      <c r="AD1456" s="119"/>
      <c r="AE1456" s="120"/>
      <c r="AF1456" s="119"/>
      <c r="AG1456" s="119"/>
      <c r="AH1456" s="120"/>
      <c r="AI1456" s="121"/>
      <c r="AJ1456" s="121"/>
      <c r="AK1456" s="121"/>
      <c r="AL1456" s="121"/>
      <c r="AM1456" s="122"/>
      <c r="AN1456" s="121"/>
      <c r="AP1456" s="87"/>
    </row>
    <row r="1457" spans="1:42">
      <c r="A1457" s="3"/>
      <c r="B1457" s="3"/>
      <c r="C1457" s="3"/>
      <c r="D1457" s="3"/>
      <c r="E1457" s="3"/>
      <c r="F1457" s="3"/>
      <c r="G1457" s="3"/>
      <c r="H1457" s="3"/>
      <c r="I1457" s="100"/>
      <c r="J1457" s="101"/>
      <c r="K1457" s="101"/>
      <c r="L1457" s="101"/>
      <c r="M1457" s="101"/>
      <c r="N1457" s="101"/>
      <c r="O1457" s="101"/>
      <c r="P1457" s="101"/>
      <c r="Q1457" s="101"/>
      <c r="R1457" s="101"/>
      <c r="S1457" s="101"/>
      <c r="T1457" s="101"/>
      <c r="U1457" s="101"/>
      <c r="V1457" s="101"/>
      <c r="W1457" s="101"/>
      <c r="X1457" s="101"/>
      <c r="Y1457" s="101"/>
      <c r="Z1457" s="101"/>
      <c r="AA1457" s="101"/>
      <c r="AB1457" s="101"/>
      <c r="AC1457" s="119"/>
      <c r="AD1457" s="119"/>
      <c r="AE1457" s="120"/>
      <c r="AF1457" s="119"/>
      <c r="AG1457" s="119"/>
      <c r="AH1457" s="120"/>
      <c r="AI1457" s="121"/>
      <c r="AJ1457" s="121"/>
      <c r="AK1457" s="121"/>
      <c r="AL1457" s="121"/>
      <c r="AM1457" s="122"/>
      <c r="AN1457" s="121"/>
      <c r="AP1457" s="87"/>
    </row>
    <row r="1458" spans="1:42">
      <c r="A1458" s="3"/>
      <c r="B1458" s="3"/>
      <c r="C1458" s="3"/>
      <c r="D1458" s="3"/>
      <c r="E1458" s="3"/>
      <c r="F1458" s="3"/>
      <c r="G1458" s="3"/>
      <c r="H1458" s="3"/>
      <c r="I1458" s="100"/>
      <c r="J1458" s="101"/>
      <c r="K1458" s="101"/>
      <c r="L1458" s="101"/>
      <c r="M1458" s="101"/>
      <c r="N1458" s="101"/>
      <c r="O1458" s="101"/>
      <c r="P1458" s="101"/>
      <c r="Q1458" s="101"/>
      <c r="R1458" s="101"/>
      <c r="S1458" s="101"/>
      <c r="T1458" s="101"/>
      <c r="U1458" s="101"/>
      <c r="V1458" s="101"/>
      <c r="W1458" s="101"/>
      <c r="X1458" s="101"/>
      <c r="Y1458" s="101"/>
      <c r="Z1458" s="101"/>
      <c r="AA1458" s="101"/>
      <c r="AB1458" s="101"/>
      <c r="AC1458" s="119"/>
      <c r="AD1458" s="119"/>
      <c r="AE1458" s="120"/>
      <c r="AF1458" s="119"/>
      <c r="AG1458" s="119"/>
      <c r="AH1458" s="120"/>
      <c r="AI1458" s="121"/>
      <c r="AJ1458" s="121"/>
      <c r="AK1458" s="121"/>
      <c r="AL1458" s="121"/>
      <c r="AM1458" s="122"/>
      <c r="AN1458" s="121"/>
      <c r="AP1458" s="87"/>
    </row>
    <row r="1459" spans="1:42">
      <c r="A1459" s="3"/>
      <c r="B1459" s="3"/>
      <c r="C1459" s="3"/>
      <c r="D1459" s="3"/>
      <c r="E1459" s="3"/>
      <c r="F1459" s="3"/>
      <c r="G1459" s="3"/>
      <c r="H1459" s="3"/>
      <c r="I1459" s="100"/>
      <c r="J1459" s="101"/>
      <c r="K1459" s="101"/>
      <c r="L1459" s="101"/>
      <c r="M1459" s="101"/>
      <c r="N1459" s="101"/>
      <c r="O1459" s="101"/>
      <c r="P1459" s="101"/>
      <c r="Q1459" s="101"/>
      <c r="R1459" s="101"/>
      <c r="S1459" s="101"/>
      <c r="T1459" s="101"/>
      <c r="U1459" s="101"/>
      <c r="V1459" s="101"/>
      <c r="W1459" s="101"/>
      <c r="X1459" s="101"/>
      <c r="Y1459" s="101"/>
      <c r="Z1459" s="101"/>
      <c r="AA1459" s="101"/>
      <c r="AB1459" s="101"/>
      <c r="AC1459" s="119"/>
      <c r="AD1459" s="119"/>
      <c r="AE1459" s="120"/>
      <c r="AF1459" s="119"/>
      <c r="AG1459" s="119"/>
      <c r="AH1459" s="120"/>
      <c r="AI1459" s="121"/>
      <c r="AJ1459" s="121"/>
      <c r="AK1459" s="121"/>
      <c r="AL1459" s="121"/>
      <c r="AM1459" s="122"/>
      <c r="AN1459" s="121"/>
      <c r="AP1459" s="87"/>
    </row>
    <row r="1460" spans="1:42">
      <c r="A1460" s="3"/>
      <c r="B1460" s="3"/>
      <c r="C1460" s="3"/>
      <c r="D1460" s="3"/>
      <c r="E1460" s="3"/>
      <c r="F1460" s="3"/>
      <c r="G1460" s="3"/>
      <c r="H1460" s="3"/>
      <c r="I1460" s="100"/>
      <c r="J1460" s="101"/>
      <c r="K1460" s="101"/>
      <c r="L1460" s="101"/>
      <c r="M1460" s="101"/>
      <c r="N1460" s="101"/>
      <c r="O1460" s="101"/>
      <c r="P1460" s="101"/>
      <c r="Q1460" s="101"/>
      <c r="R1460" s="101"/>
      <c r="S1460" s="101"/>
      <c r="T1460" s="101"/>
      <c r="U1460" s="101"/>
      <c r="V1460" s="101"/>
      <c r="W1460" s="101"/>
      <c r="X1460" s="101"/>
      <c r="Y1460" s="101"/>
      <c r="Z1460" s="101"/>
      <c r="AA1460" s="101"/>
      <c r="AB1460" s="101"/>
      <c r="AC1460" s="119"/>
      <c r="AD1460" s="119"/>
      <c r="AE1460" s="120"/>
      <c r="AF1460" s="119"/>
      <c r="AG1460" s="119"/>
      <c r="AH1460" s="120"/>
      <c r="AI1460" s="121"/>
      <c r="AJ1460" s="121"/>
      <c r="AK1460" s="121"/>
      <c r="AL1460" s="121"/>
      <c r="AM1460" s="122"/>
      <c r="AN1460" s="121"/>
      <c r="AP1460" s="87"/>
    </row>
    <row r="1461" spans="1:42">
      <c r="A1461" s="3"/>
      <c r="B1461" s="3"/>
      <c r="C1461" s="3"/>
      <c r="D1461" s="3"/>
      <c r="E1461" s="3"/>
      <c r="F1461" s="3"/>
      <c r="G1461" s="3"/>
      <c r="H1461" s="3"/>
      <c r="I1461" s="100"/>
      <c r="J1461" s="101"/>
      <c r="K1461" s="101"/>
      <c r="L1461" s="101"/>
      <c r="M1461" s="101"/>
      <c r="N1461" s="101"/>
      <c r="O1461" s="101"/>
      <c r="P1461" s="101"/>
      <c r="Q1461" s="101"/>
      <c r="R1461" s="101"/>
      <c r="S1461" s="101"/>
      <c r="T1461" s="101"/>
      <c r="U1461" s="101"/>
      <c r="V1461" s="101"/>
      <c r="W1461" s="101"/>
      <c r="X1461" s="101"/>
      <c r="Y1461" s="101"/>
      <c r="Z1461" s="101"/>
      <c r="AA1461" s="101"/>
      <c r="AB1461" s="101"/>
      <c r="AC1461" s="119"/>
      <c r="AD1461" s="119"/>
      <c r="AE1461" s="120"/>
      <c r="AF1461" s="119"/>
      <c r="AG1461" s="119"/>
      <c r="AH1461" s="120"/>
      <c r="AI1461" s="121"/>
      <c r="AJ1461" s="121"/>
      <c r="AK1461" s="121"/>
      <c r="AL1461" s="121"/>
      <c r="AM1461" s="122"/>
      <c r="AN1461" s="121"/>
      <c r="AP1461" s="87"/>
    </row>
    <row r="1462" spans="1:42">
      <c r="A1462" s="3"/>
      <c r="B1462" s="3"/>
      <c r="C1462" s="3"/>
      <c r="D1462" s="3"/>
      <c r="E1462" s="3"/>
      <c r="F1462" s="3"/>
      <c r="G1462" s="3"/>
      <c r="H1462" s="3"/>
      <c r="I1462" s="100"/>
      <c r="J1462" s="101"/>
      <c r="K1462" s="101"/>
      <c r="L1462" s="101"/>
      <c r="M1462" s="101"/>
      <c r="N1462" s="101"/>
      <c r="O1462" s="101"/>
      <c r="P1462" s="101"/>
      <c r="Q1462" s="101"/>
      <c r="R1462" s="101"/>
      <c r="S1462" s="101"/>
      <c r="T1462" s="101"/>
      <c r="U1462" s="101"/>
      <c r="V1462" s="101"/>
      <c r="W1462" s="101"/>
      <c r="X1462" s="101"/>
      <c r="Y1462" s="101"/>
      <c r="Z1462" s="101"/>
      <c r="AA1462" s="101"/>
      <c r="AB1462" s="101"/>
      <c r="AC1462" s="119"/>
      <c r="AD1462" s="119"/>
      <c r="AE1462" s="120"/>
      <c r="AF1462" s="119"/>
      <c r="AG1462" s="119"/>
      <c r="AH1462" s="120"/>
      <c r="AI1462" s="121"/>
      <c r="AJ1462" s="121"/>
      <c r="AK1462" s="121"/>
      <c r="AL1462" s="121"/>
      <c r="AM1462" s="122"/>
      <c r="AN1462" s="121"/>
      <c r="AP1462" s="87"/>
    </row>
    <row r="1463" spans="1:42">
      <c r="A1463" s="3"/>
      <c r="B1463" s="3"/>
      <c r="C1463" s="3"/>
      <c r="D1463" s="3"/>
      <c r="E1463" s="3"/>
      <c r="F1463" s="3"/>
      <c r="G1463" s="3"/>
      <c r="H1463" s="3"/>
      <c r="I1463" s="100"/>
      <c r="J1463" s="101"/>
      <c r="K1463" s="101"/>
      <c r="L1463" s="101"/>
      <c r="M1463" s="101"/>
      <c r="N1463" s="101"/>
      <c r="O1463" s="101"/>
      <c r="P1463" s="101"/>
      <c r="Q1463" s="101"/>
      <c r="R1463" s="101"/>
      <c r="S1463" s="101"/>
      <c r="T1463" s="101"/>
      <c r="U1463" s="101"/>
      <c r="V1463" s="101"/>
      <c r="W1463" s="101"/>
      <c r="X1463" s="101"/>
      <c r="Y1463" s="101"/>
      <c r="Z1463" s="101"/>
      <c r="AA1463" s="101"/>
      <c r="AB1463" s="101"/>
      <c r="AC1463" s="119"/>
      <c r="AD1463" s="119"/>
      <c r="AE1463" s="120"/>
      <c r="AF1463" s="119"/>
      <c r="AG1463" s="119"/>
      <c r="AH1463" s="120"/>
      <c r="AI1463" s="121"/>
      <c r="AJ1463" s="121"/>
      <c r="AK1463" s="121"/>
      <c r="AL1463" s="121"/>
      <c r="AM1463" s="122"/>
      <c r="AN1463" s="121"/>
      <c r="AP1463" s="87"/>
    </row>
    <row r="1464" spans="1:42">
      <c r="A1464" s="3"/>
      <c r="B1464" s="3"/>
      <c r="C1464" s="3"/>
      <c r="D1464" s="3"/>
      <c r="E1464" s="3"/>
      <c r="F1464" s="3"/>
      <c r="G1464" s="3"/>
      <c r="H1464" s="3"/>
      <c r="I1464" s="100"/>
      <c r="J1464" s="101"/>
      <c r="K1464" s="101"/>
      <c r="L1464" s="101"/>
      <c r="M1464" s="101"/>
      <c r="N1464" s="101"/>
      <c r="O1464" s="101"/>
      <c r="P1464" s="101"/>
      <c r="Q1464" s="101"/>
      <c r="R1464" s="101"/>
      <c r="S1464" s="101"/>
      <c r="T1464" s="101"/>
      <c r="U1464" s="101"/>
      <c r="V1464" s="101"/>
      <c r="W1464" s="101"/>
      <c r="X1464" s="101"/>
      <c r="Y1464" s="101"/>
      <c r="Z1464" s="101"/>
      <c r="AA1464" s="101"/>
      <c r="AB1464" s="101"/>
      <c r="AC1464" s="119"/>
      <c r="AD1464" s="119"/>
      <c r="AE1464" s="120"/>
      <c r="AF1464" s="119"/>
      <c r="AG1464" s="119"/>
      <c r="AH1464" s="120"/>
      <c r="AI1464" s="121"/>
      <c r="AJ1464" s="121"/>
      <c r="AK1464" s="121"/>
      <c r="AL1464" s="121"/>
      <c r="AM1464" s="122"/>
      <c r="AN1464" s="121"/>
      <c r="AP1464" s="87"/>
    </row>
    <row r="1465" spans="1:42">
      <c r="A1465" s="3"/>
      <c r="B1465" s="3"/>
      <c r="C1465" s="3"/>
      <c r="D1465" s="3"/>
      <c r="E1465" s="3"/>
      <c r="F1465" s="3"/>
      <c r="G1465" s="3"/>
      <c r="H1465" s="3"/>
      <c r="I1465" s="100"/>
      <c r="J1465" s="101"/>
      <c r="K1465" s="101"/>
      <c r="L1465" s="101"/>
      <c r="M1465" s="101"/>
      <c r="N1465" s="101"/>
      <c r="O1465" s="101"/>
      <c r="P1465" s="101"/>
      <c r="Q1465" s="101"/>
      <c r="R1465" s="101"/>
      <c r="S1465" s="101"/>
      <c r="T1465" s="101"/>
      <c r="U1465" s="101"/>
      <c r="V1465" s="101"/>
      <c r="W1465" s="101"/>
      <c r="X1465" s="101"/>
      <c r="Y1465" s="101"/>
      <c r="Z1465" s="101"/>
      <c r="AA1465" s="101"/>
      <c r="AB1465" s="101"/>
      <c r="AC1465" s="119"/>
      <c r="AD1465" s="119"/>
      <c r="AE1465" s="120"/>
      <c r="AF1465" s="119"/>
      <c r="AG1465" s="119"/>
      <c r="AH1465" s="120"/>
      <c r="AI1465" s="121"/>
      <c r="AJ1465" s="121"/>
      <c r="AK1465" s="121"/>
      <c r="AL1465" s="121"/>
      <c r="AM1465" s="122"/>
      <c r="AN1465" s="121"/>
      <c r="AP1465" s="87"/>
    </row>
    <row r="1466" spans="1:42">
      <c r="A1466" s="3"/>
      <c r="B1466" s="3"/>
      <c r="C1466" s="3"/>
      <c r="D1466" s="3"/>
      <c r="E1466" s="3"/>
      <c r="F1466" s="3"/>
      <c r="G1466" s="3"/>
      <c r="H1466" s="3"/>
      <c r="I1466" s="100"/>
      <c r="J1466" s="101"/>
      <c r="K1466" s="101"/>
      <c r="L1466" s="101"/>
      <c r="M1466" s="101"/>
      <c r="N1466" s="101"/>
      <c r="O1466" s="101"/>
      <c r="P1466" s="101"/>
      <c r="Q1466" s="101"/>
      <c r="R1466" s="101"/>
      <c r="S1466" s="101"/>
      <c r="T1466" s="101"/>
      <c r="U1466" s="101"/>
      <c r="V1466" s="101"/>
      <c r="W1466" s="101"/>
      <c r="X1466" s="101"/>
      <c r="Y1466" s="101"/>
      <c r="Z1466" s="101"/>
      <c r="AA1466" s="101"/>
      <c r="AB1466" s="101"/>
      <c r="AC1466" s="119"/>
      <c r="AD1466" s="119"/>
      <c r="AE1466" s="120"/>
      <c r="AF1466" s="119"/>
      <c r="AG1466" s="119"/>
      <c r="AH1466" s="120"/>
      <c r="AI1466" s="121"/>
      <c r="AJ1466" s="121"/>
      <c r="AK1466" s="121"/>
      <c r="AL1466" s="121"/>
      <c r="AM1466" s="122"/>
      <c r="AN1466" s="121"/>
      <c r="AP1466" s="87"/>
    </row>
    <row r="1467" spans="1:42">
      <c r="A1467" s="3"/>
      <c r="B1467" s="3"/>
      <c r="C1467" s="3"/>
      <c r="D1467" s="3"/>
      <c r="E1467" s="3"/>
      <c r="F1467" s="3"/>
      <c r="G1467" s="3"/>
      <c r="H1467" s="3"/>
      <c r="I1467" s="100"/>
      <c r="J1467" s="101"/>
      <c r="K1467" s="101"/>
      <c r="L1467" s="101"/>
      <c r="M1467" s="101"/>
      <c r="N1467" s="101"/>
      <c r="O1467" s="101"/>
      <c r="P1467" s="101"/>
      <c r="Q1467" s="101"/>
      <c r="R1467" s="101"/>
      <c r="S1467" s="101"/>
      <c r="T1467" s="101"/>
      <c r="U1467" s="101"/>
      <c r="V1467" s="101"/>
      <c r="W1467" s="101"/>
      <c r="X1467" s="101"/>
      <c r="Y1467" s="101"/>
      <c r="Z1467" s="101"/>
      <c r="AA1467" s="101"/>
      <c r="AB1467" s="101"/>
      <c r="AC1467" s="119"/>
      <c r="AD1467" s="119"/>
      <c r="AE1467" s="120"/>
      <c r="AF1467" s="119"/>
      <c r="AG1467" s="119"/>
      <c r="AH1467" s="120"/>
      <c r="AI1467" s="121"/>
      <c r="AJ1467" s="121"/>
      <c r="AK1467" s="121"/>
      <c r="AL1467" s="121"/>
      <c r="AM1467" s="122"/>
      <c r="AN1467" s="121"/>
      <c r="AP1467" s="87"/>
    </row>
    <row r="1468" spans="1:42">
      <c r="A1468" s="3"/>
      <c r="B1468" s="3"/>
      <c r="C1468" s="3"/>
      <c r="D1468" s="3"/>
      <c r="E1468" s="3"/>
      <c r="F1468" s="3"/>
      <c r="G1468" s="3"/>
      <c r="H1468" s="3"/>
      <c r="I1468" s="100"/>
      <c r="J1468" s="101"/>
      <c r="K1468" s="101"/>
      <c r="L1468" s="101"/>
      <c r="M1468" s="101"/>
      <c r="N1468" s="101"/>
      <c r="O1468" s="101"/>
      <c r="P1468" s="101"/>
      <c r="Q1468" s="101"/>
      <c r="R1468" s="101"/>
      <c r="S1468" s="101"/>
      <c r="T1468" s="101"/>
      <c r="U1468" s="101"/>
      <c r="V1468" s="101"/>
      <c r="W1468" s="101"/>
      <c r="X1468" s="101"/>
      <c r="Y1468" s="101"/>
      <c r="Z1468" s="101"/>
      <c r="AA1468" s="101"/>
      <c r="AB1468" s="101"/>
      <c r="AC1468" s="119"/>
      <c r="AD1468" s="119"/>
      <c r="AE1468" s="120"/>
      <c r="AF1468" s="119"/>
      <c r="AG1468" s="119"/>
      <c r="AH1468" s="120"/>
      <c r="AI1468" s="121"/>
      <c r="AJ1468" s="121"/>
      <c r="AK1468" s="121"/>
      <c r="AL1468" s="121"/>
      <c r="AM1468" s="122"/>
      <c r="AN1468" s="121"/>
      <c r="AP1468" s="87"/>
    </row>
    <row r="1469" spans="1:42">
      <c r="A1469" s="3"/>
      <c r="B1469" s="3"/>
      <c r="C1469" s="3"/>
      <c r="D1469" s="3"/>
      <c r="E1469" s="3"/>
      <c r="F1469" s="3"/>
      <c r="G1469" s="3"/>
      <c r="H1469" s="3"/>
      <c r="I1469" s="100"/>
      <c r="J1469" s="101"/>
      <c r="K1469" s="101"/>
      <c r="L1469" s="101"/>
      <c r="M1469" s="101"/>
      <c r="N1469" s="101"/>
      <c r="O1469" s="101"/>
      <c r="P1469" s="101"/>
      <c r="Q1469" s="101"/>
      <c r="R1469" s="101"/>
      <c r="S1469" s="101"/>
      <c r="T1469" s="101"/>
      <c r="U1469" s="101"/>
      <c r="V1469" s="101"/>
      <c r="W1469" s="101"/>
      <c r="X1469" s="101"/>
      <c r="Y1469" s="101"/>
      <c r="Z1469" s="101"/>
      <c r="AA1469" s="101"/>
      <c r="AB1469" s="101"/>
      <c r="AC1469" s="119"/>
      <c r="AD1469" s="119"/>
      <c r="AE1469" s="120"/>
      <c r="AF1469" s="119"/>
      <c r="AG1469" s="119"/>
      <c r="AH1469" s="120"/>
      <c r="AI1469" s="121"/>
      <c r="AJ1469" s="121"/>
      <c r="AK1469" s="121"/>
      <c r="AL1469" s="121"/>
      <c r="AM1469" s="122"/>
      <c r="AN1469" s="121"/>
      <c r="AP1469" s="87"/>
    </row>
    <row r="1470" spans="1:42">
      <c r="A1470" s="3"/>
      <c r="B1470" s="3"/>
      <c r="C1470" s="3"/>
      <c r="D1470" s="3"/>
      <c r="E1470" s="3"/>
      <c r="F1470" s="3"/>
      <c r="G1470" s="3"/>
      <c r="H1470" s="3"/>
      <c r="I1470" s="100"/>
      <c r="J1470" s="101"/>
      <c r="K1470" s="101"/>
      <c r="L1470" s="101"/>
      <c r="M1470" s="101"/>
      <c r="N1470" s="101"/>
      <c r="O1470" s="101"/>
      <c r="P1470" s="101"/>
      <c r="Q1470" s="101"/>
      <c r="R1470" s="101"/>
      <c r="S1470" s="101"/>
      <c r="T1470" s="101"/>
      <c r="U1470" s="101"/>
      <c r="V1470" s="101"/>
      <c r="W1470" s="101"/>
      <c r="X1470" s="101"/>
      <c r="Y1470" s="101"/>
      <c r="Z1470" s="101"/>
      <c r="AA1470" s="101"/>
      <c r="AB1470" s="101"/>
      <c r="AC1470" s="119"/>
      <c r="AD1470" s="119"/>
      <c r="AE1470" s="120"/>
      <c r="AF1470" s="119"/>
      <c r="AG1470" s="119"/>
      <c r="AH1470" s="120"/>
      <c r="AI1470" s="121"/>
      <c r="AJ1470" s="121"/>
      <c r="AK1470" s="121"/>
      <c r="AL1470" s="121"/>
      <c r="AM1470" s="122"/>
      <c r="AN1470" s="121"/>
      <c r="AP1470" s="87"/>
    </row>
    <row r="1471" spans="1:42">
      <c r="A1471" s="3"/>
      <c r="B1471" s="3"/>
      <c r="C1471" s="3"/>
      <c r="D1471" s="3"/>
      <c r="E1471" s="3"/>
      <c r="F1471" s="3"/>
      <c r="G1471" s="3"/>
      <c r="H1471" s="3"/>
      <c r="I1471" s="100"/>
      <c r="J1471" s="101"/>
      <c r="K1471" s="101"/>
      <c r="L1471" s="101"/>
      <c r="M1471" s="101"/>
      <c r="N1471" s="101"/>
      <c r="O1471" s="101"/>
      <c r="P1471" s="101"/>
      <c r="Q1471" s="101"/>
      <c r="R1471" s="101"/>
      <c r="S1471" s="101"/>
      <c r="T1471" s="101"/>
      <c r="U1471" s="101"/>
      <c r="V1471" s="101"/>
      <c r="W1471" s="101"/>
      <c r="X1471" s="101"/>
      <c r="Y1471" s="101"/>
      <c r="Z1471" s="101"/>
      <c r="AA1471" s="101"/>
      <c r="AB1471" s="101"/>
      <c r="AC1471" s="119"/>
      <c r="AD1471" s="119"/>
      <c r="AE1471" s="120"/>
      <c r="AF1471" s="119"/>
      <c r="AG1471" s="119"/>
      <c r="AH1471" s="120"/>
      <c r="AI1471" s="121"/>
      <c r="AJ1471" s="121"/>
      <c r="AK1471" s="121"/>
      <c r="AL1471" s="121"/>
      <c r="AM1471" s="122"/>
      <c r="AN1471" s="121"/>
      <c r="AP1471" s="87"/>
    </row>
    <row r="1472" spans="1:42">
      <c r="A1472" s="3"/>
      <c r="B1472" s="3"/>
      <c r="C1472" s="3"/>
      <c r="D1472" s="3"/>
      <c r="E1472" s="3"/>
      <c r="F1472" s="3"/>
      <c r="G1472" s="3"/>
      <c r="H1472" s="3"/>
      <c r="I1472" s="100"/>
      <c r="J1472" s="101"/>
      <c r="K1472" s="101"/>
      <c r="L1472" s="101"/>
      <c r="M1472" s="101"/>
      <c r="N1472" s="101"/>
      <c r="O1472" s="101"/>
      <c r="P1472" s="101"/>
      <c r="Q1472" s="101"/>
      <c r="R1472" s="101"/>
      <c r="S1472" s="101"/>
      <c r="T1472" s="101"/>
      <c r="U1472" s="101"/>
      <c r="V1472" s="101"/>
      <c r="W1472" s="101"/>
      <c r="X1472" s="101"/>
      <c r="Y1472" s="101"/>
      <c r="Z1472" s="101"/>
      <c r="AA1472" s="101"/>
      <c r="AB1472" s="101"/>
      <c r="AC1472" s="119"/>
      <c r="AD1472" s="119"/>
      <c r="AE1472" s="120"/>
      <c r="AF1472" s="119"/>
      <c r="AG1472" s="119"/>
      <c r="AH1472" s="120"/>
      <c r="AI1472" s="121"/>
      <c r="AJ1472" s="121"/>
      <c r="AK1472" s="121"/>
      <c r="AL1472" s="121"/>
      <c r="AM1472" s="122"/>
      <c r="AN1472" s="121"/>
      <c r="AP1472" s="87"/>
    </row>
    <row r="1473" spans="1:42">
      <c r="A1473" s="3"/>
      <c r="B1473" s="3"/>
      <c r="C1473" s="3"/>
      <c r="D1473" s="3"/>
      <c r="E1473" s="3"/>
      <c r="F1473" s="3"/>
      <c r="G1473" s="3"/>
      <c r="H1473" s="3"/>
      <c r="I1473" s="100"/>
      <c r="J1473" s="101"/>
      <c r="K1473" s="101"/>
      <c r="L1473" s="101"/>
      <c r="M1473" s="101"/>
      <c r="N1473" s="101"/>
      <c r="O1473" s="101"/>
      <c r="P1473" s="101"/>
      <c r="Q1473" s="101"/>
      <c r="R1473" s="101"/>
      <c r="S1473" s="101"/>
      <c r="T1473" s="101"/>
      <c r="U1473" s="101"/>
      <c r="V1473" s="101"/>
      <c r="W1473" s="101"/>
      <c r="X1473" s="101"/>
      <c r="Y1473" s="101"/>
      <c r="Z1473" s="101"/>
      <c r="AA1473" s="101"/>
      <c r="AB1473" s="101"/>
      <c r="AC1473" s="119"/>
      <c r="AD1473" s="119"/>
      <c r="AE1473" s="120"/>
      <c r="AF1473" s="119"/>
      <c r="AG1473" s="119"/>
      <c r="AH1473" s="120"/>
      <c r="AI1473" s="121"/>
      <c r="AJ1473" s="121"/>
      <c r="AK1473" s="121"/>
      <c r="AL1473" s="121"/>
      <c r="AM1473" s="122"/>
      <c r="AN1473" s="121"/>
      <c r="AP1473" s="87"/>
    </row>
    <row r="1474" spans="1:42">
      <c r="A1474" s="3"/>
      <c r="B1474" s="3"/>
      <c r="C1474" s="3"/>
      <c r="D1474" s="3"/>
      <c r="E1474" s="3"/>
      <c r="F1474" s="3"/>
      <c r="G1474" s="3"/>
      <c r="H1474" s="3"/>
      <c r="I1474" s="100"/>
      <c r="J1474" s="101"/>
      <c r="K1474" s="101"/>
      <c r="L1474" s="101"/>
      <c r="M1474" s="101"/>
      <c r="N1474" s="101"/>
      <c r="O1474" s="101"/>
      <c r="P1474" s="101"/>
      <c r="Q1474" s="101"/>
      <c r="R1474" s="101"/>
      <c r="S1474" s="101"/>
      <c r="T1474" s="101"/>
      <c r="U1474" s="101"/>
      <c r="V1474" s="101"/>
      <c r="W1474" s="101"/>
      <c r="X1474" s="101"/>
      <c r="Y1474" s="101"/>
      <c r="Z1474" s="101"/>
      <c r="AA1474" s="101"/>
      <c r="AB1474" s="101"/>
      <c r="AC1474" s="119"/>
      <c r="AD1474" s="119"/>
      <c r="AE1474" s="120"/>
      <c r="AF1474" s="119"/>
      <c r="AG1474" s="119"/>
      <c r="AH1474" s="120"/>
      <c r="AI1474" s="121"/>
      <c r="AJ1474" s="121"/>
      <c r="AK1474" s="121"/>
      <c r="AL1474" s="121"/>
      <c r="AM1474" s="122"/>
      <c r="AN1474" s="121"/>
      <c r="AP1474" s="87"/>
    </row>
    <row r="1475" spans="1:42">
      <c r="A1475" s="3"/>
      <c r="B1475" s="3"/>
      <c r="C1475" s="3"/>
      <c r="D1475" s="3"/>
      <c r="E1475" s="3"/>
      <c r="F1475" s="3"/>
      <c r="G1475" s="3"/>
      <c r="H1475" s="3"/>
      <c r="I1475" s="100"/>
      <c r="J1475" s="101"/>
      <c r="K1475" s="101"/>
      <c r="L1475" s="101"/>
      <c r="M1475" s="101"/>
      <c r="N1475" s="101"/>
      <c r="O1475" s="101"/>
      <c r="P1475" s="101"/>
      <c r="Q1475" s="101"/>
      <c r="R1475" s="101"/>
      <c r="S1475" s="101"/>
      <c r="T1475" s="101"/>
      <c r="U1475" s="101"/>
      <c r="V1475" s="101"/>
      <c r="W1475" s="101"/>
      <c r="X1475" s="101"/>
      <c r="Y1475" s="101"/>
      <c r="Z1475" s="101"/>
      <c r="AA1475" s="101"/>
      <c r="AB1475" s="101"/>
      <c r="AC1475" s="119"/>
      <c r="AD1475" s="119"/>
      <c r="AE1475" s="120"/>
      <c r="AF1475" s="119"/>
      <c r="AG1475" s="119"/>
      <c r="AH1475" s="120"/>
      <c r="AI1475" s="121"/>
      <c r="AJ1475" s="121"/>
      <c r="AK1475" s="121"/>
      <c r="AL1475" s="121"/>
      <c r="AM1475" s="122"/>
      <c r="AN1475" s="121"/>
      <c r="AP1475" s="87"/>
    </row>
    <row r="1476" spans="1:42">
      <c r="A1476" s="3"/>
      <c r="B1476" s="3"/>
      <c r="C1476" s="3"/>
      <c r="D1476" s="3"/>
      <c r="E1476" s="3"/>
      <c r="F1476" s="3"/>
      <c r="G1476" s="3"/>
      <c r="H1476" s="3"/>
      <c r="I1476" s="100"/>
      <c r="J1476" s="101"/>
      <c r="K1476" s="101"/>
      <c r="L1476" s="101"/>
      <c r="M1476" s="101"/>
      <c r="N1476" s="101"/>
      <c r="O1476" s="101"/>
      <c r="P1476" s="101"/>
      <c r="Q1476" s="101"/>
      <c r="R1476" s="101"/>
      <c r="S1476" s="101"/>
      <c r="T1476" s="101"/>
      <c r="U1476" s="101"/>
      <c r="V1476" s="101"/>
      <c r="W1476" s="101"/>
      <c r="X1476" s="101"/>
      <c r="Y1476" s="101"/>
      <c r="Z1476" s="101"/>
      <c r="AA1476" s="101"/>
      <c r="AB1476" s="101"/>
      <c r="AC1476" s="119"/>
      <c r="AD1476" s="119"/>
      <c r="AE1476" s="120"/>
      <c r="AF1476" s="119"/>
      <c r="AG1476" s="119"/>
      <c r="AH1476" s="120"/>
      <c r="AI1476" s="121"/>
      <c r="AJ1476" s="121"/>
      <c r="AK1476" s="121"/>
      <c r="AL1476" s="121"/>
      <c r="AM1476" s="122"/>
      <c r="AN1476" s="121"/>
      <c r="AP1476" s="87"/>
    </row>
    <row r="1477" spans="1:42">
      <c r="A1477" s="3"/>
      <c r="B1477" s="3"/>
      <c r="C1477" s="3"/>
      <c r="D1477" s="3"/>
      <c r="E1477" s="3"/>
      <c r="F1477" s="3"/>
      <c r="G1477" s="3"/>
      <c r="H1477" s="3"/>
      <c r="I1477" s="100"/>
      <c r="J1477" s="101"/>
      <c r="K1477" s="101"/>
      <c r="L1477" s="101"/>
      <c r="M1477" s="101"/>
      <c r="N1477" s="101"/>
      <c r="O1477" s="101"/>
      <c r="P1477" s="101"/>
      <c r="Q1477" s="101"/>
      <c r="R1477" s="101"/>
      <c r="S1477" s="101"/>
      <c r="T1477" s="101"/>
      <c r="U1477" s="101"/>
      <c r="V1477" s="101"/>
      <c r="W1477" s="101"/>
      <c r="X1477" s="101"/>
      <c r="Y1477" s="101"/>
      <c r="Z1477" s="101"/>
      <c r="AA1477" s="101"/>
      <c r="AB1477" s="101"/>
      <c r="AC1477" s="119"/>
      <c r="AD1477" s="119"/>
      <c r="AE1477" s="120"/>
      <c r="AF1477" s="119"/>
      <c r="AG1477" s="119"/>
      <c r="AH1477" s="120"/>
      <c r="AI1477" s="121"/>
      <c r="AJ1477" s="121"/>
      <c r="AK1477" s="121"/>
      <c r="AL1477" s="121"/>
      <c r="AM1477" s="122"/>
      <c r="AN1477" s="121"/>
      <c r="AP1477" s="87"/>
    </row>
    <row r="1478" spans="1:42">
      <c r="A1478" s="3"/>
      <c r="B1478" s="3"/>
      <c r="C1478" s="3"/>
      <c r="D1478" s="3"/>
      <c r="E1478" s="3"/>
      <c r="F1478" s="3"/>
      <c r="G1478" s="3"/>
      <c r="H1478" s="3"/>
      <c r="I1478" s="100"/>
      <c r="J1478" s="101"/>
      <c r="K1478" s="101"/>
      <c r="L1478" s="101"/>
      <c r="M1478" s="101"/>
      <c r="N1478" s="101"/>
      <c r="O1478" s="101"/>
      <c r="P1478" s="101"/>
      <c r="Q1478" s="101"/>
      <c r="R1478" s="101"/>
      <c r="S1478" s="101"/>
      <c r="T1478" s="101"/>
      <c r="U1478" s="101"/>
      <c r="V1478" s="101"/>
      <c r="W1478" s="101"/>
      <c r="X1478" s="101"/>
      <c r="Y1478" s="101"/>
      <c r="Z1478" s="101"/>
      <c r="AA1478" s="101"/>
      <c r="AB1478" s="101"/>
      <c r="AC1478" s="119"/>
      <c r="AD1478" s="119"/>
      <c r="AE1478" s="120"/>
      <c r="AF1478" s="119"/>
      <c r="AG1478" s="119"/>
      <c r="AH1478" s="120"/>
      <c r="AI1478" s="121"/>
      <c r="AJ1478" s="121"/>
      <c r="AK1478" s="121"/>
      <c r="AL1478" s="121"/>
      <c r="AM1478" s="122"/>
      <c r="AN1478" s="121"/>
      <c r="AP1478" s="87"/>
    </row>
    <row r="1479" spans="1:42">
      <c r="A1479" s="3"/>
      <c r="B1479" s="3"/>
      <c r="C1479" s="3"/>
      <c r="D1479" s="3"/>
      <c r="E1479" s="3"/>
      <c r="F1479" s="3"/>
      <c r="G1479" s="3"/>
      <c r="H1479" s="3"/>
      <c r="I1479" s="100"/>
      <c r="J1479" s="101"/>
      <c r="K1479" s="101"/>
      <c r="L1479" s="101"/>
      <c r="M1479" s="101"/>
      <c r="N1479" s="101"/>
      <c r="O1479" s="101"/>
      <c r="P1479" s="101"/>
      <c r="Q1479" s="101"/>
      <c r="R1479" s="101"/>
      <c r="S1479" s="101"/>
      <c r="T1479" s="101"/>
      <c r="U1479" s="101"/>
      <c r="V1479" s="101"/>
      <c r="W1479" s="101"/>
      <c r="X1479" s="101"/>
      <c r="Y1479" s="101"/>
      <c r="Z1479" s="101"/>
      <c r="AA1479" s="101"/>
      <c r="AB1479" s="101"/>
      <c r="AC1479" s="119"/>
      <c r="AD1479" s="119"/>
      <c r="AE1479" s="120"/>
      <c r="AF1479" s="119"/>
      <c r="AG1479" s="119"/>
      <c r="AH1479" s="120"/>
      <c r="AI1479" s="121"/>
      <c r="AJ1479" s="121"/>
      <c r="AK1479" s="121"/>
      <c r="AL1479" s="121"/>
      <c r="AM1479" s="122"/>
      <c r="AN1479" s="121"/>
      <c r="AP1479" s="87"/>
    </row>
    <row r="1480" spans="1:42">
      <c r="A1480" s="3"/>
      <c r="B1480" s="3"/>
      <c r="C1480" s="3"/>
      <c r="D1480" s="3"/>
      <c r="E1480" s="3"/>
      <c r="F1480" s="3"/>
      <c r="G1480" s="3"/>
      <c r="H1480" s="3"/>
      <c r="I1480" s="100"/>
      <c r="J1480" s="101"/>
      <c r="K1480" s="101"/>
      <c r="L1480" s="101"/>
      <c r="M1480" s="101"/>
      <c r="N1480" s="101"/>
      <c r="O1480" s="101"/>
      <c r="P1480" s="101"/>
      <c r="Q1480" s="101"/>
      <c r="R1480" s="101"/>
      <c r="S1480" s="101"/>
      <c r="T1480" s="101"/>
      <c r="U1480" s="101"/>
      <c r="V1480" s="101"/>
      <c r="W1480" s="101"/>
      <c r="X1480" s="101"/>
      <c r="Y1480" s="101"/>
      <c r="Z1480" s="101"/>
      <c r="AA1480" s="101"/>
      <c r="AB1480" s="101"/>
      <c r="AC1480" s="119"/>
      <c r="AD1480" s="119"/>
      <c r="AE1480" s="120"/>
      <c r="AF1480" s="119"/>
      <c r="AG1480" s="119"/>
      <c r="AH1480" s="120"/>
      <c r="AI1480" s="121"/>
      <c r="AJ1480" s="121"/>
      <c r="AK1480" s="121"/>
      <c r="AL1480" s="121"/>
      <c r="AM1480" s="122"/>
      <c r="AN1480" s="121"/>
      <c r="AP1480" s="87"/>
    </row>
    <row r="1481" spans="1:42">
      <c r="A1481" s="3"/>
      <c r="B1481" s="3"/>
      <c r="C1481" s="3"/>
      <c r="D1481" s="3"/>
      <c r="E1481" s="3"/>
      <c r="F1481" s="3"/>
      <c r="G1481" s="3"/>
      <c r="H1481" s="3"/>
      <c r="I1481" s="100"/>
      <c r="J1481" s="101"/>
      <c r="K1481" s="101"/>
      <c r="L1481" s="101"/>
      <c r="M1481" s="101"/>
      <c r="N1481" s="101"/>
      <c r="O1481" s="101"/>
      <c r="P1481" s="101"/>
      <c r="Q1481" s="101"/>
      <c r="R1481" s="101"/>
      <c r="S1481" s="101"/>
      <c r="T1481" s="101"/>
      <c r="U1481" s="101"/>
      <c r="V1481" s="101"/>
      <c r="W1481" s="101"/>
      <c r="X1481" s="101"/>
      <c r="Y1481" s="101"/>
      <c r="Z1481" s="101"/>
      <c r="AA1481" s="101"/>
      <c r="AB1481" s="101"/>
      <c r="AC1481" s="119"/>
      <c r="AD1481" s="119"/>
      <c r="AE1481" s="120"/>
      <c r="AF1481" s="119"/>
      <c r="AG1481" s="119"/>
      <c r="AH1481" s="120"/>
      <c r="AI1481" s="121"/>
      <c r="AJ1481" s="121"/>
      <c r="AK1481" s="121"/>
      <c r="AL1481" s="121"/>
      <c r="AM1481" s="122"/>
      <c r="AN1481" s="121"/>
      <c r="AP1481" s="87"/>
    </row>
    <row r="1482" spans="1:42">
      <c r="A1482" s="3"/>
      <c r="B1482" s="3"/>
      <c r="C1482" s="3"/>
      <c r="D1482" s="3"/>
      <c r="E1482" s="3"/>
      <c r="F1482" s="3"/>
      <c r="G1482" s="3"/>
      <c r="H1482" s="3"/>
      <c r="I1482" s="100"/>
      <c r="J1482" s="101"/>
      <c r="K1482" s="101"/>
      <c r="L1482" s="101"/>
      <c r="M1482" s="101"/>
      <c r="N1482" s="101"/>
      <c r="O1482" s="101"/>
      <c r="P1482" s="101"/>
      <c r="Q1482" s="101"/>
      <c r="R1482" s="101"/>
      <c r="S1482" s="101"/>
      <c r="T1482" s="101"/>
      <c r="U1482" s="101"/>
      <c r="V1482" s="101"/>
      <c r="W1482" s="101"/>
      <c r="X1482" s="101"/>
      <c r="Y1482" s="101"/>
      <c r="Z1482" s="101"/>
      <c r="AA1482" s="101"/>
      <c r="AB1482" s="101"/>
      <c r="AC1482" s="119"/>
      <c r="AD1482" s="119"/>
      <c r="AE1482" s="120"/>
      <c r="AF1482" s="119"/>
      <c r="AG1482" s="119"/>
      <c r="AH1482" s="120"/>
      <c r="AI1482" s="121"/>
      <c r="AJ1482" s="121"/>
      <c r="AK1482" s="121"/>
      <c r="AL1482" s="121"/>
      <c r="AM1482" s="122"/>
      <c r="AN1482" s="121"/>
      <c r="AP1482" s="87"/>
    </row>
    <row r="1483" spans="1:42">
      <c r="A1483" s="3"/>
      <c r="B1483" s="3"/>
      <c r="C1483" s="3"/>
      <c r="D1483" s="3"/>
      <c r="E1483" s="3"/>
      <c r="F1483" s="3"/>
      <c r="G1483" s="3"/>
      <c r="H1483" s="3"/>
      <c r="I1483" s="100"/>
      <c r="J1483" s="101"/>
      <c r="K1483" s="101"/>
      <c r="L1483" s="101"/>
      <c r="M1483" s="101"/>
      <c r="N1483" s="101"/>
      <c r="O1483" s="101"/>
      <c r="P1483" s="101"/>
      <c r="Q1483" s="101"/>
      <c r="R1483" s="101"/>
      <c r="S1483" s="101"/>
      <c r="T1483" s="101"/>
      <c r="U1483" s="101"/>
      <c r="V1483" s="101"/>
      <c r="W1483" s="101"/>
      <c r="X1483" s="101"/>
      <c r="Y1483" s="101"/>
      <c r="Z1483" s="101"/>
      <c r="AA1483" s="101"/>
      <c r="AB1483" s="101"/>
      <c r="AC1483" s="119"/>
      <c r="AD1483" s="119"/>
      <c r="AE1483" s="120"/>
      <c r="AF1483" s="119"/>
      <c r="AG1483" s="119"/>
      <c r="AH1483" s="120"/>
      <c r="AI1483" s="121"/>
      <c r="AJ1483" s="121"/>
      <c r="AK1483" s="121"/>
      <c r="AL1483" s="121"/>
      <c r="AM1483" s="122"/>
      <c r="AN1483" s="121"/>
      <c r="AP1483" s="87"/>
    </row>
    <row r="1484" spans="1:42">
      <c r="A1484" s="3"/>
      <c r="B1484" s="3"/>
      <c r="C1484" s="3"/>
      <c r="D1484" s="3"/>
      <c r="E1484" s="3"/>
      <c r="F1484" s="3"/>
      <c r="G1484" s="3"/>
      <c r="H1484" s="3"/>
      <c r="I1484" s="100"/>
      <c r="J1484" s="101"/>
      <c r="K1484" s="101"/>
      <c r="L1484" s="101"/>
      <c r="M1484" s="101"/>
      <c r="N1484" s="101"/>
      <c r="O1484" s="101"/>
      <c r="P1484" s="101"/>
      <c r="Q1484" s="101"/>
      <c r="R1484" s="101"/>
      <c r="S1484" s="101"/>
      <c r="T1484" s="101"/>
      <c r="U1484" s="101"/>
      <c r="V1484" s="101"/>
      <c r="W1484" s="101"/>
      <c r="X1484" s="101"/>
      <c r="Y1484" s="101"/>
      <c r="Z1484" s="101"/>
      <c r="AA1484" s="101"/>
      <c r="AB1484" s="101"/>
      <c r="AC1484" s="119"/>
      <c r="AD1484" s="119"/>
      <c r="AE1484" s="120"/>
      <c r="AF1484" s="119"/>
      <c r="AG1484" s="119"/>
      <c r="AH1484" s="120"/>
      <c r="AI1484" s="121"/>
      <c r="AJ1484" s="121"/>
      <c r="AK1484" s="121"/>
      <c r="AL1484" s="121"/>
      <c r="AM1484" s="122"/>
      <c r="AN1484" s="121"/>
      <c r="AP1484" s="87"/>
    </row>
    <row r="1485" spans="1:42">
      <c r="A1485" s="3"/>
      <c r="B1485" s="3"/>
      <c r="C1485" s="3"/>
      <c r="D1485" s="3"/>
      <c r="E1485" s="3"/>
      <c r="F1485" s="3"/>
      <c r="G1485" s="3"/>
      <c r="H1485" s="3"/>
      <c r="I1485" s="100"/>
      <c r="J1485" s="101"/>
      <c r="K1485" s="101"/>
      <c r="L1485" s="101"/>
      <c r="M1485" s="101"/>
      <c r="N1485" s="101"/>
      <c r="O1485" s="101"/>
      <c r="P1485" s="101"/>
      <c r="Q1485" s="101"/>
      <c r="R1485" s="101"/>
      <c r="S1485" s="101"/>
      <c r="T1485" s="101"/>
      <c r="U1485" s="101"/>
      <c r="V1485" s="101"/>
      <c r="W1485" s="101"/>
      <c r="X1485" s="101"/>
      <c r="Y1485" s="101"/>
      <c r="Z1485" s="101"/>
      <c r="AA1485" s="101"/>
      <c r="AB1485" s="101"/>
      <c r="AC1485" s="119"/>
      <c r="AD1485" s="119"/>
      <c r="AE1485" s="120"/>
      <c r="AF1485" s="119"/>
      <c r="AG1485" s="119"/>
      <c r="AH1485" s="120"/>
      <c r="AI1485" s="121"/>
      <c r="AJ1485" s="121"/>
      <c r="AK1485" s="121"/>
      <c r="AL1485" s="121"/>
      <c r="AM1485" s="122"/>
      <c r="AN1485" s="121"/>
      <c r="AP1485" s="87"/>
    </row>
    <row r="1486" spans="1:42">
      <c r="A1486" s="3"/>
      <c r="B1486" s="3"/>
      <c r="C1486" s="3"/>
      <c r="D1486" s="3"/>
      <c r="E1486" s="3"/>
      <c r="F1486" s="3"/>
      <c r="G1486" s="3"/>
      <c r="H1486" s="3"/>
      <c r="I1486" s="100"/>
      <c r="J1486" s="101"/>
      <c r="K1486" s="101"/>
      <c r="L1486" s="101"/>
      <c r="M1486" s="101"/>
      <c r="N1486" s="101"/>
      <c r="O1486" s="101"/>
      <c r="P1486" s="101"/>
      <c r="Q1486" s="101"/>
      <c r="R1486" s="101"/>
      <c r="S1486" s="101"/>
      <c r="T1486" s="101"/>
      <c r="U1486" s="101"/>
      <c r="V1486" s="101"/>
      <c r="W1486" s="101"/>
      <c r="X1486" s="101"/>
      <c r="Y1486" s="101"/>
      <c r="Z1486" s="101"/>
      <c r="AA1486" s="101"/>
      <c r="AB1486" s="101"/>
      <c r="AC1486" s="119"/>
      <c r="AD1486" s="119"/>
      <c r="AE1486" s="120"/>
      <c r="AF1486" s="119"/>
      <c r="AG1486" s="119"/>
      <c r="AH1486" s="120"/>
      <c r="AI1486" s="121"/>
      <c r="AJ1486" s="121"/>
      <c r="AK1486" s="121"/>
      <c r="AL1486" s="121"/>
      <c r="AM1486" s="122"/>
      <c r="AN1486" s="121"/>
      <c r="AP1486" s="87"/>
    </row>
    <row r="1487" spans="1:42">
      <c r="A1487" s="3"/>
      <c r="B1487" s="3"/>
      <c r="C1487" s="3"/>
      <c r="D1487" s="3"/>
      <c r="E1487" s="3"/>
      <c r="F1487" s="3"/>
      <c r="G1487" s="3"/>
      <c r="H1487" s="3"/>
      <c r="I1487" s="100"/>
      <c r="J1487" s="101"/>
      <c r="K1487" s="101"/>
      <c r="L1487" s="101"/>
      <c r="M1487" s="101"/>
      <c r="N1487" s="101"/>
      <c r="O1487" s="101"/>
      <c r="P1487" s="101"/>
      <c r="Q1487" s="101"/>
      <c r="R1487" s="101"/>
      <c r="S1487" s="101"/>
      <c r="T1487" s="101"/>
      <c r="U1487" s="101"/>
      <c r="V1487" s="101"/>
      <c r="W1487" s="101"/>
      <c r="X1487" s="101"/>
      <c r="Y1487" s="101"/>
      <c r="Z1487" s="101"/>
      <c r="AA1487" s="101"/>
      <c r="AB1487" s="101"/>
      <c r="AC1487" s="119"/>
      <c r="AD1487" s="119"/>
      <c r="AE1487" s="120"/>
      <c r="AF1487" s="119"/>
      <c r="AG1487" s="119"/>
      <c r="AH1487" s="120"/>
      <c r="AI1487" s="121"/>
      <c r="AJ1487" s="121"/>
      <c r="AK1487" s="121"/>
      <c r="AL1487" s="121"/>
      <c r="AM1487" s="122"/>
      <c r="AN1487" s="121"/>
      <c r="AP1487" s="87"/>
    </row>
    <row r="1488" spans="1:42">
      <c r="A1488" s="3"/>
      <c r="B1488" s="3"/>
      <c r="C1488" s="3"/>
      <c r="D1488" s="3"/>
      <c r="E1488" s="3"/>
      <c r="F1488" s="3"/>
      <c r="G1488" s="3"/>
      <c r="H1488" s="3"/>
      <c r="I1488" s="100"/>
      <c r="J1488" s="101"/>
      <c r="K1488" s="101"/>
      <c r="L1488" s="101"/>
      <c r="M1488" s="101"/>
      <c r="N1488" s="101"/>
      <c r="O1488" s="101"/>
      <c r="P1488" s="101"/>
      <c r="Q1488" s="101"/>
      <c r="R1488" s="101"/>
      <c r="S1488" s="101"/>
      <c r="T1488" s="101"/>
      <c r="U1488" s="101"/>
      <c r="V1488" s="101"/>
      <c r="W1488" s="101"/>
      <c r="X1488" s="101"/>
      <c r="Y1488" s="101"/>
      <c r="Z1488" s="101"/>
      <c r="AA1488" s="101"/>
      <c r="AB1488" s="101"/>
      <c r="AC1488" s="119"/>
      <c r="AD1488" s="119"/>
      <c r="AE1488" s="120"/>
      <c r="AF1488" s="119"/>
      <c r="AG1488" s="119"/>
      <c r="AH1488" s="120"/>
      <c r="AI1488" s="121"/>
      <c r="AJ1488" s="121"/>
      <c r="AK1488" s="121"/>
      <c r="AL1488" s="121"/>
      <c r="AM1488" s="122"/>
      <c r="AN1488" s="121"/>
      <c r="AP1488" s="87"/>
    </row>
    <row r="1489" spans="1:42">
      <c r="A1489" s="3"/>
      <c r="B1489" s="3"/>
      <c r="C1489" s="3"/>
      <c r="D1489" s="3"/>
      <c r="E1489" s="3"/>
      <c r="F1489" s="3"/>
      <c r="G1489" s="3"/>
      <c r="H1489" s="3"/>
      <c r="I1489" s="100"/>
      <c r="J1489" s="101"/>
      <c r="K1489" s="101"/>
      <c r="L1489" s="101"/>
      <c r="M1489" s="101"/>
      <c r="N1489" s="101"/>
      <c r="O1489" s="101"/>
      <c r="P1489" s="101"/>
      <c r="Q1489" s="101"/>
      <c r="R1489" s="101"/>
      <c r="S1489" s="101"/>
      <c r="T1489" s="101"/>
      <c r="U1489" s="101"/>
      <c r="V1489" s="101"/>
      <c r="W1489" s="101"/>
      <c r="X1489" s="101"/>
      <c r="Y1489" s="101"/>
      <c r="Z1489" s="101"/>
      <c r="AA1489" s="101"/>
      <c r="AB1489" s="101"/>
      <c r="AC1489" s="119"/>
      <c r="AD1489" s="119"/>
      <c r="AE1489" s="120"/>
      <c r="AF1489" s="119"/>
      <c r="AG1489" s="119"/>
      <c r="AH1489" s="120"/>
      <c r="AI1489" s="121"/>
      <c r="AJ1489" s="121"/>
      <c r="AK1489" s="121"/>
      <c r="AL1489" s="121"/>
      <c r="AM1489" s="122"/>
      <c r="AN1489" s="121"/>
      <c r="AP1489" s="87"/>
    </row>
    <row r="1490" spans="1:42">
      <c r="A1490" s="3"/>
      <c r="B1490" s="3"/>
      <c r="C1490" s="3"/>
      <c r="D1490" s="3"/>
      <c r="E1490" s="3"/>
      <c r="F1490" s="3"/>
      <c r="G1490" s="3"/>
      <c r="H1490" s="3"/>
      <c r="I1490" s="100"/>
      <c r="J1490" s="101"/>
      <c r="K1490" s="101"/>
      <c r="L1490" s="101"/>
      <c r="M1490" s="101"/>
      <c r="N1490" s="101"/>
      <c r="O1490" s="101"/>
      <c r="P1490" s="101"/>
      <c r="Q1490" s="101"/>
      <c r="R1490" s="101"/>
      <c r="S1490" s="101"/>
      <c r="T1490" s="101"/>
      <c r="U1490" s="101"/>
      <c r="V1490" s="101"/>
      <c r="W1490" s="101"/>
      <c r="X1490" s="101"/>
      <c r="Y1490" s="101"/>
      <c r="Z1490" s="101"/>
      <c r="AA1490" s="101"/>
      <c r="AB1490" s="101"/>
      <c r="AC1490" s="119"/>
      <c r="AD1490" s="119"/>
      <c r="AE1490" s="120"/>
      <c r="AF1490" s="119"/>
      <c r="AG1490" s="119"/>
      <c r="AH1490" s="120"/>
      <c r="AI1490" s="121"/>
      <c r="AJ1490" s="121"/>
      <c r="AK1490" s="121"/>
      <c r="AL1490" s="121"/>
      <c r="AM1490" s="122"/>
      <c r="AN1490" s="121"/>
      <c r="AP1490" s="87"/>
    </row>
    <row r="1491" spans="1:42">
      <c r="A1491" s="3"/>
      <c r="B1491" s="3"/>
      <c r="C1491" s="3"/>
      <c r="D1491" s="3"/>
      <c r="E1491" s="3"/>
      <c r="F1491" s="3"/>
      <c r="G1491" s="3"/>
      <c r="H1491" s="3"/>
      <c r="I1491" s="100"/>
      <c r="J1491" s="101"/>
      <c r="K1491" s="101"/>
      <c r="L1491" s="101"/>
      <c r="M1491" s="101"/>
      <c r="N1491" s="101"/>
      <c r="O1491" s="101"/>
      <c r="P1491" s="101"/>
      <c r="Q1491" s="101"/>
      <c r="R1491" s="101"/>
      <c r="S1491" s="101"/>
      <c r="T1491" s="101"/>
      <c r="U1491" s="101"/>
      <c r="V1491" s="101"/>
      <c r="W1491" s="101"/>
      <c r="X1491" s="101"/>
      <c r="Y1491" s="101"/>
      <c r="Z1491" s="101"/>
      <c r="AA1491" s="101"/>
      <c r="AB1491" s="101"/>
      <c r="AC1491" s="119"/>
      <c r="AD1491" s="119"/>
      <c r="AE1491" s="120"/>
      <c r="AF1491" s="119"/>
      <c r="AG1491" s="119"/>
      <c r="AH1491" s="120"/>
      <c r="AI1491" s="121"/>
      <c r="AJ1491" s="121"/>
      <c r="AK1491" s="121"/>
      <c r="AL1491" s="121"/>
      <c r="AM1491" s="122"/>
      <c r="AN1491" s="121"/>
      <c r="AP1491" s="87"/>
    </row>
    <row r="1492" spans="1:42">
      <c r="A1492" s="3"/>
      <c r="B1492" s="3"/>
      <c r="C1492" s="3"/>
      <c r="D1492" s="3"/>
      <c r="E1492" s="3"/>
      <c r="F1492" s="3"/>
      <c r="G1492" s="3"/>
      <c r="H1492" s="3"/>
      <c r="I1492" s="100"/>
      <c r="J1492" s="101"/>
      <c r="K1492" s="101"/>
      <c r="L1492" s="101"/>
      <c r="M1492" s="101"/>
      <c r="N1492" s="101"/>
      <c r="O1492" s="101"/>
      <c r="P1492" s="101"/>
      <c r="Q1492" s="101"/>
      <c r="R1492" s="101"/>
      <c r="S1492" s="101"/>
      <c r="T1492" s="101"/>
      <c r="U1492" s="101"/>
      <c r="V1492" s="101"/>
      <c r="W1492" s="101"/>
      <c r="X1492" s="101"/>
      <c r="Y1492" s="101"/>
      <c r="Z1492" s="101"/>
      <c r="AA1492" s="101"/>
      <c r="AB1492" s="101"/>
      <c r="AC1492" s="119"/>
      <c r="AD1492" s="119"/>
      <c r="AE1492" s="120"/>
      <c r="AF1492" s="119"/>
      <c r="AG1492" s="119"/>
      <c r="AH1492" s="120"/>
      <c r="AI1492" s="121"/>
      <c r="AJ1492" s="121"/>
      <c r="AK1492" s="121"/>
      <c r="AL1492" s="121"/>
      <c r="AM1492" s="122"/>
      <c r="AN1492" s="121"/>
      <c r="AP1492" s="87"/>
    </row>
    <row r="1493" spans="1:42">
      <c r="A1493" s="3"/>
      <c r="B1493" s="3"/>
      <c r="C1493" s="3"/>
      <c r="D1493" s="3"/>
      <c r="E1493" s="3"/>
      <c r="F1493" s="3"/>
      <c r="G1493" s="3"/>
      <c r="H1493" s="3"/>
      <c r="I1493" s="100"/>
      <c r="J1493" s="101"/>
      <c r="K1493" s="101"/>
      <c r="L1493" s="101"/>
      <c r="M1493" s="101"/>
      <c r="N1493" s="101"/>
      <c r="O1493" s="101"/>
      <c r="P1493" s="101"/>
      <c r="Q1493" s="101"/>
      <c r="R1493" s="101"/>
      <c r="S1493" s="101"/>
      <c r="T1493" s="101"/>
      <c r="U1493" s="101"/>
      <c r="V1493" s="101"/>
      <c r="W1493" s="101"/>
      <c r="X1493" s="101"/>
      <c r="Y1493" s="101"/>
      <c r="Z1493" s="101"/>
      <c r="AA1493" s="101"/>
      <c r="AB1493" s="101"/>
      <c r="AC1493" s="119"/>
      <c r="AD1493" s="119"/>
      <c r="AE1493" s="120"/>
      <c r="AF1493" s="119"/>
      <c r="AG1493" s="119"/>
      <c r="AH1493" s="120"/>
      <c r="AI1493" s="121"/>
      <c r="AJ1493" s="121"/>
      <c r="AK1493" s="121"/>
      <c r="AL1493" s="121"/>
      <c r="AM1493" s="122"/>
      <c r="AN1493" s="121"/>
      <c r="AP1493" s="87"/>
    </row>
    <row r="1494" spans="1:42">
      <c r="A1494" s="3"/>
      <c r="B1494" s="3"/>
      <c r="C1494" s="3"/>
      <c r="D1494" s="3"/>
      <c r="E1494" s="3"/>
      <c r="F1494" s="3"/>
      <c r="G1494" s="3"/>
      <c r="H1494" s="3"/>
      <c r="I1494" s="100"/>
      <c r="J1494" s="101"/>
      <c r="K1494" s="101"/>
      <c r="L1494" s="101"/>
      <c r="M1494" s="101"/>
      <c r="N1494" s="101"/>
      <c r="O1494" s="101"/>
      <c r="P1494" s="101"/>
      <c r="Q1494" s="101"/>
      <c r="R1494" s="101"/>
      <c r="S1494" s="101"/>
      <c r="T1494" s="101"/>
      <c r="U1494" s="101"/>
      <c r="V1494" s="101"/>
      <c r="W1494" s="101"/>
      <c r="X1494" s="101"/>
      <c r="Y1494" s="101"/>
      <c r="Z1494" s="101"/>
      <c r="AA1494" s="101"/>
      <c r="AB1494" s="101"/>
      <c r="AC1494" s="119"/>
      <c r="AD1494" s="119"/>
      <c r="AE1494" s="120"/>
      <c r="AF1494" s="119"/>
      <c r="AG1494" s="119"/>
      <c r="AH1494" s="120"/>
      <c r="AI1494" s="121"/>
      <c r="AJ1494" s="121"/>
      <c r="AK1494" s="121"/>
      <c r="AL1494" s="121"/>
      <c r="AM1494" s="122"/>
      <c r="AN1494" s="121"/>
      <c r="AP1494" s="87"/>
    </row>
    <row r="1495" spans="1:42">
      <c r="A1495" s="3"/>
      <c r="B1495" s="3"/>
      <c r="C1495" s="3"/>
      <c r="D1495" s="3"/>
      <c r="E1495" s="3"/>
      <c r="F1495" s="3"/>
      <c r="G1495" s="3"/>
      <c r="H1495" s="3"/>
      <c r="I1495" s="100"/>
      <c r="J1495" s="101"/>
      <c r="K1495" s="101"/>
      <c r="L1495" s="101"/>
      <c r="M1495" s="101"/>
      <c r="N1495" s="101"/>
      <c r="O1495" s="101"/>
      <c r="P1495" s="101"/>
      <c r="Q1495" s="101"/>
      <c r="R1495" s="101"/>
      <c r="S1495" s="101"/>
      <c r="T1495" s="101"/>
      <c r="U1495" s="101"/>
      <c r="V1495" s="101"/>
      <c r="W1495" s="101"/>
      <c r="X1495" s="101"/>
      <c r="Y1495" s="101"/>
      <c r="Z1495" s="101"/>
      <c r="AA1495" s="101"/>
      <c r="AB1495" s="101"/>
      <c r="AC1495" s="119"/>
      <c r="AD1495" s="119"/>
      <c r="AE1495" s="120"/>
      <c r="AF1495" s="119"/>
      <c r="AG1495" s="119"/>
      <c r="AH1495" s="120"/>
      <c r="AI1495" s="121"/>
      <c r="AJ1495" s="121"/>
      <c r="AK1495" s="121"/>
      <c r="AL1495" s="121"/>
      <c r="AM1495" s="122"/>
      <c r="AN1495" s="121"/>
      <c r="AP1495" s="87"/>
    </row>
    <row r="1496" spans="1:42">
      <c r="A1496" s="3"/>
      <c r="B1496" s="3"/>
      <c r="C1496" s="3"/>
      <c r="D1496" s="3"/>
      <c r="E1496" s="3"/>
      <c r="F1496" s="3"/>
      <c r="G1496" s="3"/>
      <c r="H1496" s="3"/>
      <c r="I1496" s="100"/>
      <c r="J1496" s="101"/>
      <c r="K1496" s="101"/>
      <c r="L1496" s="101"/>
      <c r="M1496" s="101"/>
      <c r="N1496" s="101"/>
      <c r="O1496" s="101"/>
      <c r="P1496" s="101"/>
      <c r="Q1496" s="101"/>
      <c r="R1496" s="101"/>
      <c r="S1496" s="101"/>
      <c r="T1496" s="101"/>
      <c r="U1496" s="101"/>
      <c r="V1496" s="101"/>
      <c r="W1496" s="101"/>
      <c r="X1496" s="101"/>
      <c r="Y1496" s="101"/>
      <c r="Z1496" s="101"/>
      <c r="AA1496" s="101"/>
      <c r="AB1496" s="101"/>
      <c r="AC1496" s="119"/>
      <c r="AD1496" s="119"/>
      <c r="AE1496" s="120"/>
      <c r="AF1496" s="119"/>
      <c r="AG1496" s="119"/>
      <c r="AH1496" s="120"/>
      <c r="AI1496" s="121"/>
      <c r="AJ1496" s="121"/>
      <c r="AK1496" s="121"/>
      <c r="AL1496" s="121"/>
      <c r="AM1496" s="122"/>
      <c r="AN1496" s="121"/>
      <c r="AP1496" s="87"/>
    </row>
    <row r="1497" spans="1:42">
      <c r="A1497" s="3"/>
      <c r="B1497" s="3"/>
      <c r="C1497" s="3"/>
      <c r="D1497" s="3"/>
      <c r="E1497" s="3"/>
      <c r="F1497" s="3"/>
      <c r="G1497" s="3"/>
      <c r="H1497" s="3"/>
      <c r="I1497" s="100"/>
      <c r="J1497" s="101"/>
      <c r="K1497" s="101"/>
      <c r="L1497" s="101"/>
      <c r="M1497" s="101"/>
      <c r="N1497" s="101"/>
      <c r="O1497" s="101"/>
      <c r="P1497" s="101"/>
      <c r="Q1497" s="101"/>
      <c r="R1497" s="101"/>
      <c r="S1497" s="101"/>
      <c r="T1497" s="101"/>
      <c r="U1497" s="101"/>
      <c r="V1497" s="101"/>
      <c r="W1497" s="101"/>
      <c r="X1497" s="101"/>
      <c r="Y1497" s="101"/>
      <c r="Z1497" s="101"/>
      <c r="AA1497" s="101"/>
      <c r="AB1497" s="101"/>
      <c r="AC1497" s="119"/>
      <c r="AD1497" s="119"/>
      <c r="AE1497" s="120"/>
      <c r="AF1497" s="119"/>
      <c r="AG1497" s="119"/>
      <c r="AH1497" s="120"/>
      <c r="AI1497" s="121"/>
      <c r="AJ1497" s="121"/>
      <c r="AK1497" s="121"/>
      <c r="AL1497" s="121"/>
      <c r="AM1497" s="122"/>
      <c r="AN1497" s="121"/>
      <c r="AP1497" s="87"/>
    </row>
    <row r="1498" spans="1:42">
      <c r="A1498" s="3"/>
      <c r="B1498" s="3"/>
      <c r="C1498" s="3"/>
      <c r="D1498" s="3"/>
      <c r="E1498" s="3"/>
      <c r="F1498" s="3"/>
      <c r="G1498" s="3"/>
      <c r="H1498" s="3"/>
      <c r="I1498" s="100"/>
      <c r="J1498" s="101"/>
      <c r="K1498" s="101"/>
      <c r="L1498" s="101"/>
      <c r="M1498" s="101"/>
      <c r="N1498" s="101"/>
      <c r="O1498" s="101"/>
      <c r="P1498" s="101"/>
      <c r="Q1498" s="101"/>
      <c r="R1498" s="101"/>
      <c r="S1498" s="101"/>
      <c r="T1498" s="101"/>
      <c r="U1498" s="101"/>
      <c r="V1498" s="101"/>
      <c r="W1498" s="101"/>
      <c r="X1498" s="101"/>
      <c r="Y1498" s="101"/>
      <c r="Z1498" s="101"/>
      <c r="AA1498" s="101"/>
      <c r="AB1498" s="101"/>
      <c r="AC1498" s="119"/>
      <c r="AD1498" s="119"/>
      <c r="AE1498" s="120"/>
      <c r="AF1498" s="119"/>
      <c r="AG1498" s="119"/>
      <c r="AH1498" s="120"/>
      <c r="AI1498" s="121"/>
      <c r="AJ1498" s="121"/>
      <c r="AK1498" s="121"/>
      <c r="AL1498" s="121"/>
      <c r="AM1498" s="122"/>
      <c r="AN1498" s="121"/>
      <c r="AP1498" s="87"/>
    </row>
    <row r="1499" spans="1:42">
      <c r="A1499" s="3"/>
      <c r="B1499" s="3"/>
      <c r="C1499" s="3"/>
      <c r="D1499" s="3"/>
      <c r="E1499" s="3"/>
      <c r="F1499" s="3"/>
      <c r="G1499" s="3"/>
      <c r="H1499" s="3"/>
      <c r="I1499" s="100"/>
      <c r="J1499" s="101"/>
      <c r="K1499" s="101"/>
      <c r="L1499" s="101"/>
      <c r="M1499" s="101"/>
      <c r="N1499" s="101"/>
      <c r="O1499" s="101"/>
      <c r="P1499" s="101"/>
      <c r="Q1499" s="101"/>
      <c r="R1499" s="101"/>
      <c r="S1499" s="101"/>
      <c r="T1499" s="101"/>
      <c r="U1499" s="101"/>
      <c r="V1499" s="101"/>
      <c r="W1499" s="101"/>
      <c r="X1499" s="101"/>
      <c r="Y1499" s="101"/>
      <c r="Z1499" s="101"/>
      <c r="AA1499" s="101"/>
      <c r="AB1499" s="101"/>
      <c r="AC1499" s="119"/>
      <c r="AD1499" s="119"/>
      <c r="AE1499" s="120"/>
      <c r="AF1499" s="119"/>
      <c r="AG1499" s="119"/>
      <c r="AH1499" s="120"/>
      <c r="AI1499" s="121"/>
      <c r="AJ1499" s="121"/>
      <c r="AK1499" s="121"/>
      <c r="AL1499" s="121"/>
      <c r="AM1499" s="122"/>
      <c r="AN1499" s="121"/>
      <c r="AP1499" s="87"/>
    </row>
    <row r="1500" spans="1:42">
      <c r="A1500" s="3"/>
      <c r="B1500" s="3"/>
      <c r="C1500" s="3"/>
      <c r="D1500" s="3"/>
      <c r="E1500" s="3"/>
      <c r="F1500" s="3"/>
      <c r="G1500" s="3"/>
      <c r="H1500" s="3"/>
      <c r="I1500" s="100"/>
      <c r="J1500" s="101"/>
      <c r="K1500" s="101"/>
      <c r="L1500" s="101"/>
      <c r="M1500" s="101"/>
      <c r="N1500" s="101"/>
      <c r="O1500" s="101"/>
      <c r="P1500" s="101"/>
      <c r="Q1500" s="101"/>
      <c r="R1500" s="101"/>
      <c r="S1500" s="101"/>
      <c r="T1500" s="101"/>
      <c r="U1500" s="101"/>
      <c r="V1500" s="101"/>
      <c r="W1500" s="101"/>
      <c r="X1500" s="101"/>
      <c r="Y1500" s="101"/>
      <c r="Z1500" s="101"/>
      <c r="AA1500" s="101"/>
      <c r="AB1500" s="101"/>
      <c r="AC1500" s="119"/>
      <c r="AD1500" s="119"/>
      <c r="AE1500" s="120"/>
      <c r="AF1500" s="119"/>
      <c r="AG1500" s="119"/>
      <c r="AH1500" s="120"/>
      <c r="AI1500" s="121"/>
      <c r="AJ1500" s="121"/>
      <c r="AK1500" s="121"/>
      <c r="AL1500" s="121"/>
      <c r="AM1500" s="122"/>
      <c r="AN1500" s="121"/>
      <c r="AP1500" s="87"/>
    </row>
    <row r="1501" spans="1:42">
      <c r="A1501" s="3"/>
      <c r="B1501" s="3"/>
      <c r="C1501" s="3"/>
      <c r="D1501" s="3"/>
      <c r="E1501" s="3"/>
      <c r="F1501" s="3"/>
      <c r="G1501" s="3"/>
      <c r="H1501" s="3"/>
      <c r="I1501" s="100"/>
      <c r="J1501" s="101"/>
      <c r="K1501" s="101"/>
      <c r="L1501" s="101"/>
      <c r="M1501" s="101"/>
      <c r="N1501" s="101"/>
      <c r="O1501" s="101"/>
      <c r="P1501" s="101"/>
      <c r="Q1501" s="101"/>
      <c r="R1501" s="101"/>
      <c r="S1501" s="101"/>
      <c r="T1501" s="101"/>
      <c r="U1501" s="101"/>
      <c r="V1501" s="101"/>
      <c r="W1501" s="101"/>
      <c r="X1501" s="101"/>
      <c r="Y1501" s="101"/>
      <c r="Z1501" s="101"/>
      <c r="AA1501" s="101"/>
      <c r="AB1501" s="101"/>
      <c r="AC1501" s="119"/>
      <c r="AD1501" s="119"/>
      <c r="AE1501" s="120"/>
      <c r="AF1501" s="119"/>
      <c r="AG1501" s="119"/>
      <c r="AH1501" s="120"/>
      <c r="AI1501" s="121"/>
      <c r="AJ1501" s="121"/>
      <c r="AK1501" s="121"/>
      <c r="AL1501" s="121"/>
      <c r="AM1501" s="122"/>
      <c r="AN1501" s="121"/>
      <c r="AP1501" s="87"/>
    </row>
    <row r="1502" spans="1:42">
      <c r="A1502" s="3"/>
      <c r="B1502" s="3"/>
      <c r="C1502" s="3"/>
      <c r="D1502" s="3"/>
      <c r="E1502" s="3"/>
      <c r="F1502" s="3"/>
      <c r="G1502" s="3"/>
      <c r="H1502" s="3"/>
      <c r="I1502" s="100"/>
      <c r="J1502" s="101"/>
      <c r="K1502" s="101"/>
      <c r="L1502" s="101"/>
      <c r="M1502" s="101"/>
      <c r="N1502" s="101"/>
      <c r="O1502" s="101"/>
      <c r="P1502" s="101"/>
      <c r="Q1502" s="101"/>
      <c r="R1502" s="101"/>
      <c r="S1502" s="101"/>
      <c r="T1502" s="101"/>
      <c r="U1502" s="101"/>
      <c r="V1502" s="101"/>
      <c r="W1502" s="101"/>
      <c r="X1502" s="101"/>
      <c r="Y1502" s="101"/>
      <c r="Z1502" s="101"/>
      <c r="AA1502" s="101"/>
      <c r="AB1502" s="101"/>
      <c r="AC1502" s="119"/>
      <c r="AD1502" s="119"/>
      <c r="AE1502" s="120"/>
      <c r="AF1502" s="119"/>
      <c r="AG1502" s="119"/>
      <c r="AH1502" s="120"/>
      <c r="AI1502" s="121"/>
      <c r="AJ1502" s="121"/>
      <c r="AK1502" s="121"/>
      <c r="AL1502" s="121"/>
      <c r="AM1502" s="122"/>
      <c r="AN1502" s="121"/>
      <c r="AP1502" s="87"/>
    </row>
    <row r="1503" spans="1:42">
      <c r="A1503" s="3"/>
      <c r="B1503" s="3"/>
      <c r="C1503" s="3"/>
      <c r="D1503" s="3"/>
      <c r="E1503" s="3"/>
      <c r="F1503" s="3"/>
      <c r="G1503" s="3"/>
      <c r="H1503" s="3"/>
      <c r="I1503" s="100"/>
      <c r="J1503" s="101"/>
      <c r="K1503" s="101"/>
      <c r="L1503" s="101"/>
      <c r="M1503" s="101"/>
      <c r="N1503" s="101"/>
      <c r="O1503" s="101"/>
      <c r="P1503" s="101"/>
      <c r="Q1503" s="101"/>
      <c r="R1503" s="101"/>
      <c r="S1503" s="101"/>
      <c r="T1503" s="101"/>
      <c r="U1503" s="101"/>
      <c r="V1503" s="101"/>
      <c r="W1503" s="101"/>
      <c r="X1503" s="101"/>
      <c r="Y1503" s="101"/>
      <c r="Z1503" s="101"/>
      <c r="AA1503" s="101"/>
      <c r="AB1503" s="101"/>
      <c r="AC1503" s="119"/>
      <c r="AD1503" s="119"/>
      <c r="AE1503" s="120"/>
      <c r="AF1503" s="119"/>
      <c r="AG1503" s="119"/>
      <c r="AH1503" s="120"/>
      <c r="AI1503" s="121"/>
      <c r="AJ1503" s="121"/>
      <c r="AK1503" s="121"/>
      <c r="AL1503" s="121"/>
      <c r="AM1503" s="122"/>
      <c r="AN1503" s="121"/>
      <c r="AP1503" s="87"/>
    </row>
    <row r="1504" spans="1:42">
      <c r="A1504" s="3"/>
      <c r="B1504" s="3"/>
      <c r="C1504" s="3"/>
      <c r="D1504" s="3"/>
      <c r="E1504" s="3"/>
      <c r="F1504" s="3"/>
      <c r="G1504" s="3"/>
      <c r="H1504" s="3"/>
      <c r="I1504" s="100"/>
      <c r="J1504" s="101"/>
      <c r="K1504" s="101"/>
      <c r="L1504" s="101"/>
      <c r="M1504" s="101"/>
      <c r="N1504" s="101"/>
      <c r="O1504" s="101"/>
      <c r="P1504" s="101"/>
      <c r="Q1504" s="101"/>
      <c r="R1504" s="101"/>
      <c r="S1504" s="101"/>
      <c r="T1504" s="101"/>
      <c r="U1504" s="101"/>
      <c r="V1504" s="101"/>
      <c r="W1504" s="101"/>
      <c r="X1504" s="101"/>
      <c r="Y1504" s="101"/>
      <c r="Z1504" s="101"/>
      <c r="AA1504" s="101"/>
      <c r="AB1504" s="101"/>
      <c r="AC1504" s="119"/>
      <c r="AD1504" s="119"/>
      <c r="AE1504" s="120"/>
      <c r="AF1504" s="119"/>
      <c r="AG1504" s="119"/>
      <c r="AH1504" s="120"/>
      <c r="AI1504" s="121"/>
      <c r="AJ1504" s="121"/>
      <c r="AK1504" s="121"/>
      <c r="AL1504" s="121"/>
      <c r="AM1504" s="122"/>
      <c r="AN1504" s="121"/>
      <c r="AP1504" s="87"/>
    </row>
    <row r="1505" spans="1:42">
      <c r="A1505" s="3"/>
      <c r="B1505" s="3"/>
      <c r="C1505" s="3"/>
      <c r="D1505" s="3"/>
      <c r="E1505" s="3"/>
      <c r="F1505" s="3"/>
      <c r="G1505" s="3"/>
      <c r="H1505" s="3"/>
      <c r="I1505" s="100"/>
      <c r="J1505" s="101"/>
      <c r="K1505" s="101"/>
      <c r="L1505" s="101"/>
      <c r="M1505" s="101"/>
      <c r="N1505" s="101"/>
      <c r="O1505" s="101"/>
      <c r="P1505" s="101"/>
      <c r="Q1505" s="101"/>
      <c r="R1505" s="101"/>
      <c r="S1505" s="101"/>
      <c r="T1505" s="101"/>
      <c r="U1505" s="101"/>
      <c r="V1505" s="101"/>
      <c r="W1505" s="101"/>
      <c r="X1505" s="101"/>
      <c r="Y1505" s="101"/>
      <c r="Z1505" s="101"/>
      <c r="AA1505" s="101"/>
      <c r="AB1505" s="101"/>
      <c r="AC1505" s="119"/>
      <c r="AD1505" s="119"/>
      <c r="AE1505" s="120"/>
      <c r="AF1505" s="119"/>
      <c r="AG1505" s="119"/>
      <c r="AH1505" s="120"/>
      <c r="AI1505" s="121"/>
      <c r="AJ1505" s="121"/>
      <c r="AK1505" s="121"/>
      <c r="AL1505" s="121"/>
      <c r="AM1505" s="122"/>
      <c r="AN1505" s="121"/>
      <c r="AP1505" s="87"/>
    </row>
    <row r="1506" spans="1:42">
      <c r="A1506" s="3"/>
      <c r="B1506" s="3"/>
      <c r="C1506" s="3"/>
      <c r="D1506" s="3"/>
      <c r="E1506" s="3"/>
      <c r="F1506" s="3"/>
      <c r="G1506" s="3"/>
      <c r="H1506" s="3"/>
      <c r="I1506" s="100"/>
      <c r="J1506" s="101"/>
      <c r="K1506" s="101"/>
      <c r="L1506" s="101"/>
      <c r="M1506" s="101"/>
      <c r="N1506" s="101"/>
      <c r="O1506" s="101"/>
      <c r="P1506" s="101"/>
      <c r="Q1506" s="101"/>
      <c r="R1506" s="101"/>
      <c r="S1506" s="101"/>
      <c r="T1506" s="101"/>
      <c r="U1506" s="101"/>
      <c r="V1506" s="101"/>
      <c r="W1506" s="101"/>
      <c r="X1506" s="101"/>
      <c r="Y1506" s="101"/>
      <c r="Z1506" s="101"/>
      <c r="AA1506" s="101"/>
      <c r="AB1506" s="101"/>
      <c r="AC1506" s="119"/>
      <c r="AD1506" s="119"/>
      <c r="AE1506" s="120"/>
      <c r="AF1506" s="119"/>
      <c r="AG1506" s="119"/>
      <c r="AH1506" s="120"/>
      <c r="AI1506" s="121"/>
      <c r="AJ1506" s="121"/>
      <c r="AK1506" s="121"/>
      <c r="AL1506" s="121"/>
      <c r="AM1506" s="122"/>
      <c r="AN1506" s="121"/>
      <c r="AP1506" s="87"/>
    </row>
    <row r="1507" spans="1:42">
      <c r="A1507" s="3"/>
      <c r="B1507" s="3"/>
      <c r="C1507" s="3"/>
      <c r="D1507" s="3"/>
      <c r="E1507" s="3"/>
      <c r="F1507" s="3"/>
      <c r="G1507" s="3"/>
      <c r="H1507" s="3"/>
      <c r="I1507" s="100"/>
      <c r="J1507" s="101"/>
      <c r="K1507" s="101"/>
      <c r="L1507" s="101"/>
      <c r="M1507" s="101"/>
      <c r="N1507" s="101"/>
      <c r="O1507" s="101"/>
      <c r="P1507" s="101"/>
      <c r="Q1507" s="101"/>
      <c r="R1507" s="101"/>
      <c r="S1507" s="101"/>
      <c r="T1507" s="101"/>
      <c r="U1507" s="101"/>
      <c r="V1507" s="101"/>
      <c r="W1507" s="101"/>
      <c r="X1507" s="101"/>
      <c r="Y1507" s="101"/>
      <c r="Z1507" s="101"/>
      <c r="AA1507" s="101"/>
      <c r="AB1507" s="101"/>
      <c r="AC1507" s="119"/>
      <c r="AD1507" s="119"/>
      <c r="AE1507" s="120"/>
      <c r="AF1507" s="119"/>
      <c r="AG1507" s="119"/>
      <c r="AH1507" s="120"/>
      <c r="AI1507" s="121"/>
      <c r="AJ1507" s="121"/>
      <c r="AK1507" s="121"/>
      <c r="AL1507" s="121"/>
      <c r="AM1507" s="122"/>
      <c r="AN1507" s="121"/>
      <c r="AP1507" s="87"/>
    </row>
    <row r="1508" spans="1:42">
      <c r="A1508" s="3"/>
      <c r="B1508" s="3"/>
      <c r="C1508" s="3"/>
      <c r="D1508" s="3"/>
      <c r="E1508" s="3"/>
      <c r="F1508" s="3"/>
      <c r="G1508" s="3"/>
      <c r="H1508" s="3"/>
      <c r="I1508" s="100"/>
      <c r="J1508" s="101"/>
      <c r="K1508" s="101"/>
      <c r="L1508" s="101"/>
      <c r="M1508" s="101"/>
      <c r="N1508" s="101"/>
      <c r="O1508" s="101"/>
      <c r="P1508" s="101"/>
      <c r="Q1508" s="101"/>
      <c r="R1508" s="101"/>
      <c r="S1508" s="101"/>
      <c r="T1508" s="101"/>
      <c r="U1508" s="101"/>
      <c r="V1508" s="101"/>
      <c r="W1508" s="101"/>
      <c r="X1508" s="101"/>
      <c r="Y1508" s="101"/>
      <c r="Z1508" s="101"/>
      <c r="AA1508" s="101"/>
      <c r="AB1508" s="101"/>
      <c r="AC1508" s="119"/>
      <c r="AD1508" s="119"/>
      <c r="AE1508" s="120"/>
      <c r="AF1508" s="119"/>
      <c r="AG1508" s="119"/>
      <c r="AH1508" s="120"/>
      <c r="AI1508" s="121"/>
      <c r="AJ1508" s="121"/>
      <c r="AK1508" s="121"/>
      <c r="AL1508" s="121"/>
      <c r="AM1508" s="122"/>
      <c r="AN1508" s="121"/>
      <c r="AP1508" s="87"/>
    </row>
    <row r="1509" spans="1:42">
      <c r="A1509" s="3"/>
      <c r="B1509" s="3"/>
      <c r="C1509" s="3"/>
      <c r="D1509" s="3"/>
      <c r="E1509" s="3"/>
      <c r="F1509" s="3"/>
      <c r="G1509" s="3"/>
      <c r="H1509" s="3"/>
      <c r="I1509" s="100"/>
      <c r="J1509" s="101"/>
      <c r="K1509" s="101"/>
      <c r="L1509" s="101"/>
      <c r="M1509" s="101"/>
      <c r="N1509" s="101"/>
      <c r="O1509" s="101"/>
      <c r="P1509" s="101"/>
      <c r="Q1509" s="101"/>
      <c r="R1509" s="101"/>
      <c r="S1509" s="101"/>
      <c r="T1509" s="101"/>
      <c r="U1509" s="101"/>
      <c r="V1509" s="101"/>
      <c r="W1509" s="101"/>
      <c r="X1509" s="101"/>
      <c r="Y1509" s="101"/>
      <c r="Z1509" s="101"/>
      <c r="AA1509" s="101"/>
      <c r="AB1509" s="101"/>
      <c r="AC1509" s="119"/>
      <c r="AD1509" s="119"/>
      <c r="AE1509" s="120"/>
      <c r="AF1509" s="119"/>
      <c r="AG1509" s="119"/>
      <c r="AH1509" s="120"/>
      <c r="AI1509" s="121"/>
      <c r="AJ1509" s="121"/>
      <c r="AK1509" s="121"/>
      <c r="AL1509" s="121"/>
      <c r="AM1509" s="122"/>
      <c r="AN1509" s="121"/>
      <c r="AP1509" s="87"/>
    </row>
    <row r="1510" spans="1:42">
      <c r="A1510" s="3"/>
      <c r="B1510" s="3"/>
      <c r="C1510" s="3"/>
      <c r="D1510" s="3"/>
      <c r="E1510" s="3"/>
      <c r="F1510" s="3"/>
      <c r="G1510" s="3"/>
      <c r="H1510" s="3"/>
      <c r="I1510" s="100"/>
      <c r="J1510" s="101"/>
      <c r="K1510" s="101"/>
      <c r="L1510" s="101"/>
      <c r="M1510" s="101"/>
      <c r="N1510" s="101"/>
      <c r="O1510" s="101"/>
      <c r="P1510" s="101"/>
      <c r="Q1510" s="101"/>
      <c r="R1510" s="101"/>
      <c r="S1510" s="101"/>
      <c r="T1510" s="101"/>
      <c r="U1510" s="101"/>
      <c r="V1510" s="101"/>
      <c r="W1510" s="101"/>
      <c r="X1510" s="101"/>
      <c r="Y1510" s="101"/>
      <c r="Z1510" s="101"/>
      <c r="AA1510" s="101"/>
      <c r="AB1510" s="101"/>
      <c r="AC1510" s="119"/>
      <c r="AD1510" s="119"/>
      <c r="AE1510" s="120"/>
      <c r="AF1510" s="119"/>
      <c r="AG1510" s="119"/>
      <c r="AH1510" s="120"/>
      <c r="AI1510" s="121"/>
      <c r="AJ1510" s="121"/>
      <c r="AK1510" s="121"/>
      <c r="AL1510" s="121"/>
      <c r="AM1510" s="122"/>
      <c r="AN1510" s="121"/>
      <c r="AP1510" s="87"/>
    </row>
    <row r="1511" spans="1:42">
      <c r="A1511" s="3"/>
      <c r="B1511" s="3"/>
      <c r="C1511" s="3"/>
      <c r="D1511" s="3"/>
      <c r="E1511" s="3"/>
      <c r="F1511" s="3"/>
      <c r="G1511" s="3"/>
      <c r="H1511" s="3"/>
      <c r="I1511" s="100"/>
      <c r="J1511" s="101"/>
      <c r="K1511" s="101"/>
      <c r="L1511" s="101"/>
      <c r="M1511" s="101"/>
      <c r="N1511" s="101"/>
      <c r="O1511" s="101"/>
      <c r="P1511" s="101"/>
      <c r="Q1511" s="101"/>
      <c r="R1511" s="101"/>
      <c r="S1511" s="101"/>
      <c r="T1511" s="101"/>
      <c r="U1511" s="101"/>
      <c r="V1511" s="101"/>
      <c r="W1511" s="101"/>
      <c r="X1511" s="101"/>
      <c r="Y1511" s="101"/>
      <c r="Z1511" s="101"/>
      <c r="AA1511" s="101"/>
      <c r="AB1511" s="101"/>
      <c r="AC1511" s="119"/>
      <c r="AD1511" s="119"/>
      <c r="AE1511" s="120"/>
      <c r="AF1511" s="119"/>
      <c r="AG1511" s="119"/>
      <c r="AH1511" s="120"/>
      <c r="AI1511" s="121"/>
      <c r="AJ1511" s="121"/>
      <c r="AK1511" s="121"/>
      <c r="AL1511" s="121"/>
      <c r="AM1511" s="122"/>
      <c r="AN1511" s="121"/>
      <c r="AP1511" s="87"/>
    </row>
    <row r="1512" spans="1:42">
      <c r="A1512" s="3"/>
      <c r="B1512" s="3"/>
      <c r="C1512" s="3"/>
      <c r="D1512" s="3"/>
      <c r="E1512" s="3"/>
      <c r="F1512" s="3"/>
      <c r="G1512" s="3"/>
      <c r="H1512" s="3"/>
      <c r="I1512" s="100"/>
      <c r="J1512" s="101"/>
      <c r="K1512" s="101"/>
      <c r="L1512" s="101"/>
      <c r="M1512" s="101"/>
      <c r="N1512" s="101"/>
      <c r="O1512" s="101"/>
      <c r="P1512" s="101"/>
      <c r="Q1512" s="101"/>
      <c r="R1512" s="101"/>
      <c r="S1512" s="101"/>
      <c r="T1512" s="101"/>
      <c r="U1512" s="101"/>
      <c r="V1512" s="101"/>
      <c r="W1512" s="101"/>
      <c r="X1512" s="101"/>
      <c r="Y1512" s="101"/>
      <c r="Z1512" s="101"/>
      <c r="AA1512" s="101"/>
      <c r="AB1512" s="101"/>
      <c r="AC1512" s="119"/>
      <c r="AD1512" s="119"/>
      <c r="AE1512" s="120"/>
      <c r="AF1512" s="119"/>
      <c r="AG1512" s="119"/>
      <c r="AH1512" s="120"/>
      <c r="AI1512" s="121"/>
      <c r="AJ1512" s="121"/>
      <c r="AK1512" s="121"/>
      <c r="AL1512" s="121"/>
      <c r="AM1512" s="122"/>
      <c r="AN1512" s="121"/>
      <c r="AP1512" s="87"/>
    </row>
    <row r="1513" spans="1:42">
      <c r="A1513" s="3"/>
      <c r="B1513" s="3"/>
      <c r="C1513" s="3"/>
      <c r="D1513" s="3"/>
      <c r="E1513" s="3"/>
      <c r="F1513" s="3"/>
      <c r="G1513" s="3"/>
      <c r="H1513" s="3"/>
      <c r="I1513" s="100"/>
      <c r="J1513" s="101"/>
      <c r="K1513" s="101"/>
      <c r="L1513" s="101"/>
      <c r="M1513" s="101"/>
      <c r="N1513" s="101"/>
      <c r="O1513" s="101"/>
      <c r="P1513" s="101"/>
      <c r="Q1513" s="101"/>
      <c r="R1513" s="101"/>
      <c r="S1513" s="101"/>
      <c r="T1513" s="101"/>
      <c r="U1513" s="101"/>
      <c r="V1513" s="101"/>
      <c r="W1513" s="101"/>
      <c r="X1513" s="101"/>
      <c r="Y1513" s="101"/>
      <c r="Z1513" s="101"/>
      <c r="AA1513" s="101"/>
      <c r="AB1513" s="101"/>
      <c r="AC1513" s="119"/>
      <c r="AD1513" s="119"/>
      <c r="AE1513" s="120"/>
      <c r="AF1513" s="119"/>
      <c r="AG1513" s="119"/>
      <c r="AH1513" s="120"/>
      <c r="AI1513" s="121"/>
      <c r="AJ1513" s="121"/>
      <c r="AK1513" s="121"/>
      <c r="AL1513" s="121"/>
      <c r="AM1513" s="122"/>
      <c r="AN1513" s="121"/>
      <c r="AP1513" s="87"/>
    </row>
    <row r="1514" spans="1:42">
      <c r="A1514" s="3"/>
      <c r="B1514" s="3"/>
      <c r="C1514" s="3"/>
      <c r="D1514" s="3"/>
      <c r="E1514" s="3"/>
      <c r="F1514" s="3"/>
      <c r="G1514" s="3"/>
      <c r="H1514" s="3"/>
      <c r="I1514" s="100"/>
      <c r="J1514" s="101"/>
      <c r="K1514" s="101"/>
      <c r="L1514" s="101"/>
      <c r="M1514" s="101"/>
      <c r="N1514" s="101"/>
      <c r="O1514" s="101"/>
      <c r="P1514" s="101"/>
      <c r="Q1514" s="101"/>
      <c r="R1514" s="101"/>
      <c r="S1514" s="101"/>
      <c r="T1514" s="101"/>
      <c r="U1514" s="101"/>
      <c r="V1514" s="101"/>
      <c r="W1514" s="101"/>
      <c r="X1514" s="101"/>
      <c r="Y1514" s="101"/>
      <c r="Z1514" s="101"/>
      <c r="AA1514" s="101"/>
      <c r="AB1514" s="101"/>
      <c r="AC1514" s="119"/>
      <c r="AD1514" s="119"/>
      <c r="AE1514" s="120"/>
      <c r="AF1514" s="119"/>
      <c r="AG1514" s="119"/>
      <c r="AH1514" s="120"/>
      <c r="AI1514" s="121"/>
      <c r="AJ1514" s="121"/>
      <c r="AK1514" s="121"/>
      <c r="AL1514" s="121"/>
      <c r="AM1514" s="122"/>
      <c r="AN1514" s="121"/>
      <c r="AP1514" s="87"/>
    </row>
    <row r="1515" spans="1:42">
      <c r="A1515" s="3"/>
      <c r="B1515" s="3"/>
      <c r="C1515" s="3"/>
      <c r="D1515" s="3"/>
      <c r="E1515" s="3"/>
      <c r="F1515" s="3"/>
      <c r="G1515" s="3"/>
      <c r="H1515" s="3"/>
      <c r="I1515" s="100"/>
      <c r="J1515" s="101"/>
      <c r="K1515" s="101"/>
      <c r="L1515" s="101"/>
      <c r="M1515" s="101"/>
      <c r="N1515" s="101"/>
      <c r="O1515" s="101"/>
      <c r="P1515" s="101"/>
      <c r="Q1515" s="101"/>
      <c r="R1515" s="101"/>
      <c r="S1515" s="101"/>
      <c r="T1515" s="101"/>
      <c r="U1515" s="101"/>
      <c r="V1515" s="101"/>
      <c r="W1515" s="101"/>
      <c r="X1515" s="101"/>
      <c r="Y1515" s="101"/>
      <c r="Z1515" s="101"/>
      <c r="AA1515" s="101"/>
      <c r="AB1515" s="101"/>
      <c r="AC1515" s="119"/>
      <c r="AD1515" s="119"/>
      <c r="AE1515" s="120"/>
      <c r="AF1515" s="119"/>
      <c r="AG1515" s="119"/>
      <c r="AH1515" s="120"/>
      <c r="AI1515" s="121"/>
      <c r="AJ1515" s="121"/>
      <c r="AK1515" s="121"/>
      <c r="AL1515" s="121"/>
      <c r="AM1515" s="122"/>
      <c r="AN1515" s="121"/>
      <c r="AP1515" s="87"/>
    </row>
    <row r="1516" spans="1:42">
      <c r="A1516" s="3"/>
      <c r="B1516" s="3"/>
      <c r="C1516" s="3"/>
      <c r="D1516" s="3"/>
      <c r="E1516" s="3"/>
      <c r="F1516" s="3"/>
      <c r="G1516" s="3"/>
      <c r="H1516" s="3"/>
      <c r="I1516" s="100"/>
      <c r="J1516" s="101"/>
      <c r="K1516" s="101"/>
      <c r="L1516" s="101"/>
      <c r="M1516" s="101"/>
      <c r="N1516" s="101"/>
      <c r="O1516" s="101"/>
      <c r="P1516" s="101"/>
      <c r="Q1516" s="101"/>
      <c r="R1516" s="101"/>
      <c r="S1516" s="101"/>
      <c r="T1516" s="101"/>
      <c r="U1516" s="101"/>
      <c r="V1516" s="101"/>
      <c r="W1516" s="101"/>
      <c r="X1516" s="101"/>
      <c r="Y1516" s="101"/>
      <c r="Z1516" s="101"/>
      <c r="AA1516" s="101"/>
      <c r="AB1516" s="101"/>
      <c r="AC1516" s="119"/>
      <c r="AD1516" s="119"/>
      <c r="AE1516" s="120"/>
      <c r="AF1516" s="119"/>
      <c r="AG1516" s="119"/>
      <c r="AH1516" s="120"/>
      <c r="AI1516" s="121"/>
      <c r="AJ1516" s="121"/>
      <c r="AK1516" s="121"/>
      <c r="AL1516" s="121"/>
      <c r="AM1516" s="122"/>
      <c r="AN1516" s="121"/>
      <c r="AP1516" s="87"/>
    </row>
    <row r="1517" spans="1:42">
      <c r="A1517" s="3"/>
      <c r="B1517" s="3"/>
      <c r="C1517" s="3"/>
      <c r="D1517" s="3"/>
      <c r="E1517" s="3"/>
      <c r="F1517" s="3"/>
      <c r="G1517" s="3"/>
      <c r="H1517" s="3"/>
      <c r="I1517" s="100"/>
      <c r="J1517" s="101"/>
      <c r="K1517" s="101"/>
      <c r="L1517" s="101"/>
      <c r="M1517" s="101"/>
      <c r="N1517" s="101"/>
      <c r="O1517" s="101"/>
      <c r="P1517" s="101"/>
      <c r="Q1517" s="101"/>
      <c r="R1517" s="101"/>
      <c r="S1517" s="101"/>
      <c r="T1517" s="101"/>
      <c r="U1517" s="101"/>
      <c r="V1517" s="101"/>
      <c r="W1517" s="101"/>
      <c r="X1517" s="101"/>
      <c r="Y1517" s="101"/>
      <c r="Z1517" s="101"/>
      <c r="AA1517" s="101"/>
      <c r="AB1517" s="101"/>
      <c r="AC1517" s="119"/>
      <c r="AD1517" s="119"/>
      <c r="AE1517" s="120"/>
      <c r="AF1517" s="119"/>
      <c r="AG1517" s="119"/>
      <c r="AH1517" s="120"/>
      <c r="AI1517" s="121"/>
      <c r="AJ1517" s="121"/>
      <c r="AK1517" s="121"/>
      <c r="AL1517" s="121"/>
      <c r="AM1517" s="122"/>
      <c r="AN1517" s="121"/>
      <c r="AP1517" s="87"/>
    </row>
    <row r="1518" spans="1:42">
      <c r="A1518" s="3"/>
      <c r="B1518" s="3"/>
      <c r="C1518" s="3"/>
      <c r="D1518" s="3"/>
      <c r="E1518" s="3"/>
      <c r="F1518" s="3"/>
      <c r="G1518" s="3"/>
      <c r="H1518" s="3"/>
      <c r="I1518" s="100"/>
      <c r="J1518" s="101"/>
      <c r="K1518" s="101"/>
      <c r="L1518" s="101"/>
      <c r="M1518" s="101"/>
      <c r="N1518" s="101"/>
      <c r="O1518" s="101"/>
      <c r="P1518" s="101"/>
      <c r="Q1518" s="101"/>
      <c r="R1518" s="101"/>
      <c r="S1518" s="101"/>
      <c r="T1518" s="101"/>
      <c r="U1518" s="101"/>
      <c r="V1518" s="101"/>
      <c r="W1518" s="101"/>
      <c r="X1518" s="101"/>
      <c r="Y1518" s="101"/>
      <c r="Z1518" s="101"/>
      <c r="AA1518" s="101"/>
      <c r="AB1518" s="101"/>
      <c r="AC1518" s="119"/>
      <c r="AD1518" s="119"/>
      <c r="AE1518" s="120"/>
      <c r="AF1518" s="119"/>
      <c r="AG1518" s="119"/>
      <c r="AH1518" s="120"/>
      <c r="AI1518" s="121"/>
      <c r="AJ1518" s="121"/>
      <c r="AK1518" s="121"/>
      <c r="AL1518" s="121"/>
      <c r="AM1518" s="122"/>
      <c r="AN1518" s="121"/>
      <c r="AP1518" s="87"/>
    </row>
    <row r="1519" spans="1:42">
      <c r="A1519" s="3"/>
      <c r="B1519" s="3"/>
      <c r="C1519" s="3"/>
      <c r="D1519" s="3"/>
      <c r="E1519" s="3"/>
      <c r="F1519" s="3"/>
      <c r="G1519" s="3"/>
      <c r="H1519" s="3"/>
      <c r="I1519" s="100"/>
      <c r="J1519" s="101"/>
      <c r="K1519" s="101"/>
      <c r="L1519" s="101"/>
      <c r="M1519" s="101"/>
      <c r="N1519" s="101"/>
      <c r="O1519" s="101"/>
      <c r="P1519" s="101"/>
      <c r="Q1519" s="101"/>
      <c r="R1519" s="101"/>
      <c r="S1519" s="101"/>
      <c r="T1519" s="101"/>
      <c r="U1519" s="101"/>
      <c r="V1519" s="101"/>
      <c r="W1519" s="101"/>
      <c r="X1519" s="101"/>
      <c r="Y1519" s="101"/>
      <c r="Z1519" s="101"/>
      <c r="AA1519" s="101"/>
      <c r="AB1519" s="101"/>
      <c r="AC1519" s="119"/>
      <c r="AD1519" s="119"/>
      <c r="AE1519" s="120"/>
      <c r="AF1519" s="119"/>
      <c r="AG1519" s="119"/>
      <c r="AH1519" s="120"/>
      <c r="AI1519" s="121"/>
      <c r="AJ1519" s="121"/>
      <c r="AK1519" s="121"/>
      <c r="AL1519" s="121"/>
      <c r="AM1519" s="122"/>
      <c r="AN1519" s="121"/>
      <c r="AP1519" s="87"/>
    </row>
    <row r="1520" spans="1:42">
      <c r="A1520" s="3"/>
      <c r="B1520" s="3"/>
      <c r="C1520" s="3"/>
      <c r="D1520" s="3"/>
      <c r="E1520" s="3"/>
      <c r="F1520" s="3"/>
      <c r="G1520" s="3"/>
      <c r="H1520" s="3"/>
      <c r="I1520" s="100"/>
      <c r="J1520" s="101"/>
      <c r="K1520" s="101"/>
      <c r="L1520" s="101"/>
      <c r="M1520" s="101"/>
      <c r="N1520" s="101"/>
      <c r="O1520" s="101"/>
      <c r="P1520" s="101"/>
      <c r="Q1520" s="101"/>
      <c r="R1520" s="101"/>
      <c r="S1520" s="101"/>
      <c r="T1520" s="101"/>
      <c r="U1520" s="101"/>
      <c r="V1520" s="101"/>
      <c r="W1520" s="101"/>
      <c r="X1520" s="101"/>
      <c r="Y1520" s="101"/>
      <c r="Z1520" s="101"/>
      <c r="AA1520" s="101"/>
      <c r="AB1520" s="101"/>
      <c r="AC1520" s="119"/>
      <c r="AD1520" s="119"/>
      <c r="AE1520" s="120"/>
      <c r="AF1520" s="119"/>
      <c r="AG1520" s="119"/>
      <c r="AH1520" s="120"/>
      <c r="AI1520" s="121"/>
      <c r="AJ1520" s="121"/>
      <c r="AK1520" s="121"/>
      <c r="AL1520" s="121"/>
      <c r="AM1520" s="122"/>
      <c r="AN1520" s="121"/>
      <c r="AP1520" s="87"/>
    </row>
    <row r="1521" spans="1:42">
      <c r="A1521" s="3"/>
      <c r="B1521" s="3"/>
      <c r="C1521" s="3"/>
      <c r="D1521" s="3"/>
      <c r="E1521" s="3"/>
      <c r="F1521" s="3"/>
      <c r="G1521" s="3"/>
      <c r="H1521" s="3"/>
      <c r="I1521" s="100"/>
      <c r="J1521" s="101"/>
      <c r="K1521" s="101"/>
      <c r="L1521" s="101"/>
      <c r="M1521" s="101"/>
      <c r="N1521" s="101"/>
      <c r="O1521" s="101"/>
      <c r="P1521" s="101"/>
      <c r="Q1521" s="101"/>
      <c r="R1521" s="101"/>
      <c r="S1521" s="101"/>
      <c r="T1521" s="101"/>
      <c r="U1521" s="101"/>
      <c r="V1521" s="101"/>
      <c r="W1521" s="101"/>
      <c r="X1521" s="101"/>
      <c r="Y1521" s="101"/>
      <c r="Z1521" s="101"/>
      <c r="AA1521" s="101"/>
      <c r="AB1521" s="101"/>
      <c r="AC1521" s="119"/>
      <c r="AD1521" s="119"/>
      <c r="AE1521" s="120"/>
      <c r="AF1521" s="119"/>
      <c r="AG1521" s="119"/>
      <c r="AH1521" s="120"/>
      <c r="AI1521" s="121"/>
      <c r="AJ1521" s="121"/>
      <c r="AK1521" s="121"/>
      <c r="AL1521" s="121"/>
      <c r="AM1521" s="122"/>
      <c r="AN1521" s="121"/>
      <c r="AP1521" s="87"/>
    </row>
    <row r="1522" spans="1:42">
      <c r="A1522" s="3"/>
      <c r="B1522" s="3"/>
      <c r="C1522" s="3"/>
      <c r="D1522" s="3"/>
      <c r="E1522" s="3"/>
      <c r="F1522" s="3"/>
      <c r="G1522" s="3"/>
      <c r="H1522" s="3"/>
      <c r="I1522" s="100"/>
      <c r="J1522" s="101"/>
      <c r="K1522" s="101"/>
      <c r="L1522" s="101"/>
      <c r="M1522" s="101"/>
      <c r="N1522" s="101"/>
      <c r="O1522" s="101"/>
      <c r="P1522" s="101"/>
      <c r="Q1522" s="101"/>
      <c r="R1522" s="101"/>
      <c r="S1522" s="101"/>
      <c r="T1522" s="101"/>
      <c r="U1522" s="101"/>
      <c r="V1522" s="101"/>
      <c r="W1522" s="101"/>
      <c r="X1522" s="101"/>
      <c r="Y1522" s="101"/>
      <c r="Z1522" s="101"/>
      <c r="AA1522" s="101"/>
      <c r="AB1522" s="101"/>
      <c r="AC1522" s="119"/>
      <c r="AD1522" s="119"/>
      <c r="AE1522" s="120"/>
      <c r="AF1522" s="119"/>
      <c r="AG1522" s="119"/>
      <c r="AH1522" s="120"/>
      <c r="AI1522" s="121"/>
      <c r="AJ1522" s="121"/>
      <c r="AK1522" s="121"/>
      <c r="AL1522" s="121"/>
      <c r="AM1522" s="122"/>
      <c r="AN1522" s="121"/>
      <c r="AP1522" s="87"/>
    </row>
    <row r="1523" spans="1:42">
      <c r="A1523" s="3"/>
      <c r="B1523" s="3"/>
      <c r="C1523" s="3"/>
      <c r="D1523" s="3"/>
      <c r="E1523" s="3"/>
      <c r="F1523" s="3"/>
      <c r="G1523" s="3"/>
      <c r="H1523" s="3"/>
      <c r="I1523" s="100"/>
      <c r="J1523" s="101"/>
      <c r="K1523" s="101"/>
      <c r="L1523" s="101"/>
      <c r="M1523" s="101"/>
      <c r="N1523" s="101"/>
      <c r="O1523" s="101"/>
      <c r="P1523" s="101"/>
      <c r="Q1523" s="101"/>
      <c r="R1523" s="101"/>
      <c r="S1523" s="101"/>
      <c r="T1523" s="101"/>
      <c r="U1523" s="101"/>
      <c r="V1523" s="101"/>
      <c r="W1523" s="101"/>
      <c r="X1523" s="101"/>
      <c r="Y1523" s="101"/>
      <c r="Z1523" s="101"/>
      <c r="AA1523" s="101"/>
      <c r="AB1523" s="101"/>
      <c r="AC1523" s="119"/>
      <c r="AD1523" s="119"/>
      <c r="AE1523" s="120"/>
      <c r="AF1523" s="119"/>
      <c r="AG1523" s="119"/>
      <c r="AH1523" s="120"/>
      <c r="AI1523" s="121"/>
      <c r="AJ1523" s="121"/>
      <c r="AK1523" s="121"/>
      <c r="AL1523" s="121"/>
      <c r="AM1523" s="122"/>
      <c r="AN1523" s="121"/>
      <c r="AP1523" s="87"/>
    </row>
    <row r="1524" spans="1:42">
      <c r="A1524" s="3"/>
      <c r="B1524" s="3"/>
      <c r="C1524" s="3"/>
      <c r="D1524" s="3"/>
      <c r="E1524" s="3"/>
      <c r="F1524" s="3"/>
      <c r="G1524" s="3"/>
      <c r="H1524" s="3"/>
      <c r="I1524" s="100"/>
      <c r="J1524" s="101"/>
      <c r="K1524" s="101"/>
      <c r="L1524" s="101"/>
      <c r="M1524" s="101"/>
      <c r="N1524" s="101"/>
      <c r="O1524" s="101"/>
      <c r="P1524" s="101"/>
      <c r="Q1524" s="101"/>
      <c r="R1524" s="101"/>
      <c r="S1524" s="101"/>
      <c r="T1524" s="101"/>
      <c r="U1524" s="101"/>
      <c r="V1524" s="101"/>
      <c r="W1524" s="101"/>
      <c r="X1524" s="101"/>
      <c r="Y1524" s="101"/>
      <c r="Z1524" s="101"/>
      <c r="AA1524" s="101"/>
      <c r="AB1524" s="101"/>
      <c r="AC1524" s="119"/>
      <c r="AD1524" s="119"/>
      <c r="AE1524" s="120"/>
      <c r="AF1524" s="119"/>
      <c r="AG1524" s="119"/>
      <c r="AH1524" s="120"/>
      <c r="AI1524" s="121"/>
      <c r="AJ1524" s="121"/>
      <c r="AK1524" s="121"/>
      <c r="AL1524" s="121"/>
      <c r="AM1524" s="122"/>
      <c r="AN1524" s="121"/>
      <c r="AP1524" s="87"/>
    </row>
    <row r="1525" spans="1:42">
      <c r="A1525" s="3"/>
      <c r="B1525" s="3"/>
      <c r="C1525" s="3"/>
      <c r="D1525" s="3"/>
      <c r="E1525" s="3"/>
      <c r="F1525" s="3"/>
      <c r="G1525" s="3"/>
      <c r="H1525" s="3"/>
      <c r="I1525" s="100"/>
      <c r="J1525" s="101"/>
      <c r="K1525" s="101"/>
      <c r="L1525" s="101"/>
      <c r="M1525" s="101"/>
      <c r="N1525" s="101"/>
      <c r="O1525" s="101"/>
      <c r="P1525" s="101"/>
      <c r="Q1525" s="101"/>
      <c r="R1525" s="101"/>
      <c r="S1525" s="101"/>
      <c r="T1525" s="101"/>
      <c r="U1525" s="101"/>
      <c r="V1525" s="101"/>
      <c r="W1525" s="101"/>
      <c r="X1525" s="101"/>
      <c r="Y1525" s="101"/>
      <c r="Z1525" s="101"/>
      <c r="AA1525" s="101"/>
      <c r="AB1525" s="101"/>
      <c r="AC1525" s="119"/>
      <c r="AD1525" s="119"/>
      <c r="AE1525" s="120"/>
      <c r="AF1525" s="119"/>
      <c r="AG1525" s="119"/>
      <c r="AH1525" s="120"/>
      <c r="AI1525" s="121"/>
      <c r="AJ1525" s="121"/>
      <c r="AK1525" s="121"/>
      <c r="AL1525" s="121"/>
      <c r="AM1525" s="122"/>
      <c r="AN1525" s="121"/>
      <c r="AP1525" s="87"/>
    </row>
    <row r="1526" spans="1:42">
      <c r="A1526" s="3"/>
      <c r="B1526" s="3"/>
      <c r="C1526" s="3"/>
      <c r="D1526" s="3"/>
      <c r="E1526" s="3"/>
      <c r="F1526" s="3"/>
      <c r="G1526" s="3"/>
      <c r="H1526" s="3"/>
      <c r="I1526" s="100"/>
      <c r="J1526" s="101"/>
      <c r="K1526" s="101"/>
      <c r="L1526" s="101"/>
      <c r="M1526" s="101"/>
      <c r="N1526" s="101"/>
      <c r="O1526" s="101"/>
      <c r="P1526" s="101"/>
      <c r="Q1526" s="101"/>
      <c r="R1526" s="101"/>
      <c r="S1526" s="101"/>
      <c r="T1526" s="101"/>
      <c r="U1526" s="101"/>
      <c r="V1526" s="101"/>
      <c r="W1526" s="101"/>
      <c r="X1526" s="101"/>
      <c r="Y1526" s="101"/>
      <c r="Z1526" s="101"/>
      <c r="AA1526" s="101"/>
      <c r="AB1526" s="101"/>
      <c r="AC1526" s="119"/>
      <c r="AD1526" s="119"/>
      <c r="AE1526" s="120"/>
      <c r="AF1526" s="119"/>
      <c r="AG1526" s="119"/>
      <c r="AH1526" s="120"/>
      <c r="AI1526" s="121"/>
      <c r="AJ1526" s="121"/>
      <c r="AK1526" s="121"/>
      <c r="AL1526" s="121"/>
      <c r="AM1526" s="122"/>
      <c r="AN1526" s="121"/>
      <c r="AP1526" s="87"/>
    </row>
    <row r="1527" spans="1:42">
      <c r="A1527" s="3"/>
      <c r="B1527" s="3"/>
      <c r="C1527" s="3"/>
      <c r="D1527" s="3"/>
      <c r="E1527" s="3"/>
      <c r="F1527" s="3"/>
      <c r="G1527" s="3"/>
      <c r="H1527" s="3"/>
      <c r="I1527" s="100"/>
      <c r="J1527" s="101"/>
      <c r="K1527" s="101"/>
      <c r="L1527" s="101"/>
      <c r="M1527" s="101"/>
      <c r="N1527" s="101"/>
      <c r="O1527" s="101"/>
      <c r="P1527" s="101"/>
      <c r="Q1527" s="101"/>
      <c r="R1527" s="101"/>
      <c r="S1527" s="101"/>
      <c r="T1527" s="101"/>
      <c r="U1527" s="101"/>
      <c r="V1527" s="101"/>
      <c r="W1527" s="101"/>
      <c r="X1527" s="101"/>
      <c r="Y1527" s="101"/>
      <c r="Z1527" s="101"/>
      <c r="AA1527" s="101"/>
      <c r="AB1527" s="101"/>
      <c r="AC1527" s="119"/>
      <c r="AD1527" s="119"/>
      <c r="AE1527" s="120"/>
      <c r="AF1527" s="119"/>
      <c r="AG1527" s="119"/>
      <c r="AH1527" s="120"/>
      <c r="AI1527" s="121"/>
      <c r="AJ1527" s="121"/>
      <c r="AK1527" s="121"/>
      <c r="AL1527" s="121"/>
      <c r="AM1527" s="122"/>
      <c r="AN1527" s="121"/>
      <c r="AP1527" s="87"/>
    </row>
    <row r="1528" spans="1:42">
      <c r="A1528" s="3"/>
      <c r="B1528" s="3"/>
      <c r="C1528" s="3"/>
      <c r="D1528" s="3"/>
      <c r="E1528" s="3"/>
      <c r="F1528" s="3"/>
      <c r="G1528" s="3"/>
      <c r="H1528" s="3"/>
      <c r="I1528" s="100"/>
      <c r="J1528" s="101"/>
      <c r="K1528" s="101"/>
      <c r="L1528" s="101"/>
      <c r="M1528" s="101"/>
      <c r="N1528" s="101"/>
      <c r="O1528" s="101"/>
      <c r="P1528" s="101"/>
      <c r="Q1528" s="101"/>
      <c r="R1528" s="101"/>
      <c r="S1528" s="101"/>
      <c r="T1528" s="101"/>
      <c r="U1528" s="101"/>
      <c r="V1528" s="101"/>
      <c r="W1528" s="101"/>
      <c r="X1528" s="101"/>
      <c r="Y1528" s="101"/>
      <c r="Z1528" s="101"/>
      <c r="AA1528" s="101"/>
      <c r="AB1528" s="101"/>
      <c r="AC1528" s="119"/>
      <c r="AD1528" s="119"/>
      <c r="AE1528" s="120"/>
      <c r="AF1528" s="119"/>
      <c r="AG1528" s="119"/>
      <c r="AH1528" s="120"/>
      <c r="AI1528" s="121"/>
      <c r="AJ1528" s="121"/>
      <c r="AK1528" s="121"/>
      <c r="AL1528" s="121"/>
      <c r="AM1528" s="122"/>
      <c r="AN1528" s="121"/>
      <c r="AP1528" s="87"/>
    </row>
    <row r="1529" spans="1:42">
      <c r="A1529" s="3"/>
      <c r="B1529" s="3"/>
      <c r="C1529" s="3"/>
      <c r="D1529" s="3"/>
      <c r="E1529" s="3"/>
      <c r="F1529" s="3"/>
      <c r="G1529" s="3"/>
      <c r="H1529" s="3"/>
      <c r="I1529" s="100"/>
      <c r="J1529" s="101"/>
      <c r="K1529" s="101"/>
      <c r="L1529" s="101"/>
      <c r="M1529" s="101"/>
      <c r="N1529" s="101"/>
      <c r="O1529" s="101"/>
      <c r="P1529" s="101"/>
      <c r="Q1529" s="101"/>
      <c r="R1529" s="101"/>
      <c r="S1529" s="101"/>
      <c r="T1529" s="101"/>
      <c r="U1529" s="101"/>
      <c r="V1529" s="101"/>
      <c r="W1529" s="101"/>
      <c r="X1529" s="101"/>
      <c r="Y1529" s="101"/>
      <c r="Z1529" s="101"/>
      <c r="AA1529" s="101"/>
      <c r="AB1529" s="101"/>
      <c r="AC1529" s="119"/>
      <c r="AD1529" s="119"/>
      <c r="AE1529" s="120"/>
      <c r="AF1529" s="119"/>
      <c r="AG1529" s="119"/>
      <c r="AH1529" s="120"/>
      <c r="AI1529" s="121"/>
      <c r="AJ1529" s="121"/>
      <c r="AK1529" s="121"/>
      <c r="AL1529" s="121"/>
      <c r="AM1529" s="122"/>
      <c r="AN1529" s="121"/>
      <c r="AP1529" s="87"/>
    </row>
    <row r="1530" spans="1:42">
      <c r="A1530" s="3"/>
      <c r="B1530" s="3"/>
      <c r="C1530" s="3"/>
      <c r="D1530" s="3"/>
      <c r="E1530" s="3"/>
      <c r="F1530" s="3"/>
      <c r="G1530" s="3"/>
      <c r="H1530" s="3"/>
      <c r="I1530" s="100"/>
      <c r="J1530" s="101"/>
      <c r="K1530" s="101"/>
      <c r="L1530" s="101"/>
      <c r="M1530" s="101"/>
      <c r="N1530" s="101"/>
      <c r="O1530" s="101"/>
      <c r="P1530" s="101"/>
      <c r="Q1530" s="101"/>
      <c r="R1530" s="101"/>
      <c r="S1530" s="101"/>
      <c r="T1530" s="101"/>
      <c r="U1530" s="101"/>
      <c r="V1530" s="101"/>
      <c r="W1530" s="101"/>
      <c r="X1530" s="101"/>
      <c r="Y1530" s="101"/>
      <c r="Z1530" s="101"/>
      <c r="AA1530" s="101"/>
      <c r="AB1530" s="101"/>
      <c r="AC1530" s="119"/>
      <c r="AD1530" s="119"/>
      <c r="AE1530" s="120"/>
      <c r="AF1530" s="119"/>
      <c r="AG1530" s="119"/>
      <c r="AH1530" s="120"/>
      <c r="AI1530" s="121"/>
      <c r="AJ1530" s="121"/>
      <c r="AK1530" s="121"/>
      <c r="AL1530" s="121"/>
      <c r="AM1530" s="122"/>
      <c r="AN1530" s="121"/>
      <c r="AP1530" s="87"/>
    </row>
    <row r="1531" spans="1:42">
      <c r="A1531" s="3"/>
      <c r="B1531" s="3"/>
      <c r="C1531" s="3"/>
      <c r="D1531" s="3"/>
      <c r="E1531" s="3"/>
      <c r="F1531" s="3"/>
      <c r="G1531" s="3"/>
      <c r="H1531" s="3"/>
      <c r="I1531" s="100"/>
      <c r="J1531" s="101"/>
      <c r="K1531" s="101"/>
      <c r="L1531" s="101"/>
      <c r="M1531" s="101"/>
      <c r="N1531" s="101"/>
      <c r="O1531" s="101"/>
      <c r="P1531" s="101"/>
      <c r="Q1531" s="101"/>
      <c r="R1531" s="101"/>
      <c r="S1531" s="101"/>
      <c r="T1531" s="101"/>
      <c r="U1531" s="101"/>
      <c r="V1531" s="101"/>
      <c r="W1531" s="101"/>
      <c r="X1531" s="101"/>
      <c r="Y1531" s="101"/>
      <c r="Z1531" s="101"/>
      <c r="AA1531" s="101"/>
      <c r="AB1531" s="101"/>
      <c r="AC1531" s="119"/>
      <c r="AD1531" s="119"/>
      <c r="AE1531" s="120"/>
      <c r="AF1531" s="119"/>
      <c r="AG1531" s="119"/>
      <c r="AH1531" s="120"/>
      <c r="AI1531" s="121"/>
      <c r="AJ1531" s="121"/>
      <c r="AK1531" s="121"/>
      <c r="AL1531" s="121"/>
      <c r="AM1531" s="122"/>
      <c r="AN1531" s="121"/>
      <c r="AP1531" s="87"/>
    </row>
    <row r="1532" spans="1:42">
      <c r="A1532" s="3"/>
      <c r="B1532" s="3"/>
      <c r="C1532" s="3"/>
      <c r="D1532" s="3"/>
      <c r="E1532" s="3"/>
      <c r="F1532" s="3"/>
      <c r="G1532" s="3"/>
      <c r="H1532" s="3"/>
      <c r="I1532" s="100"/>
      <c r="J1532" s="101"/>
      <c r="K1532" s="101"/>
      <c r="L1532" s="101"/>
      <c r="M1532" s="101"/>
      <c r="N1532" s="101"/>
      <c r="O1532" s="101"/>
      <c r="P1532" s="101"/>
      <c r="Q1532" s="101"/>
      <c r="R1532" s="101"/>
      <c r="S1532" s="101"/>
      <c r="T1532" s="101"/>
      <c r="U1532" s="101"/>
      <c r="V1532" s="101"/>
      <c r="W1532" s="101"/>
      <c r="X1532" s="101"/>
      <c r="Y1532" s="101"/>
      <c r="Z1532" s="101"/>
      <c r="AA1532" s="101"/>
      <c r="AB1532" s="101"/>
      <c r="AC1532" s="119"/>
      <c r="AD1532" s="119"/>
      <c r="AE1532" s="120"/>
      <c r="AF1532" s="119"/>
      <c r="AG1532" s="119"/>
      <c r="AH1532" s="120"/>
      <c r="AI1532" s="121"/>
      <c r="AJ1532" s="121"/>
      <c r="AK1532" s="121"/>
      <c r="AL1532" s="121"/>
      <c r="AM1532" s="122"/>
      <c r="AN1532" s="121"/>
      <c r="AP1532" s="87"/>
    </row>
    <row r="1533" spans="1:42">
      <c r="A1533" s="3"/>
      <c r="B1533" s="3"/>
      <c r="C1533" s="3"/>
      <c r="D1533" s="3"/>
      <c r="E1533" s="3"/>
      <c r="F1533" s="3"/>
      <c r="G1533" s="3"/>
      <c r="H1533" s="3"/>
      <c r="I1533" s="100"/>
      <c r="J1533" s="101"/>
      <c r="K1533" s="101"/>
      <c r="L1533" s="101"/>
      <c r="M1533" s="101"/>
      <c r="N1533" s="101"/>
      <c r="O1533" s="101"/>
      <c r="P1533" s="101"/>
      <c r="Q1533" s="101"/>
      <c r="R1533" s="101"/>
      <c r="S1533" s="101"/>
      <c r="T1533" s="101"/>
      <c r="U1533" s="101"/>
      <c r="V1533" s="101"/>
      <c r="W1533" s="101"/>
      <c r="X1533" s="101"/>
      <c r="Y1533" s="101"/>
      <c r="Z1533" s="101"/>
      <c r="AA1533" s="101"/>
      <c r="AB1533" s="101"/>
      <c r="AC1533" s="119"/>
      <c r="AD1533" s="119"/>
      <c r="AE1533" s="120"/>
      <c r="AF1533" s="119"/>
      <c r="AG1533" s="119"/>
      <c r="AH1533" s="120"/>
      <c r="AI1533" s="121"/>
      <c r="AJ1533" s="121"/>
      <c r="AK1533" s="121"/>
      <c r="AL1533" s="121"/>
      <c r="AM1533" s="122"/>
      <c r="AN1533" s="121"/>
      <c r="AP1533" s="87"/>
    </row>
    <row r="1534" spans="1:42">
      <c r="A1534" s="3"/>
      <c r="B1534" s="3"/>
      <c r="C1534" s="3"/>
      <c r="D1534" s="3"/>
      <c r="E1534" s="3"/>
      <c r="F1534" s="3"/>
      <c r="G1534" s="3"/>
      <c r="H1534" s="3"/>
      <c r="I1534" s="100"/>
      <c r="J1534" s="101"/>
      <c r="K1534" s="101"/>
      <c r="L1534" s="101"/>
      <c r="M1534" s="101"/>
      <c r="N1534" s="101"/>
      <c r="O1534" s="101"/>
      <c r="P1534" s="101"/>
      <c r="Q1534" s="101"/>
      <c r="R1534" s="101"/>
      <c r="S1534" s="101"/>
      <c r="T1534" s="101"/>
      <c r="U1534" s="101"/>
      <c r="V1534" s="101"/>
      <c r="W1534" s="101"/>
      <c r="X1534" s="101"/>
      <c r="Y1534" s="101"/>
      <c r="Z1534" s="101"/>
      <c r="AA1534" s="101"/>
      <c r="AB1534" s="101"/>
      <c r="AC1534" s="119"/>
      <c r="AD1534" s="119"/>
      <c r="AE1534" s="120"/>
      <c r="AF1534" s="119"/>
      <c r="AG1534" s="119"/>
      <c r="AH1534" s="120"/>
      <c r="AI1534" s="121"/>
      <c r="AJ1534" s="121"/>
      <c r="AK1534" s="121"/>
      <c r="AL1534" s="121"/>
      <c r="AM1534" s="122"/>
      <c r="AN1534" s="121"/>
      <c r="AP1534" s="87"/>
    </row>
    <row r="1535" spans="1:42">
      <c r="A1535" s="3"/>
      <c r="B1535" s="3"/>
      <c r="C1535" s="3"/>
      <c r="D1535" s="3"/>
      <c r="E1535" s="3"/>
      <c r="F1535" s="3"/>
      <c r="G1535" s="3"/>
      <c r="H1535" s="3"/>
      <c r="I1535" s="100"/>
      <c r="J1535" s="101"/>
      <c r="K1535" s="101"/>
      <c r="L1535" s="101"/>
      <c r="M1535" s="101"/>
      <c r="N1535" s="101"/>
      <c r="O1535" s="101"/>
      <c r="P1535" s="101"/>
      <c r="Q1535" s="101"/>
      <c r="R1535" s="101"/>
      <c r="S1535" s="101"/>
      <c r="T1535" s="101"/>
      <c r="U1535" s="101"/>
      <c r="V1535" s="101"/>
      <c r="W1535" s="101"/>
      <c r="X1535" s="101"/>
      <c r="Y1535" s="101"/>
      <c r="Z1535" s="101"/>
      <c r="AA1535" s="101"/>
      <c r="AB1535" s="101"/>
      <c r="AC1535" s="119"/>
      <c r="AD1535" s="119"/>
      <c r="AE1535" s="120"/>
      <c r="AF1535" s="119"/>
      <c r="AG1535" s="119"/>
      <c r="AH1535" s="120"/>
      <c r="AI1535" s="121"/>
      <c r="AJ1535" s="121"/>
      <c r="AK1535" s="121"/>
      <c r="AL1535" s="121"/>
      <c r="AM1535" s="122"/>
      <c r="AN1535" s="121"/>
      <c r="AP1535" s="87"/>
    </row>
    <row r="1536" spans="1:42">
      <c r="A1536" s="3"/>
      <c r="B1536" s="3"/>
      <c r="C1536" s="3"/>
      <c r="D1536" s="3"/>
      <c r="E1536" s="3"/>
      <c r="F1536" s="3"/>
      <c r="G1536" s="3"/>
      <c r="H1536" s="3"/>
      <c r="I1536" s="100"/>
      <c r="J1536" s="101"/>
      <c r="K1536" s="101"/>
      <c r="L1536" s="101"/>
      <c r="M1536" s="101"/>
      <c r="N1536" s="101"/>
      <c r="O1536" s="101"/>
      <c r="P1536" s="101"/>
      <c r="Q1536" s="101"/>
      <c r="R1536" s="101"/>
      <c r="S1536" s="101"/>
      <c r="T1536" s="101"/>
      <c r="U1536" s="101"/>
      <c r="V1536" s="101"/>
      <c r="W1536" s="101"/>
      <c r="X1536" s="101"/>
      <c r="Y1536" s="101"/>
      <c r="Z1536" s="101"/>
      <c r="AA1536" s="101"/>
      <c r="AB1536" s="101"/>
      <c r="AC1536" s="119"/>
      <c r="AD1536" s="119"/>
      <c r="AE1536" s="120"/>
      <c r="AF1536" s="119"/>
      <c r="AG1536" s="119"/>
      <c r="AH1536" s="120"/>
      <c r="AI1536" s="121"/>
      <c r="AJ1536" s="121"/>
      <c r="AK1536" s="121"/>
      <c r="AL1536" s="121"/>
      <c r="AM1536" s="122"/>
      <c r="AN1536" s="121"/>
      <c r="AP1536" s="87"/>
    </row>
    <row r="1537" spans="1:42">
      <c r="A1537" s="3"/>
      <c r="B1537" s="3"/>
      <c r="C1537" s="3"/>
      <c r="D1537" s="3"/>
      <c r="E1537" s="3"/>
      <c r="F1537" s="3"/>
      <c r="G1537" s="3"/>
      <c r="H1537" s="3"/>
      <c r="I1537" s="100"/>
      <c r="J1537" s="101"/>
      <c r="K1537" s="101"/>
      <c r="L1537" s="101"/>
      <c r="M1537" s="101"/>
      <c r="N1537" s="101"/>
      <c r="O1537" s="101"/>
      <c r="P1537" s="101"/>
      <c r="Q1537" s="101"/>
      <c r="R1537" s="101"/>
      <c r="S1537" s="101"/>
      <c r="T1537" s="101"/>
      <c r="U1537" s="101"/>
      <c r="V1537" s="101"/>
      <c r="W1537" s="101"/>
      <c r="X1537" s="101"/>
      <c r="Y1537" s="101"/>
      <c r="Z1537" s="101"/>
      <c r="AA1537" s="101"/>
      <c r="AB1537" s="101"/>
      <c r="AC1537" s="119"/>
      <c r="AD1537" s="119"/>
      <c r="AE1537" s="120"/>
      <c r="AF1537" s="119"/>
      <c r="AG1537" s="119"/>
      <c r="AH1537" s="120"/>
      <c r="AI1537" s="121"/>
      <c r="AJ1537" s="121"/>
      <c r="AK1537" s="121"/>
      <c r="AL1537" s="121"/>
      <c r="AM1537" s="122"/>
      <c r="AN1537" s="121"/>
      <c r="AP1537" s="87"/>
    </row>
    <row r="1538" spans="1:42">
      <c r="A1538" s="3"/>
      <c r="B1538" s="3"/>
      <c r="C1538" s="3"/>
      <c r="D1538" s="3"/>
      <c r="E1538" s="3"/>
      <c r="F1538" s="3"/>
      <c r="G1538" s="3"/>
      <c r="H1538" s="3"/>
      <c r="I1538" s="100"/>
      <c r="J1538" s="101"/>
      <c r="K1538" s="101"/>
      <c r="L1538" s="101"/>
      <c r="M1538" s="101"/>
      <c r="N1538" s="101"/>
      <c r="O1538" s="101"/>
      <c r="P1538" s="101"/>
      <c r="Q1538" s="101"/>
      <c r="R1538" s="101"/>
      <c r="S1538" s="101"/>
      <c r="T1538" s="101"/>
      <c r="U1538" s="101"/>
      <c r="V1538" s="101"/>
      <c r="W1538" s="101"/>
      <c r="X1538" s="101"/>
      <c r="Y1538" s="101"/>
      <c r="Z1538" s="101"/>
      <c r="AA1538" s="101"/>
      <c r="AB1538" s="101"/>
      <c r="AC1538" s="119"/>
      <c r="AD1538" s="119"/>
      <c r="AE1538" s="120"/>
      <c r="AF1538" s="119"/>
      <c r="AG1538" s="119"/>
      <c r="AH1538" s="120"/>
      <c r="AI1538" s="121"/>
      <c r="AJ1538" s="121"/>
      <c r="AK1538" s="121"/>
      <c r="AL1538" s="121"/>
      <c r="AM1538" s="122"/>
      <c r="AN1538" s="121"/>
      <c r="AP1538" s="87"/>
    </row>
    <row r="1539" spans="1:42">
      <c r="A1539" s="3"/>
      <c r="B1539" s="3"/>
      <c r="C1539" s="3"/>
      <c r="D1539" s="3"/>
      <c r="E1539" s="3"/>
      <c r="F1539" s="3"/>
      <c r="G1539" s="3"/>
      <c r="H1539" s="3"/>
      <c r="I1539" s="100"/>
      <c r="J1539" s="101"/>
      <c r="K1539" s="101"/>
      <c r="L1539" s="101"/>
      <c r="M1539" s="101"/>
      <c r="N1539" s="101"/>
      <c r="O1539" s="101"/>
      <c r="P1539" s="101"/>
      <c r="Q1539" s="101"/>
      <c r="R1539" s="101"/>
      <c r="S1539" s="101"/>
      <c r="T1539" s="101"/>
      <c r="U1539" s="101"/>
      <c r="V1539" s="101"/>
      <c r="W1539" s="101"/>
      <c r="X1539" s="101"/>
      <c r="Y1539" s="101"/>
      <c r="Z1539" s="101"/>
      <c r="AA1539" s="101"/>
      <c r="AB1539" s="101"/>
      <c r="AC1539" s="119"/>
      <c r="AD1539" s="119"/>
      <c r="AE1539" s="120"/>
      <c r="AF1539" s="119"/>
      <c r="AG1539" s="119"/>
      <c r="AH1539" s="120"/>
      <c r="AI1539" s="121"/>
      <c r="AJ1539" s="121"/>
      <c r="AK1539" s="121"/>
      <c r="AL1539" s="121"/>
      <c r="AM1539" s="122"/>
      <c r="AN1539" s="121"/>
      <c r="AP1539" s="87"/>
    </row>
    <row r="1540" spans="1:42">
      <c r="A1540" s="3"/>
      <c r="B1540" s="3"/>
      <c r="C1540" s="3"/>
      <c r="D1540" s="3"/>
      <c r="E1540" s="3"/>
      <c r="F1540" s="3"/>
      <c r="G1540" s="3"/>
      <c r="H1540" s="3"/>
      <c r="I1540" s="100"/>
      <c r="J1540" s="101"/>
      <c r="K1540" s="101"/>
      <c r="L1540" s="101"/>
      <c r="M1540" s="101"/>
      <c r="N1540" s="101"/>
      <c r="O1540" s="101"/>
      <c r="P1540" s="101"/>
      <c r="Q1540" s="101"/>
      <c r="R1540" s="101"/>
      <c r="S1540" s="101"/>
      <c r="T1540" s="101"/>
      <c r="U1540" s="101"/>
      <c r="V1540" s="101"/>
      <c r="W1540" s="101"/>
      <c r="X1540" s="101"/>
      <c r="Y1540" s="101"/>
      <c r="Z1540" s="101"/>
      <c r="AA1540" s="101"/>
      <c r="AB1540" s="101"/>
      <c r="AC1540" s="119"/>
      <c r="AD1540" s="119"/>
      <c r="AE1540" s="120"/>
      <c r="AF1540" s="119"/>
      <c r="AG1540" s="119"/>
      <c r="AH1540" s="120"/>
      <c r="AI1540" s="121"/>
      <c r="AJ1540" s="121"/>
      <c r="AK1540" s="121"/>
      <c r="AL1540" s="121"/>
      <c r="AM1540" s="122"/>
      <c r="AN1540" s="121"/>
      <c r="AP1540" s="87"/>
    </row>
    <row r="1541" spans="1:42">
      <c r="A1541" s="3"/>
      <c r="B1541" s="3"/>
      <c r="C1541" s="3"/>
      <c r="D1541" s="3"/>
      <c r="E1541" s="3"/>
      <c r="F1541" s="3"/>
      <c r="G1541" s="3"/>
      <c r="H1541" s="3"/>
      <c r="I1541" s="100"/>
      <c r="J1541" s="101"/>
      <c r="K1541" s="101"/>
      <c r="L1541" s="101"/>
      <c r="M1541" s="101"/>
      <c r="N1541" s="101"/>
      <c r="O1541" s="101"/>
      <c r="P1541" s="101"/>
      <c r="Q1541" s="101"/>
      <c r="R1541" s="101"/>
      <c r="S1541" s="101"/>
      <c r="T1541" s="101"/>
      <c r="U1541" s="101"/>
      <c r="V1541" s="101"/>
      <c r="W1541" s="101"/>
      <c r="X1541" s="101"/>
      <c r="Y1541" s="101"/>
      <c r="Z1541" s="101"/>
      <c r="AA1541" s="101"/>
      <c r="AB1541" s="101"/>
      <c r="AC1541" s="119"/>
      <c r="AD1541" s="119"/>
      <c r="AE1541" s="120"/>
      <c r="AF1541" s="119"/>
      <c r="AG1541" s="119"/>
      <c r="AH1541" s="120"/>
      <c r="AI1541" s="121"/>
      <c r="AJ1541" s="121"/>
      <c r="AK1541" s="121"/>
      <c r="AL1541" s="121"/>
      <c r="AM1541" s="122"/>
      <c r="AN1541" s="121"/>
      <c r="AP1541" s="87"/>
    </row>
    <row r="1542" spans="1:42">
      <c r="A1542" s="3"/>
      <c r="B1542" s="3"/>
      <c r="C1542" s="3"/>
      <c r="D1542" s="3"/>
      <c r="E1542" s="3"/>
      <c r="F1542" s="3"/>
      <c r="G1542" s="3"/>
      <c r="H1542" s="3"/>
      <c r="I1542" s="100"/>
      <c r="J1542" s="101"/>
      <c r="K1542" s="101"/>
      <c r="L1542" s="101"/>
      <c r="M1542" s="101"/>
      <c r="N1542" s="101"/>
      <c r="O1542" s="101"/>
      <c r="P1542" s="101"/>
      <c r="Q1542" s="101"/>
      <c r="R1542" s="101"/>
      <c r="S1542" s="101"/>
      <c r="T1542" s="101"/>
      <c r="U1542" s="101"/>
      <c r="V1542" s="101"/>
      <c r="W1542" s="101"/>
      <c r="X1542" s="101"/>
      <c r="Y1542" s="101"/>
      <c r="Z1542" s="101"/>
      <c r="AA1542" s="101"/>
      <c r="AB1542" s="101"/>
      <c r="AC1542" s="119"/>
      <c r="AD1542" s="119"/>
      <c r="AE1542" s="120"/>
      <c r="AF1542" s="119"/>
      <c r="AG1542" s="119"/>
      <c r="AH1542" s="120"/>
      <c r="AI1542" s="121"/>
      <c r="AJ1542" s="121"/>
      <c r="AK1542" s="121"/>
      <c r="AL1542" s="121"/>
      <c r="AM1542" s="122"/>
      <c r="AN1542" s="121"/>
      <c r="AP1542" s="87"/>
    </row>
    <row r="1543" spans="1:42">
      <c r="A1543" s="3"/>
      <c r="B1543" s="3"/>
      <c r="C1543" s="3"/>
      <c r="D1543" s="3"/>
      <c r="E1543" s="3"/>
      <c r="F1543" s="3"/>
      <c r="G1543" s="3"/>
      <c r="H1543" s="3"/>
      <c r="I1543" s="100"/>
      <c r="J1543" s="101"/>
      <c r="K1543" s="101"/>
      <c r="L1543" s="101"/>
      <c r="M1543" s="101"/>
      <c r="N1543" s="101"/>
      <c r="O1543" s="101"/>
      <c r="P1543" s="101"/>
      <c r="Q1543" s="101"/>
      <c r="R1543" s="101"/>
      <c r="S1543" s="101"/>
      <c r="T1543" s="101"/>
      <c r="U1543" s="101"/>
      <c r="V1543" s="101"/>
      <c r="W1543" s="101"/>
      <c r="X1543" s="101"/>
      <c r="Y1543" s="101"/>
      <c r="Z1543" s="101"/>
      <c r="AA1543" s="101"/>
      <c r="AB1543" s="101"/>
      <c r="AC1543" s="119"/>
      <c r="AD1543" s="119"/>
      <c r="AE1543" s="120"/>
      <c r="AF1543" s="119"/>
      <c r="AG1543" s="119"/>
      <c r="AH1543" s="120"/>
      <c r="AI1543" s="121"/>
      <c r="AJ1543" s="121"/>
      <c r="AK1543" s="121"/>
      <c r="AL1543" s="121"/>
      <c r="AM1543" s="122"/>
      <c r="AN1543" s="121"/>
      <c r="AP1543" s="87"/>
    </row>
    <row r="1544" spans="1:42">
      <c r="A1544" s="3"/>
      <c r="B1544" s="3"/>
      <c r="C1544" s="3"/>
      <c r="D1544" s="3"/>
      <c r="E1544" s="3"/>
      <c r="F1544" s="3"/>
      <c r="G1544" s="3"/>
      <c r="H1544" s="3"/>
      <c r="I1544" s="100"/>
      <c r="J1544" s="101"/>
      <c r="K1544" s="101"/>
      <c r="L1544" s="101"/>
      <c r="M1544" s="101"/>
      <c r="N1544" s="101"/>
      <c r="O1544" s="101"/>
      <c r="P1544" s="101"/>
      <c r="Q1544" s="101"/>
      <c r="R1544" s="101"/>
      <c r="S1544" s="101"/>
      <c r="T1544" s="101"/>
      <c r="U1544" s="101"/>
      <c r="V1544" s="101"/>
      <c r="W1544" s="101"/>
      <c r="X1544" s="101"/>
      <c r="Y1544" s="101"/>
      <c r="Z1544" s="101"/>
      <c r="AA1544" s="101"/>
      <c r="AB1544" s="101"/>
      <c r="AC1544" s="119"/>
      <c r="AD1544" s="119"/>
      <c r="AE1544" s="120"/>
      <c r="AF1544" s="119"/>
      <c r="AG1544" s="119"/>
      <c r="AH1544" s="120"/>
      <c r="AI1544" s="121"/>
      <c r="AJ1544" s="121"/>
      <c r="AK1544" s="121"/>
      <c r="AL1544" s="121"/>
      <c r="AM1544" s="122"/>
      <c r="AN1544" s="121"/>
      <c r="AP1544" s="87"/>
    </row>
    <row r="1545" spans="1:42">
      <c r="A1545" s="3"/>
      <c r="B1545" s="3"/>
      <c r="C1545" s="3"/>
      <c r="D1545" s="3"/>
      <c r="E1545" s="3"/>
      <c r="F1545" s="3"/>
      <c r="G1545" s="3"/>
      <c r="H1545" s="3"/>
      <c r="I1545" s="100"/>
      <c r="J1545" s="101"/>
      <c r="K1545" s="101"/>
      <c r="L1545" s="101"/>
      <c r="M1545" s="101"/>
      <c r="N1545" s="101"/>
      <c r="O1545" s="101"/>
      <c r="P1545" s="101"/>
      <c r="Q1545" s="101"/>
      <c r="R1545" s="101"/>
      <c r="S1545" s="101"/>
      <c r="T1545" s="101"/>
      <c r="U1545" s="101"/>
      <c r="V1545" s="101"/>
      <c r="W1545" s="101"/>
      <c r="X1545" s="101"/>
      <c r="Y1545" s="101"/>
      <c r="Z1545" s="101"/>
      <c r="AA1545" s="101"/>
      <c r="AB1545" s="101"/>
      <c r="AC1545" s="119"/>
      <c r="AD1545" s="119"/>
      <c r="AE1545" s="120"/>
      <c r="AF1545" s="119"/>
      <c r="AG1545" s="119"/>
      <c r="AH1545" s="120"/>
      <c r="AI1545" s="121"/>
      <c r="AJ1545" s="121"/>
      <c r="AK1545" s="121"/>
      <c r="AL1545" s="121"/>
      <c r="AM1545" s="122"/>
      <c r="AN1545" s="121"/>
      <c r="AP1545" s="87"/>
    </row>
    <row r="1546" spans="1:42">
      <c r="A1546" s="3"/>
      <c r="B1546" s="3"/>
      <c r="C1546" s="3"/>
      <c r="D1546" s="3"/>
      <c r="E1546" s="3"/>
      <c r="F1546" s="3"/>
      <c r="G1546" s="3"/>
      <c r="H1546" s="3"/>
      <c r="I1546" s="100"/>
      <c r="J1546" s="101"/>
      <c r="K1546" s="101"/>
      <c r="L1546" s="101"/>
      <c r="M1546" s="101"/>
      <c r="N1546" s="101"/>
      <c r="O1546" s="101"/>
      <c r="P1546" s="101"/>
      <c r="Q1546" s="101"/>
      <c r="R1546" s="101"/>
      <c r="S1546" s="101"/>
      <c r="T1546" s="101"/>
      <c r="U1546" s="101"/>
      <c r="V1546" s="101"/>
      <c r="W1546" s="101"/>
      <c r="X1546" s="101"/>
      <c r="Y1546" s="101"/>
      <c r="Z1546" s="101"/>
      <c r="AA1546" s="101"/>
      <c r="AB1546" s="101"/>
      <c r="AC1546" s="119"/>
      <c r="AD1546" s="119"/>
      <c r="AE1546" s="120"/>
      <c r="AF1546" s="119"/>
      <c r="AG1546" s="119"/>
      <c r="AH1546" s="120"/>
      <c r="AI1546" s="121"/>
      <c r="AJ1546" s="121"/>
      <c r="AK1546" s="121"/>
      <c r="AL1546" s="121"/>
      <c r="AM1546" s="122"/>
      <c r="AN1546" s="121"/>
      <c r="AP1546" s="87"/>
    </row>
    <row r="1547" spans="1:42">
      <c r="A1547" s="3"/>
      <c r="B1547" s="3"/>
      <c r="C1547" s="3"/>
      <c r="D1547" s="3"/>
      <c r="E1547" s="3"/>
      <c r="F1547" s="3"/>
      <c r="G1547" s="3"/>
      <c r="H1547" s="3"/>
      <c r="I1547" s="100"/>
      <c r="J1547" s="101"/>
      <c r="K1547" s="101"/>
      <c r="L1547" s="101"/>
      <c r="M1547" s="101"/>
      <c r="N1547" s="101"/>
      <c r="O1547" s="101"/>
      <c r="P1547" s="101"/>
      <c r="Q1547" s="101"/>
      <c r="R1547" s="101"/>
      <c r="S1547" s="101"/>
      <c r="T1547" s="101"/>
      <c r="U1547" s="101"/>
      <c r="V1547" s="101"/>
      <c r="W1547" s="101"/>
      <c r="X1547" s="101"/>
      <c r="Y1547" s="101"/>
      <c r="Z1547" s="101"/>
      <c r="AA1547" s="101"/>
      <c r="AB1547" s="101"/>
      <c r="AC1547" s="119"/>
      <c r="AD1547" s="119"/>
      <c r="AE1547" s="120"/>
      <c r="AF1547" s="119"/>
      <c r="AG1547" s="119"/>
      <c r="AH1547" s="120"/>
      <c r="AI1547" s="121"/>
      <c r="AJ1547" s="121"/>
      <c r="AK1547" s="121"/>
      <c r="AL1547" s="121"/>
      <c r="AM1547" s="122"/>
      <c r="AN1547" s="121"/>
      <c r="AP1547" s="87"/>
    </row>
    <row r="1548" spans="1:42">
      <c r="A1548" s="3"/>
      <c r="B1548" s="3"/>
      <c r="C1548" s="3"/>
      <c r="D1548" s="3"/>
      <c r="E1548" s="3"/>
      <c r="F1548" s="3"/>
      <c r="G1548" s="3"/>
      <c r="H1548" s="3"/>
      <c r="I1548" s="100"/>
      <c r="J1548" s="101"/>
      <c r="K1548" s="101"/>
      <c r="L1548" s="101"/>
      <c r="M1548" s="101"/>
      <c r="N1548" s="101"/>
      <c r="O1548" s="101"/>
      <c r="P1548" s="101"/>
      <c r="Q1548" s="101"/>
      <c r="R1548" s="101"/>
      <c r="S1548" s="101"/>
      <c r="T1548" s="101"/>
      <c r="U1548" s="101"/>
      <c r="V1548" s="101"/>
      <c r="W1548" s="101"/>
      <c r="X1548" s="101"/>
      <c r="Y1548" s="101"/>
      <c r="Z1548" s="101"/>
      <c r="AA1548" s="101"/>
      <c r="AB1548" s="101"/>
      <c r="AC1548" s="119"/>
      <c r="AD1548" s="119"/>
      <c r="AE1548" s="120"/>
      <c r="AF1548" s="119"/>
      <c r="AG1548" s="119"/>
      <c r="AH1548" s="120"/>
      <c r="AI1548" s="121"/>
      <c r="AJ1548" s="121"/>
      <c r="AK1548" s="121"/>
      <c r="AL1548" s="121"/>
      <c r="AM1548" s="122"/>
      <c r="AN1548" s="121"/>
      <c r="AP1548" s="87"/>
    </row>
    <row r="1549" spans="1:42">
      <c r="A1549" s="3"/>
      <c r="B1549" s="3"/>
      <c r="C1549" s="3"/>
      <c r="D1549" s="3"/>
      <c r="E1549" s="3"/>
      <c r="F1549" s="3"/>
      <c r="G1549" s="3"/>
      <c r="H1549" s="3"/>
      <c r="I1549" s="100"/>
      <c r="J1549" s="101"/>
      <c r="K1549" s="101"/>
      <c r="L1549" s="101"/>
      <c r="M1549" s="101"/>
      <c r="N1549" s="101"/>
      <c r="O1549" s="101"/>
      <c r="P1549" s="101"/>
      <c r="Q1549" s="101"/>
      <c r="R1549" s="101"/>
      <c r="S1549" s="101"/>
      <c r="T1549" s="101"/>
      <c r="U1549" s="101"/>
      <c r="V1549" s="101"/>
      <c r="W1549" s="101"/>
      <c r="X1549" s="101"/>
      <c r="Y1549" s="101"/>
      <c r="Z1549" s="101"/>
      <c r="AA1549" s="101"/>
      <c r="AB1549" s="101"/>
      <c r="AC1549" s="119"/>
      <c r="AD1549" s="119"/>
      <c r="AE1549" s="120"/>
      <c r="AF1549" s="119"/>
      <c r="AG1549" s="119"/>
      <c r="AH1549" s="120"/>
      <c r="AI1549" s="121"/>
      <c r="AJ1549" s="121"/>
      <c r="AK1549" s="121"/>
      <c r="AL1549" s="121"/>
      <c r="AM1549" s="122"/>
      <c r="AN1549" s="121"/>
      <c r="AP1549" s="87"/>
    </row>
    <row r="1550" spans="1:42">
      <c r="A1550" s="3"/>
      <c r="B1550" s="3"/>
      <c r="C1550" s="3"/>
      <c r="D1550" s="3"/>
      <c r="E1550" s="3"/>
      <c r="F1550" s="3"/>
      <c r="G1550" s="3"/>
      <c r="H1550" s="3"/>
      <c r="I1550" s="100"/>
      <c r="J1550" s="101"/>
      <c r="K1550" s="101"/>
      <c r="L1550" s="101"/>
      <c r="M1550" s="101"/>
      <c r="N1550" s="101"/>
      <c r="O1550" s="101"/>
      <c r="P1550" s="101"/>
      <c r="Q1550" s="101"/>
      <c r="R1550" s="101"/>
      <c r="S1550" s="101"/>
      <c r="T1550" s="101"/>
      <c r="U1550" s="101"/>
      <c r="V1550" s="101"/>
      <c r="W1550" s="101"/>
      <c r="X1550" s="101"/>
      <c r="Y1550" s="101"/>
      <c r="Z1550" s="101"/>
      <c r="AA1550" s="101"/>
      <c r="AB1550" s="101"/>
      <c r="AC1550" s="119"/>
      <c r="AD1550" s="119"/>
      <c r="AE1550" s="120"/>
      <c r="AF1550" s="119"/>
      <c r="AG1550" s="119"/>
      <c r="AH1550" s="120"/>
      <c r="AI1550" s="121"/>
      <c r="AJ1550" s="121"/>
      <c r="AK1550" s="121"/>
      <c r="AL1550" s="121"/>
      <c r="AM1550" s="122"/>
      <c r="AN1550" s="121"/>
      <c r="AP1550" s="87"/>
    </row>
    <row r="1551" spans="1:42">
      <c r="A1551" s="3"/>
      <c r="B1551" s="3"/>
      <c r="C1551" s="3"/>
      <c r="D1551" s="3"/>
      <c r="E1551" s="3"/>
      <c r="F1551" s="3"/>
      <c r="G1551" s="3"/>
      <c r="H1551" s="3"/>
      <c r="I1551" s="100"/>
      <c r="J1551" s="101"/>
      <c r="K1551" s="101"/>
      <c r="L1551" s="101"/>
      <c r="M1551" s="101"/>
      <c r="N1551" s="101"/>
      <c r="O1551" s="101"/>
      <c r="P1551" s="101"/>
      <c r="Q1551" s="101"/>
      <c r="R1551" s="101"/>
      <c r="S1551" s="101"/>
      <c r="T1551" s="101"/>
      <c r="U1551" s="101"/>
      <c r="V1551" s="101"/>
      <c r="W1551" s="101"/>
      <c r="X1551" s="101"/>
      <c r="Y1551" s="101"/>
      <c r="Z1551" s="101"/>
      <c r="AA1551" s="101"/>
      <c r="AB1551" s="101"/>
      <c r="AC1551" s="119"/>
      <c r="AD1551" s="119"/>
      <c r="AE1551" s="120"/>
      <c r="AF1551" s="119"/>
      <c r="AG1551" s="119"/>
      <c r="AH1551" s="120"/>
      <c r="AI1551" s="121"/>
      <c r="AJ1551" s="121"/>
      <c r="AK1551" s="121"/>
      <c r="AL1551" s="121"/>
      <c r="AM1551" s="122"/>
      <c r="AN1551" s="121"/>
      <c r="AP1551" s="87"/>
    </row>
    <row r="1552" spans="1:42">
      <c r="A1552" s="3"/>
      <c r="B1552" s="3"/>
      <c r="C1552" s="3"/>
      <c r="D1552" s="3"/>
      <c r="E1552" s="3"/>
      <c r="F1552" s="3"/>
      <c r="G1552" s="3"/>
      <c r="H1552" s="3"/>
      <c r="I1552" s="100"/>
      <c r="J1552" s="101"/>
      <c r="K1552" s="101"/>
      <c r="L1552" s="101"/>
      <c r="M1552" s="101"/>
      <c r="N1552" s="101"/>
      <c r="O1552" s="101"/>
      <c r="P1552" s="101"/>
      <c r="Q1552" s="101"/>
      <c r="R1552" s="101"/>
      <c r="S1552" s="101"/>
      <c r="T1552" s="101"/>
      <c r="U1552" s="101"/>
      <c r="V1552" s="101"/>
      <c r="W1552" s="101"/>
      <c r="X1552" s="101"/>
      <c r="Y1552" s="101"/>
      <c r="Z1552" s="101"/>
      <c r="AA1552" s="101"/>
      <c r="AB1552" s="101"/>
      <c r="AC1552" s="119"/>
      <c r="AD1552" s="119"/>
      <c r="AE1552" s="120"/>
      <c r="AF1552" s="119"/>
      <c r="AG1552" s="119"/>
      <c r="AH1552" s="120"/>
      <c r="AI1552" s="121"/>
      <c r="AJ1552" s="121"/>
      <c r="AK1552" s="121"/>
      <c r="AL1552" s="121"/>
      <c r="AM1552" s="122"/>
      <c r="AN1552" s="121"/>
      <c r="AP1552" s="87"/>
    </row>
    <row r="1553" spans="1:42">
      <c r="A1553" s="3"/>
      <c r="B1553" s="3"/>
      <c r="C1553" s="3"/>
      <c r="D1553" s="3"/>
      <c r="E1553" s="3"/>
      <c r="F1553" s="3"/>
      <c r="G1553" s="3"/>
      <c r="H1553" s="3"/>
      <c r="I1553" s="100"/>
      <c r="J1553" s="101"/>
      <c r="K1553" s="101"/>
      <c r="L1553" s="101"/>
      <c r="M1553" s="101"/>
      <c r="N1553" s="101"/>
      <c r="O1553" s="101"/>
      <c r="P1553" s="101"/>
      <c r="Q1553" s="101"/>
      <c r="R1553" s="101"/>
      <c r="S1553" s="101"/>
      <c r="T1553" s="101"/>
      <c r="U1553" s="101"/>
      <c r="V1553" s="101"/>
      <c r="W1553" s="101"/>
      <c r="X1553" s="101"/>
      <c r="Y1553" s="101"/>
      <c r="Z1553" s="101"/>
      <c r="AA1553" s="101"/>
      <c r="AB1553" s="101"/>
      <c r="AC1553" s="119"/>
      <c r="AD1553" s="119"/>
      <c r="AE1553" s="120"/>
      <c r="AF1553" s="119"/>
      <c r="AG1553" s="119"/>
      <c r="AH1553" s="120"/>
      <c r="AI1553" s="121"/>
      <c r="AJ1553" s="121"/>
      <c r="AK1553" s="121"/>
      <c r="AL1553" s="121"/>
      <c r="AM1553" s="122"/>
      <c r="AN1553" s="121"/>
      <c r="AP1553" s="87"/>
    </row>
    <row r="1554" spans="1:42">
      <c r="A1554" s="3"/>
      <c r="B1554" s="3"/>
      <c r="C1554" s="3"/>
      <c r="D1554" s="3"/>
      <c r="E1554" s="3"/>
      <c r="F1554" s="3"/>
      <c r="G1554" s="3"/>
      <c r="H1554" s="3"/>
      <c r="I1554" s="100"/>
      <c r="J1554" s="101"/>
      <c r="K1554" s="101"/>
      <c r="L1554" s="101"/>
      <c r="M1554" s="101"/>
      <c r="N1554" s="101"/>
      <c r="O1554" s="101"/>
      <c r="P1554" s="101"/>
      <c r="Q1554" s="101"/>
      <c r="R1554" s="101"/>
      <c r="S1554" s="101"/>
      <c r="T1554" s="101"/>
      <c r="U1554" s="101"/>
      <c r="V1554" s="101"/>
      <c r="W1554" s="101"/>
      <c r="X1554" s="101"/>
      <c r="Y1554" s="101"/>
      <c r="Z1554" s="101"/>
      <c r="AA1554" s="101"/>
      <c r="AB1554" s="101"/>
      <c r="AC1554" s="119"/>
      <c r="AD1554" s="119"/>
      <c r="AE1554" s="120"/>
      <c r="AF1554" s="119"/>
      <c r="AG1554" s="119"/>
      <c r="AH1554" s="120"/>
      <c r="AI1554" s="121"/>
      <c r="AJ1554" s="121"/>
      <c r="AK1554" s="121"/>
      <c r="AL1554" s="121"/>
      <c r="AM1554" s="122"/>
      <c r="AN1554" s="121"/>
      <c r="AP1554" s="87"/>
    </row>
    <row r="1555" spans="1:42">
      <c r="A1555" s="3"/>
      <c r="B1555" s="3"/>
      <c r="C1555" s="3"/>
      <c r="D1555" s="3"/>
      <c r="E1555" s="3"/>
      <c r="F1555" s="3"/>
      <c r="G1555" s="3"/>
      <c r="H1555" s="3"/>
      <c r="I1555" s="100"/>
      <c r="J1555" s="101"/>
      <c r="K1555" s="101"/>
      <c r="L1555" s="101"/>
      <c r="M1555" s="101"/>
      <c r="N1555" s="101"/>
      <c r="O1555" s="101"/>
      <c r="P1555" s="101"/>
      <c r="Q1555" s="101"/>
      <c r="R1555" s="101"/>
      <c r="S1555" s="101"/>
      <c r="T1555" s="101"/>
      <c r="U1555" s="101"/>
      <c r="V1555" s="101"/>
      <c r="W1555" s="101"/>
      <c r="X1555" s="101"/>
      <c r="Y1555" s="101"/>
      <c r="Z1555" s="101"/>
      <c r="AA1555" s="101"/>
      <c r="AB1555" s="101"/>
      <c r="AC1555" s="119"/>
      <c r="AD1555" s="119"/>
      <c r="AE1555" s="120"/>
      <c r="AF1555" s="119"/>
      <c r="AG1555" s="119"/>
      <c r="AH1555" s="120"/>
      <c r="AI1555" s="121"/>
      <c r="AJ1555" s="121"/>
      <c r="AK1555" s="121"/>
      <c r="AL1555" s="121"/>
      <c r="AM1555" s="122"/>
      <c r="AN1555" s="121"/>
      <c r="AP1555" s="87"/>
    </row>
    <row r="1556" spans="1:42">
      <c r="A1556" s="3"/>
      <c r="B1556" s="3"/>
      <c r="C1556" s="3"/>
      <c r="D1556" s="3"/>
      <c r="E1556" s="3"/>
      <c r="F1556" s="3"/>
      <c r="G1556" s="3"/>
      <c r="H1556" s="3"/>
      <c r="I1556" s="100"/>
      <c r="J1556" s="101"/>
      <c r="K1556" s="101"/>
      <c r="L1556" s="101"/>
      <c r="M1556" s="101"/>
      <c r="N1556" s="101"/>
      <c r="O1556" s="101"/>
      <c r="P1556" s="101"/>
      <c r="Q1556" s="101"/>
      <c r="R1556" s="101"/>
      <c r="S1556" s="101"/>
      <c r="T1556" s="101"/>
      <c r="U1556" s="101"/>
      <c r="V1556" s="101"/>
      <c r="W1556" s="101"/>
      <c r="X1556" s="101"/>
      <c r="Y1556" s="101"/>
      <c r="Z1556" s="101"/>
      <c r="AA1556" s="101"/>
      <c r="AB1556" s="101"/>
      <c r="AC1556" s="119"/>
      <c r="AD1556" s="119"/>
      <c r="AE1556" s="120"/>
      <c r="AF1556" s="119"/>
      <c r="AG1556" s="119"/>
      <c r="AH1556" s="120"/>
      <c r="AI1556" s="121"/>
      <c r="AJ1556" s="121"/>
      <c r="AK1556" s="121"/>
      <c r="AL1556" s="121"/>
      <c r="AM1556" s="122"/>
      <c r="AN1556" s="121"/>
      <c r="AP1556" s="87"/>
    </row>
    <row r="1557" spans="1:42">
      <c r="A1557" s="3"/>
      <c r="B1557" s="3"/>
      <c r="C1557" s="3"/>
      <c r="D1557" s="3"/>
      <c r="E1557" s="3"/>
      <c r="F1557" s="3"/>
      <c r="G1557" s="3"/>
      <c r="H1557" s="3"/>
      <c r="I1557" s="100"/>
      <c r="J1557" s="101"/>
      <c r="K1557" s="101"/>
      <c r="L1557" s="101"/>
      <c r="M1557" s="101"/>
      <c r="N1557" s="101"/>
      <c r="O1557" s="101"/>
      <c r="P1557" s="101"/>
      <c r="Q1557" s="101"/>
      <c r="R1557" s="101"/>
      <c r="S1557" s="101"/>
      <c r="T1557" s="101"/>
      <c r="U1557" s="101"/>
      <c r="V1557" s="101"/>
      <c r="W1557" s="101"/>
      <c r="X1557" s="101"/>
      <c r="Y1557" s="101"/>
      <c r="Z1557" s="101"/>
      <c r="AA1557" s="101"/>
      <c r="AB1557" s="101"/>
      <c r="AC1557" s="119"/>
      <c r="AD1557" s="119"/>
      <c r="AE1557" s="120"/>
      <c r="AF1557" s="119"/>
      <c r="AG1557" s="119"/>
      <c r="AH1557" s="120"/>
      <c r="AI1557" s="121"/>
      <c r="AJ1557" s="121"/>
      <c r="AK1557" s="121"/>
      <c r="AL1557" s="121"/>
      <c r="AM1557" s="122"/>
      <c r="AN1557" s="121"/>
      <c r="AP1557" s="87"/>
    </row>
    <row r="1558" spans="1:42">
      <c r="A1558" s="3"/>
      <c r="B1558" s="3"/>
      <c r="C1558" s="3"/>
      <c r="D1558" s="3"/>
      <c r="E1558" s="3"/>
      <c r="F1558" s="3"/>
      <c r="G1558" s="3"/>
      <c r="H1558" s="3"/>
      <c r="I1558" s="100"/>
      <c r="J1558" s="101"/>
      <c r="K1558" s="101"/>
      <c r="L1558" s="101"/>
      <c r="M1558" s="101"/>
      <c r="N1558" s="101"/>
      <c r="O1558" s="101"/>
      <c r="P1558" s="101"/>
      <c r="Q1558" s="101"/>
      <c r="R1558" s="101"/>
      <c r="S1558" s="101"/>
      <c r="T1558" s="101"/>
      <c r="U1558" s="101"/>
      <c r="V1558" s="101"/>
      <c r="W1558" s="101"/>
      <c r="X1558" s="101"/>
      <c r="Y1558" s="101"/>
      <c r="Z1558" s="101"/>
      <c r="AA1558" s="101"/>
      <c r="AB1558" s="101"/>
      <c r="AC1558" s="119"/>
      <c r="AD1558" s="119"/>
      <c r="AE1558" s="120"/>
      <c r="AF1558" s="119"/>
      <c r="AG1558" s="119"/>
      <c r="AH1558" s="120"/>
      <c r="AI1558" s="121"/>
      <c r="AJ1558" s="121"/>
      <c r="AK1558" s="121"/>
      <c r="AL1558" s="121"/>
      <c r="AM1558" s="122"/>
      <c r="AN1558" s="121"/>
      <c r="AP1558" s="87"/>
    </row>
    <row r="1559" spans="1:42">
      <c r="A1559" s="3"/>
      <c r="B1559" s="3"/>
      <c r="C1559" s="3"/>
      <c r="D1559" s="3"/>
      <c r="E1559" s="3"/>
      <c r="F1559" s="3"/>
      <c r="G1559" s="3"/>
      <c r="H1559" s="3"/>
      <c r="I1559" s="100"/>
      <c r="J1559" s="101"/>
      <c r="K1559" s="101"/>
      <c r="L1559" s="101"/>
      <c r="M1559" s="101"/>
      <c r="N1559" s="101"/>
      <c r="O1559" s="101"/>
      <c r="P1559" s="101"/>
      <c r="Q1559" s="101"/>
      <c r="R1559" s="101"/>
      <c r="S1559" s="101"/>
      <c r="T1559" s="101"/>
      <c r="U1559" s="101"/>
      <c r="V1559" s="101"/>
      <c r="W1559" s="101"/>
      <c r="X1559" s="101"/>
      <c r="Y1559" s="101"/>
      <c r="Z1559" s="101"/>
      <c r="AA1559" s="101"/>
      <c r="AB1559" s="101"/>
      <c r="AC1559" s="119"/>
      <c r="AD1559" s="119"/>
      <c r="AE1559" s="120"/>
      <c r="AF1559" s="119"/>
      <c r="AG1559" s="119"/>
      <c r="AH1559" s="120"/>
      <c r="AI1559" s="121"/>
      <c r="AJ1559" s="121"/>
      <c r="AK1559" s="121"/>
      <c r="AL1559" s="121"/>
      <c r="AM1559" s="122"/>
      <c r="AN1559" s="121"/>
      <c r="AP1559" s="87"/>
    </row>
    <row r="1560" spans="1:42">
      <c r="A1560" s="3"/>
      <c r="B1560" s="3"/>
      <c r="C1560" s="3"/>
      <c r="D1560" s="3"/>
      <c r="E1560" s="3"/>
      <c r="F1560" s="3"/>
      <c r="G1560" s="3"/>
      <c r="H1560" s="3"/>
      <c r="I1560" s="100"/>
      <c r="J1560" s="101"/>
      <c r="K1560" s="101"/>
      <c r="L1560" s="101"/>
      <c r="M1560" s="101"/>
      <c r="N1560" s="101"/>
      <c r="O1560" s="101"/>
      <c r="P1560" s="101"/>
      <c r="Q1560" s="101"/>
      <c r="R1560" s="101"/>
      <c r="S1560" s="101"/>
      <c r="T1560" s="101"/>
      <c r="U1560" s="101"/>
      <c r="V1560" s="101"/>
      <c r="W1560" s="101"/>
      <c r="X1560" s="101"/>
      <c r="Y1560" s="101"/>
      <c r="Z1560" s="101"/>
      <c r="AA1560" s="101"/>
      <c r="AB1560" s="101"/>
      <c r="AC1560" s="119"/>
      <c r="AD1560" s="119"/>
      <c r="AE1560" s="120"/>
      <c r="AF1560" s="119"/>
      <c r="AG1560" s="119"/>
      <c r="AH1560" s="120"/>
      <c r="AI1560" s="121"/>
      <c r="AJ1560" s="121"/>
      <c r="AK1560" s="121"/>
      <c r="AL1560" s="121"/>
      <c r="AM1560" s="122"/>
      <c r="AN1560" s="121"/>
      <c r="AP1560" s="87"/>
    </row>
    <row r="1561" spans="1:42">
      <c r="A1561" s="3"/>
      <c r="B1561" s="3"/>
      <c r="C1561" s="3"/>
      <c r="D1561" s="3"/>
      <c r="E1561" s="3"/>
      <c r="F1561" s="3"/>
      <c r="G1561" s="3"/>
      <c r="H1561" s="3"/>
      <c r="I1561" s="100"/>
      <c r="J1561" s="101"/>
      <c r="K1561" s="101"/>
      <c r="L1561" s="101"/>
      <c r="M1561" s="101"/>
      <c r="N1561" s="101"/>
      <c r="O1561" s="101"/>
      <c r="P1561" s="101"/>
      <c r="Q1561" s="101"/>
      <c r="R1561" s="101"/>
      <c r="S1561" s="101"/>
      <c r="T1561" s="101"/>
      <c r="U1561" s="101"/>
      <c r="V1561" s="101"/>
      <c r="W1561" s="101"/>
      <c r="X1561" s="101"/>
      <c r="Y1561" s="101"/>
      <c r="Z1561" s="101"/>
      <c r="AA1561" s="101"/>
      <c r="AB1561" s="101"/>
      <c r="AC1561" s="119"/>
      <c r="AD1561" s="119"/>
      <c r="AE1561" s="120"/>
      <c r="AF1561" s="119"/>
      <c r="AG1561" s="119"/>
      <c r="AH1561" s="120"/>
      <c r="AI1561" s="121"/>
      <c r="AJ1561" s="121"/>
      <c r="AK1561" s="121"/>
      <c r="AL1561" s="121"/>
      <c r="AM1561" s="122"/>
      <c r="AN1561" s="121"/>
      <c r="AP1561" s="87"/>
    </row>
    <row r="1562" spans="1:42">
      <c r="A1562" s="3"/>
      <c r="B1562" s="3"/>
      <c r="C1562" s="3"/>
      <c r="D1562" s="3"/>
      <c r="E1562" s="3"/>
      <c r="F1562" s="3"/>
      <c r="G1562" s="3"/>
      <c r="H1562" s="3"/>
      <c r="I1562" s="100"/>
      <c r="J1562" s="101"/>
      <c r="K1562" s="101"/>
      <c r="L1562" s="101"/>
      <c r="M1562" s="101"/>
      <c r="N1562" s="101"/>
      <c r="O1562" s="101"/>
      <c r="P1562" s="101"/>
      <c r="Q1562" s="101"/>
      <c r="R1562" s="101"/>
      <c r="S1562" s="101"/>
      <c r="T1562" s="101"/>
      <c r="U1562" s="101"/>
      <c r="V1562" s="101"/>
      <c r="W1562" s="101"/>
      <c r="X1562" s="101"/>
      <c r="Y1562" s="101"/>
      <c r="Z1562" s="101"/>
      <c r="AA1562" s="101"/>
      <c r="AB1562" s="101"/>
      <c r="AC1562" s="119"/>
      <c r="AD1562" s="119"/>
      <c r="AE1562" s="120"/>
      <c r="AF1562" s="119"/>
      <c r="AG1562" s="119"/>
      <c r="AH1562" s="120"/>
      <c r="AI1562" s="121"/>
      <c r="AJ1562" s="121"/>
      <c r="AK1562" s="121"/>
      <c r="AL1562" s="121"/>
      <c r="AM1562" s="122"/>
      <c r="AN1562" s="121"/>
      <c r="AP1562" s="87"/>
    </row>
    <row r="1563" spans="1:42">
      <c r="A1563" s="3"/>
      <c r="B1563" s="3"/>
      <c r="C1563" s="3"/>
      <c r="D1563" s="3"/>
      <c r="E1563" s="3"/>
      <c r="F1563" s="3"/>
      <c r="G1563" s="3"/>
      <c r="H1563" s="3"/>
      <c r="I1563" s="100"/>
      <c r="J1563" s="101"/>
      <c r="K1563" s="101"/>
      <c r="L1563" s="101"/>
      <c r="M1563" s="101"/>
      <c r="N1563" s="101"/>
      <c r="O1563" s="101"/>
      <c r="P1563" s="101"/>
      <c r="Q1563" s="101"/>
      <c r="R1563" s="101"/>
      <c r="S1563" s="101"/>
      <c r="T1563" s="101"/>
      <c r="U1563" s="101"/>
      <c r="V1563" s="101"/>
      <c r="W1563" s="101"/>
      <c r="X1563" s="101"/>
      <c r="Y1563" s="101"/>
      <c r="Z1563" s="101"/>
      <c r="AA1563" s="101"/>
      <c r="AB1563" s="101"/>
      <c r="AC1563" s="119"/>
      <c r="AD1563" s="119"/>
      <c r="AE1563" s="120"/>
      <c r="AF1563" s="119"/>
      <c r="AG1563" s="119"/>
      <c r="AH1563" s="120"/>
      <c r="AI1563" s="121"/>
      <c r="AJ1563" s="121"/>
      <c r="AK1563" s="121"/>
      <c r="AL1563" s="121"/>
      <c r="AM1563" s="122"/>
      <c r="AN1563" s="121"/>
      <c r="AP1563" s="87"/>
    </row>
    <row r="1564" spans="1:42">
      <c r="A1564" s="3"/>
      <c r="B1564" s="3"/>
      <c r="C1564" s="3"/>
      <c r="D1564" s="3"/>
      <c r="E1564" s="3"/>
      <c r="F1564" s="3"/>
      <c r="G1564" s="3"/>
      <c r="H1564" s="3"/>
      <c r="I1564" s="100"/>
      <c r="J1564" s="101"/>
      <c r="K1564" s="101"/>
      <c r="L1564" s="101"/>
      <c r="M1564" s="101"/>
      <c r="N1564" s="101"/>
      <c r="O1564" s="101"/>
      <c r="P1564" s="101"/>
      <c r="Q1564" s="101"/>
      <c r="R1564" s="101"/>
      <c r="S1564" s="101"/>
      <c r="T1564" s="101"/>
      <c r="U1564" s="101"/>
      <c r="V1564" s="101"/>
      <c r="W1564" s="101"/>
      <c r="X1564" s="101"/>
      <c r="Y1564" s="101"/>
      <c r="Z1564" s="101"/>
      <c r="AA1564" s="101"/>
      <c r="AB1564" s="101"/>
      <c r="AC1564" s="119"/>
      <c r="AD1564" s="119"/>
      <c r="AE1564" s="120"/>
      <c r="AF1564" s="119"/>
      <c r="AG1564" s="119"/>
      <c r="AH1564" s="120"/>
      <c r="AI1564" s="121"/>
      <c r="AJ1564" s="121"/>
      <c r="AK1564" s="121"/>
      <c r="AL1564" s="121"/>
      <c r="AM1564" s="122"/>
      <c r="AN1564" s="121"/>
      <c r="AP1564" s="87"/>
    </row>
    <row r="1565" spans="1:42">
      <c r="A1565" s="3"/>
      <c r="B1565" s="3"/>
      <c r="C1565" s="3"/>
      <c r="D1565" s="3"/>
      <c r="E1565" s="3"/>
      <c r="F1565" s="3"/>
      <c r="G1565" s="3"/>
      <c r="H1565" s="3"/>
      <c r="I1565" s="100"/>
      <c r="J1565" s="101"/>
      <c r="K1565" s="101"/>
      <c r="L1565" s="101"/>
      <c r="M1565" s="101"/>
      <c r="N1565" s="101"/>
      <c r="O1565" s="101"/>
      <c r="P1565" s="101"/>
      <c r="Q1565" s="101"/>
      <c r="R1565" s="101"/>
      <c r="S1565" s="101"/>
      <c r="T1565" s="101"/>
      <c r="U1565" s="101"/>
      <c r="V1565" s="101"/>
      <c r="W1565" s="101"/>
      <c r="X1565" s="101"/>
      <c r="Y1565" s="101"/>
      <c r="Z1565" s="101"/>
      <c r="AA1565" s="101"/>
      <c r="AB1565" s="101"/>
      <c r="AC1565" s="119"/>
      <c r="AD1565" s="119"/>
      <c r="AE1565" s="120"/>
      <c r="AF1565" s="119"/>
      <c r="AG1565" s="119"/>
      <c r="AH1565" s="120"/>
      <c r="AI1565" s="121"/>
      <c r="AJ1565" s="121"/>
      <c r="AK1565" s="121"/>
      <c r="AL1565" s="121"/>
      <c r="AM1565" s="122"/>
      <c r="AN1565" s="121"/>
      <c r="AP1565" s="87"/>
    </row>
    <row r="1566" spans="1:42">
      <c r="A1566" s="3"/>
      <c r="B1566" s="3"/>
      <c r="C1566" s="3"/>
      <c r="D1566" s="3"/>
      <c r="E1566" s="3"/>
      <c r="F1566" s="3"/>
      <c r="G1566" s="3"/>
      <c r="H1566" s="3"/>
      <c r="I1566" s="100"/>
      <c r="J1566" s="101"/>
      <c r="K1566" s="101"/>
      <c r="L1566" s="101"/>
      <c r="M1566" s="101"/>
      <c r="N1566" s="101"/>
      <c r="O1566" s="101"/>
      <c r="P1566" s="101"/>
      <c r="Q1566" s="101"/>
      <c r="R1566" s="101"/>
      <c r="S1566" s="101"/>
      <c r="T1566" s="101"/>
      <c r="U1566" s="101"/>
      <c r="V1566" s="101"/>
      <c r="W1566" s="101"/>
      <c r="X1566" s="101"/>
      <c r="Y1566" s="101"/>
      <c r="Z1566" s="101"/>
      <c r="AA1566" s="101"/>
      <c r="AB1566" s="101"/>
      <c r="AC1566" s="119"/>
      <c r="AD1566" s="119"/>
      <c r="AE1566" s="120"/>
      <c r="AF1566" s="119"/>
      <c r="AG1566" s="119"/>
      <c r="AH1566" s="120"/>
      <c r="AI1566" s="121"/>
      <c r="AJ1566" s="121"/>
      <c r="AK1566" s="121"/>
      <c r="AL1566" s="121"/>
      <c r="AM1566" s="122"/>
      <c r="AN1566" s="121"/>
      <c r="AP1566" s="87"/>
    </row>
    <row r="1567" spans="1:42">
      <c r="A1567" s="3"/>
      <c r="B1567" s="3"/>
      <c r="C1567" s="3"/>
      <c r="D1567" s="3"/>
      <c r="E1567" s="3"/>
      <c r="F1567" s="3"/>
      <c r="G1567" s="3"/>
      <c r="H1567" s="3"/>
      <c r="I1567" s="100"/>
      <c r="J1567" s="101"/>
      <c r="K1567" s="101"/>
      <c r="L1567" s="101"/>
      <c r="M1567" s="101"/>
      <c r="N1567" s="101"/>
      <c r="O1567" s="101"/>
      <c r="P1567" s="101"/>
      <c r="Q1567" s="101"/>
      <c r="R1567" s="101"/>
      <c r="S1567" s="101"/>
      <c r="T1567" s="101"/>
      <c r="U1567" s="101"/>
      <c r="V1567" s="101"/>
      <c r="W1567" s="101"/>
      <c r="X1567" s="101"/>
      <c r="Y1567" s="101"/>
      <c r="Z1567" s="101"/>
      <c r="AA1567" s="101"/>
      <c r="AB1567" s="101"/>
      <c r="AC1567" s="119"/>
      <c r="AD1567" s="119"/>
      <c r="AE1567" s="120"/>
      <c r="AF1567" s="119"/>
      <c r="AG1567" s="119"/>
      <c r="AH1567" s="120"/>
      <c r="AI1567" s="121"/>
      <c r="AJ1567" s="121"/>
      <c r="AK1567" s="121"/>
      <c r="AL1567" s="121"/>
      <c r="AM1567" s="122"/>
      <c r="AN1567" s="121"/>
      <c r="AP1567" s="87"/>
    </row>
    <row r="1568" spans="1:42">
      <c r="A1568" s="3"/>
      <c r="B1568" s="3"/>
      <c r="C1568" s="3"/>
      <c r="D1568" s="3"/>
      <c r="E1568" s="3"/>
      <c r="F1568" s="3"/>
      <c r="G1568" s="3"/>
      <c r="H1568" s="3"/>
      <c r="I1568" s="100"/>
      <c r="J1568" s="101"/>
      <c r="K1568" s="101"/>
      <c r="L1568" s="101"/>
      <c r="M1568" s="101"/>
      <c r="N1568" s="101"/>
      <c r="O1568" s="101"/>
      <c r="P1568" s="101"/>
      <c r="Q1568" s="101"/>
      <c r="R1568" s="101"/>
      <c r="S1568" s="101"/>
      <c r="T1568" s="101"/>
      <c r="U1568" s="101"/>
      <c r="V1568" s="101"/>
      <c r="W1568" s="101"/>
      <c r="X1568" s="101"/>
      <c r="Y1568" s="101"/>
      <c r="Z1568" s="101"/>
      <c r="AA1568" s="101"/>
      <c r="AB1568" s="101"/>
      <c r="AC1568" s="119"/>
      <c r="AD1568" s="119"/>
      <c r="AE1568" s="120"/>
      <c r="AF1568" s="119"/>
      <c r="AG1568" s="119"/>
      <c r="AH1568" s="120"/>
      <c r="AI1568" s="121"/>
      <c r="AJ1568" s="121"/>
      <c r="AK1568" s="121"/>
      <c r="AL1568" s="121"/>
      <c r="AM1568" s="122"/>
      <c r="AN1568" s="121"/>
      <c r="AP1568" s="87"/>
    </row>
    <row r="1569" spans="1:42">
      <c r="A1569" s="3"/>
      <c r="B1569" s="3"/>
      <c r="C1569" s="3"/>
      <c r="D1569" s="3"/>
      <c r="E1569" s="3"/>
      <c r="F1569" s="3"/>
      <c r="G1569" s="3"/>
      <c r="H1569" s="3"/>
      <c r="I1569" s="100"/>
      <c r="J1569" s="101"/>
      <c r="K1569" s="101"/>
      <c r="L1569" s="101"/>
      <c r="M1569" s="101"/>
      <c r="N1569" s="101"/>
      <c r="O1569" s="101"/>
      <c r="P1569" s="101"/>
      <c r="Q1569" s="101"/>
      <c r="R1569" s="101"/>
      <c r="S1569" s="101"/>
      <c r="T1569" s="101"/>
      <c r="U1569" s="101"/>
      <c r="V1569" s="101"/>
      <c r="W1569" s="101"/>
      <c r="X1569" s="101"/>
      <c r="Y1569" s="101"/>
      <c r="Z1569" s="101"/>
      <c r="AA1569" s="101"/>
      <c r="AB1569" s="101"/>
      <c r="AC1569" s="119"/>
      <c r="AD1569" s="119"/>
      <c r="AE1569" s="120"/>
      <c r="AF1569" s="119"/>
      <c r="AG1569" s="119"/>
      <c r="AH1569" s="120"/>
      <c r="AI1569" s="121"/>
      <c r="AJ1569" s="121"/>
      <c r="AK1569" s="121"/>
      <c r="AL1569" s="121"/>
      <c r="AM1569" s="122"/>
      <c r="AN1569" s="121"/>
      <c r="AP1569" s="87"/>
    </row>
    <row r="1570" spans="1:42">
      <c r="A1570" s="3"/>
      <c r="B1570" s="3"/>
      <c r="C1570" s="3"/>
      <c r="D1570" s="3"/>
      <c r="E1570" s="3"/>
      <c r="F1570" s="3"/>
      <c r="G1570" s="3"/>
      <c r="H1570" s="3"/>
      <c r="I1570" s="100"/>
      <c r="J1570" s="101"/>
      <c r="K1570" s="101"/>
      <c r="L1570" s="101"/>
      <c r="M1570" s="101"/>
      <c r="N1570" s="101"/>
      <c r="O1570" s="101"/>
      <c r="P1570" s="101"/>
      <c r="Q1570" s="101"/>
      <c r="R1570" s="101"/>
      <c r="S1570" s="101"/>
      <c r="T1570" s="101"/>
      <c r="U1570" s="101"/>
      <c r="V1570" s="101"/>
      <c r="W1570" s="101"/>
      <c r="X1570" s="101"/>
      <c r="Y1570" s="101"/>
      <c r="Z1570" s="101"/>
      <c r="AA1570" s="101"/>
      <c r="AB1570" s="101"/>
      <c r="AC1570" s="119"/>
      <c r="AD1570" s="119"/>
      <c r="AE1570" s="120"/>
      <c r="AF1570" s="119"/>
      <c r="AG1570" s="119"/>
      <c r="AH1570" s="120"/>
      <c r="AI1570" s="121"/>
      <c r="AJ1570" s="121"/>
      <c r="AK1570" s="121"/>
      <c r="AL1570" s="121"/>
      <c r="AM1570" s="122"/>
      <c r="AN1570" s="121"/>
      <c r="AP1570" s="87"/>
    </row>
    <row r="1571" spans="1:42">
      <c r="A1571" s="3"/>
      <c r="B1571" s="3"/>
      <c r="C1571" s="3"/>
      <c r="D1571" s="3"/>
      <c r="E1571" s="3"/>
      <c r="F1571" s="3"/>
      <c r="G1571" s="3"/>
      <c r="H1571" s="3"/>
      <c r="I1571" s="100"/>
      <c r="J1571" s="101"/>
      <c r="K1571" s="101"/>
      <c r="L1571" s="101"/>
      <c r="M1571" s="101"/>
      <c r="N1571" s="101"/>
      <c r="O1571" s="101"/>
      <c r="P1571" s="101"/>
      <c r="Q1571" s="101"/>
      <c r="R1571" s="101"/>
      <c r="S1571" s="101"/>
      <c r="T1571" s="101"/>
      <c r="U1571" s="101"/>
      <c r="V1571" s="101"/>
      <c r="W1571" s="101"/>
      <c r="X1571" s="101"/>
      <c r="Y1571" s="101"/>
      <c r="Z1571" s="101"/>
      <c r="AA1571" s="101"/>
      <c r="AB1571" s="101"/>
      <c r="AC1571" s="119"/>
      <c r="AD1571" s="119"/>
      <c r="AE1571" s="120"/>
      <c r="AF1571" s="119"/>
      <c r="AG1571" s="119"/>
      <c r="AH1571" s="120"/>
      <c r="AI1571" s="121"/>
      <c r="AJ1571" s="121"/>
      <c r="AK1571" s="121"/>
      <c r="AL1571" s="121"/>
      <c r="AM1571" s="122"/>
      <c r="AN1571" s="121"/>
      <c r="AP1571" s="87"/>
    </row>
    <row r="1572" spans="1:42">
      <c r="A1572" s="3"/>
      <c r="B1572" s="3"/>
      <c r="C1572" s="3"/>
      <c r="D1572" s="3"/>
      <c r="E1572" s="3"/>
      <c r="F1572" s="3"/>
      <c r="G1572" s="3"/>
      <c r="H1572" s="3"/>
      <c r="I1572" s="100"/>
      <c r="J1572" s="101"/>
      <c r="K1572" s="101"/>
      <c r="L1572" s="101"/>
      <c r="M1572" s="101"/>
      <c r="N1572" s="101"/>
      <c r="O1572" s="101"/>
      <c r="P1572" s="101"/>
      <c r="Q1572" s="101"/>
      <c r="R1572" s="101"/>
      <c r="S1572" s="101"/>
      <c r="T1572" s="101"/>
      <c r="U1572" s="101"/>
      <c r="V1572" s="101"/>
      <c r="W1572" s="101"/>
      <c r="X1572" s="101"/>
      <c r="Y1572" s="101"/>
      <c r="Z1572" s="101"/>
      <c r="AA1572" s="101"/>
      <c r="AB1572" s="101"/>
      <c r="AC1572" s="119"/>
      <c r="AD1572" s="119"/>
      <c r="AE1572" s="120"/>
      <c r="AF1572" s="119"/>
      <c r="AG1572" s="119"/>
      <c r="AH1572" s="120"/>
      <c r="AI1572" s="121"/>
      <c r="AJ1572" s="121"/>
      <c r="AK1572" s="121"/>
      <c r="AL1572" s="121"/>
      <c r="AM1572" s="122"/>
      <c r="AN1572" s="121"/>
      <c r="AP1572" s="87"/>
    </row>
    <row r="1573" spans="1:42">
      <c r="A1573" s="3"/>
      <c r="B1573" s="3"/>
      <c r="C1573" s="3"/>
      <c r="D1573" s="3"/>
      <c r="E1573" s="3"/>
      <c r="F1573" s="3"/>
      <c r="G1573" s="3"/>
      <c r="H1573" s="3"/>
      <c r="I1573" s="100"/>
      <c r="J1573" s="101"/>
      <c r="K1573" s="101"/>
      <c r="L1573" s="101"/>
      <c r="M1573" s="101"/>
      <c r="N1573" s="101"/>
      <c r="O1573" s="101"/>
      <c r="P1573" s="101"/>
      <c r="Q1573" s="101"/>
      <c r="R1573" s="101"/>
      <c r="S1573" s="101"/>
      <c r="T1573" s="101"/>
      <c r="U1573" s="101"/>
      <c r="V1573" s="101"/>
      <c r="W1573" s="101"/>
      <c r="X1573" s="101"/>
      <c r="Y1573" s="101"/>
      <c r="Z1573" s="101"/>
      <c r="AA1573" s="101"/>
      <c r="AB1573" s="101"/>
      <c r="AC1573" s="119"/>
      <c r="AD1573" s="119"/>
      <c r="AE1573" s="120"/>
      <c r="AF1573" s="119"/>
      <c r="AG1573" s="119"/>
      <c r="AH1573" s="120"/>
      <c r="AI1573" s="121"/>
      <c r="AJ1573" s="121"/>
      <c r="AK1573" s="121"/>
      <c r="AL1573" s="121"/>
      <c r="AM1573" s="122"/>
      <c r="AN1573" s="121"/>
      <c r="AP1573" s="87"/>
    </row>
    <row r="1574" spans="1:42">
      <c r="A1574" s="3"/>
      <c r="B1574" s="3"/>
      <c r="C1574" s="3"/>
      <c r="D1574" s="3"/>
      <c r="E1574" s="3"/>
      <c r="F1574" s="3"/>
      <c r="G1574" s="3"/>
      <c r="H1574" s="3"/>
      <c r="I1574" s="100"/>
      <c r="J1574" s="101"/>
      <c r="K1574" s="101"/>
      <c r="L1574" s="101"/>
      <c r="M1574" s="101"/>
      <c r="N1574" s="101"/>
      <c r="O1574" s="101"/>
      <c r="P1574" s="101"/>
      <c r="Q1574" s="101"/>
      <c r="R1574" s="101"/>
      <c r="S1574" s="101"/>
      <c r="T1574" s="101"/>
      <c r="U1574" s="101"/>
      <c r="V1574" s="101"/>
      <c r="W1574" s="101"/>
      <c r="X1574" s="101"/>
      <c r="Y1574" s="101"/>
      <c r="Z1574" s="101"/>
      <c r="AA1574" s="101"/>
      <c r="AB1574" s="101"/>
      <c r="AC1574" s="119"/>
      <c r="AD1574" s="119"/>
      <c r="AE1574" s="120"/>
      <c r="AF1574" s="119"/>
      <c r="AG1574" s="119"/>
      <c r="AH1574" s="120"/>
      <c r="AI1574" s="121"/>
      <c r="AJ1574" s="121"/>
      <c r="AK1574" s="121"/>
      <c r="AL1574" s="121"/>
      <c r="AM1574" s="122"/>
      <c r="AN1574" s="121"/>
      <c r="AP1574" s="87"/>
    </row>
    <row r="1575" spans="1:42">
      <c r="A1575" s="3"/>
      <c r="B1575" s="3"/>
      <c r="C1575" s="3"/>
      <c r="D1575" s="3"/>
      <c r="E1575" s="3"/>
      <c r="F1575" s="3"/>
      <c r="G1575" s="3"/>
      <c r="H1575" s="3"/>
      <c r="I1575" s="100"/>
      <c r="J1575" s="101"/>
      <c r="K1575" s="101"/>
      <c r="L1575" s="101"/>
      <c r="M1575" s="101"/>
      <c r="N1575" s="101"/>
      <c r="O1575" s="101"/>
      <c r="P1575" s="101"/>
      <c r="Q1575" s="101"/>
      <c r="R1575" s="101"/>
      <c r="S1575" s="101"/>
      <c r="T1575" s="101"/>
      <c r="U1575" s="101"/>
      <c r="V1575" s="101"/>
      <c r="W1575" s="101"/>
      <c r="X1575" s="101"/>
      <c r="Y1575" s="101"/>
      <c r="Z1575" s="101"/>
      <c r="AA1575" s="101"/>
      <c r="AB1575" s="101"/>
      <c r="AC1575" s="119"/>
      <c r="AD1575" s="119"/>
      <c r="AE1575" s="120"/>
      <c r="AF1575" s="119"/>
      <c r="AG1575" s="119"/>
      <c r="AH1575" s="120"/>
      <c r="AI1575" s="121"/>
      <c r="AJ1575" s="121"/>
      <c r="AK1575" s="121"/>
      <c r="AL1575" s="121"/>
      <c r="AM1575" s="122"/>
      <c r="AN1575" s="121"/>
      <c r="AP1575" s="87"/>
    </row>
    <row r="1576" spans="1:42">
      <c r="A1576" s="3"/>
      <c r="B1576" s="3"/>
      <c r="C1576" s="3"/>
      <c r="D1576" s="3"/>
      <c r="E1576" s="3"/>
      <c r="F1576" s="3"/>
      <c r="G1576" s="3"/>
      <c r="H1576" s="3"/>
      <c r="I1576" s="100"/>
      <c r="J1576" s="101"/>
      <c r="K1576" s="101"/>
      <c r="L1576" s="101"/>
      <c r="M1576" s="101"/>
      <c r="N1576" s="101"/>
      <c r="O1576" s="101"/>
      <c r="P1576" s="101"/>
      <c r="Q1576" s="101"/>
      <c r="R1576" s="101"/>
      <c r="S1576" s="101"/>
      <c r="T1576" s="101"/>
      <c r="U1576" s="101"/>
      <c r="V1576" s="101"/>
      <c r="W1576" s="101"/>
      <c r="X1576" s="101"/>
      <c r="Y1576" s="101"/>
      <c r="Z1576" s="101"/>
      <c r="AA1576" s="101"/>
      <c r="AB1576" s="101"/>
      <c r="AC1576" s="119"/>
      <c r="AD1576" s="119"/>
      <c r="AE1576" s="120"/>
      <c r="AF1576" s="119"/>
      <c r="AG1576" s="119"/>
      <c r="AH1576" s="120"/>
      <c r="AI1576" s="121"/>
      <c r="AJ1576" s="121"/>
      <c r="AK1576" s="121"/>
      <c r="AL1576" s="121"/>
      <c r="AM1576" s="122"/>
      <c r="AN1576" s="121"/>
      <c r="AP1576" s="87"/>
    </row>
    <row r="1577" spans="1:42">
      <c r="A1577" s="3"/>
      <c r="B1577" s="3"/>
      <c r="C1577" s="3"/>
      <c r="D1577" s="3"/>
      <c r="E1577" s="3"/>
      <c r="F1577" s="3"/>
      <c r="G1577" s="3"/>
      <c r="H1577" s="3"/>
      <c r="I1577" s="100"/>
      <c r="J1577" s="101"/>
      <c r="K1577" s="101"/>
      <c r="L1577" s="101"/>
      <c r="M1577" s="101"/>
      <c r="N1577" s="101"/>
      <c r="O1577" s="101"/>
      <c r="P1577" s="101"/>
      <c r="Q1577" s="101"/>
      <c r="R1577" s="101"/>
      <c r="S1577" s="101"/>
      <c r="T1577" s="101"/>
      <c r="U1577" s="101"/>
      <c r="V1577" s="101"/>
      <c r="W1577" s="101"/>
      <c r="X1577" s="101"/>
      <c r="Y1577" s="101"/>
      <c r="Z1577" s="101"/>
      <c r="AA1577" s="101"/>
      <c r="AB1577" s="101"/>
      <c r="AC1577" s="119"/>
      <c r="AD1577" s="119"/>
      <c r="AE1577" s="120"/>
      <c r="AF1577" s="119"/>
      <c r="AG1577" s="119"/>
      <c r="AH1577" s="120"/>
      <c r="AI1577" s="121"/>
      <c r="AJ1577" s="121"/>
      <c r="AK1577" s="121"/>
      <c r="AL1577" s="121"/>
      <c r="AM1577" s="122"/>
      <c r="AN1577" s="121"/>
      <c r="AP1577" s="87"/>
    </row>
    <row r="1578" spans="1:42">
      <c r="A1578" s="3"/>
      <c r="B1578" s="3"/>
      <c r="C1578" s="3"/>
      <c r="D1578" s="3"/>
      <c r="E1578" s="3"/>
      <c r="F1578" s="3"/>
      <c r="G1578" s="3"/>
      <c r="H1578" s="3"/>
      <c r="I1578" s="100"/>
      <c r="J1578" s="101"/>
      <c r="K1578" s="101"/>
      <c r="L1578" s="101"/>
      <c r="M1578" s="101"/>
      <c r="N1578" s="101"/>
      <c r="O1578" s="101"/>
      <c r="P1578" s="101"/>
      <c r="Q1578" s="101"/>
      <c r="R1578" s="101"/>
      <c r="S1578" s="101"/>
      <c r="T1578" s="101"/>
      <c r="U1578" s="101"/>
      <c r="V1578" s="101"/>
      <c r="W1578" s="101"/>
      <c r="X1578" s="101"/>
      <c r="Y1578" s="101"/>
      <c r="Z1578" s="101"/>
      <c r="AA1578" s="101"/>
      <c r="AB1578" s="101"/>
      <c r="AC1578" s="119"/>
      <c r="AD1578" s="119"/>
      <c r="AE1578" s="120"/>
      <c r="AF1578" s="119"/>
      <c r="AG1578" s="119"/>
      <c r="AH1578" s="120"/>
      <c r="AI1578" s="121"/>
      <c r="AJ1578" s="121"/>
      <c r="AK1578" s="121"/>
      <c r="AL1578" s="121"/>
      <c r="AM1578" s="122"/>
      <c r="AN1578" s="121"/>
      <c r="AP1578" s="87"/>
    </row>
    <row r="1579" spans="1:42">
      <c r="A1579" s="3"/>
      <c r="B1579" s="3"/>
      <c r="C1579" s="3"/>
      <c r="D1579" s="3"/>
      <c r="E1579" s="3"/>
      <c r="F1579" s="3"/>
      <c r="G1579" s="3"/>
      <c r="H1579" s="3"/>
      <c r="I1579" s="100"/>
      <c r="J1579" s="101"/>
      <c r="K1579" s="101"/>
      <c r="L1579" s="101"/>
      <c r="M1579" s="101"/>
      <c r="N1579" s="101"/>
      <c r="O1579" s="101"/>
      <c r="P1579" s="101"/>
      <c r="Q1579" s="101"/>
      <c r="R1579" s="101"/>
      <c r="S1579" s="101"/>
      <c r="T1579" s="101"/>
      <c r="U1579" s="101"/>
      <c r="V1579" s="101"/>
      <c r="W1579" s="101"/>
      <c r="X1579" s="101"/>
      <c r="Y1579" s="101"/>
      <c r="Z1579" s="101"/>
      <c r="AA1579" s="101"/>
      <c r="AB1579" s="101"/>
      <c r="AC1579" s="119"/>
      <c r="AD1579" s="119"/>
      <c r="AE1579" s="120"/>
      <c r="AF1579" s="119"/>
      <c r="AG1579" s="119"/>
      <c r="AH1579" s="120"/>
      <c r="AI1579" s="121"/>
      <c r="AJ1579" s="121"/>
      <c r="AK1579" s="121"/>
      <c r="AL1579" s="121"/>
      <c r="AM1579" s="122"/>
      <c r="AN1579" s="121"/>
      <c r="AP1579" s="87"/>
    </row>
    <row r="1580" spans="1:42">
      <c r="A1580" s="3"/>
      <c r="B1580" s="3"/>
      <c r="C1580" s="3"/>
      <c r="D1580" s="3"/>
      <c r="E1580" s="3"/>
      <c r="F1580" s="3"/>
      <c r="G1580" s="3"/>
      <c r="H1580" s="3"/>
      <c r="I1580" s="100"/>
      <c r="J1580" s="101"/>
      <c r="K1580" s="101"/>
      <c r="L1580" s="101"/>
      <c r="M1580" s="101"/>
      <c r="N1580" s="101"/>
      <c r="O1580" s="101"/>
      <c r="P1580" s="101"/>
      <c r="Q1580" s="101"/>
      <c r="R1580" s="101"/>
      <c r="S1580" s="101"/>
      <c r="T1580" s="101"/>
      <c r="U1580" s="101"/>
      <c r="V1580" s="101"/>
      <c r="W1580" s="101"/>
      <c r="X1580" s="101"/>
      <c r="Y1580" s="101"/>
      <c r="Z1580" s="101"/>
      <c r="AA1580" s="101"/>
      <c r="AB1580" s="101"/>
      <c r="AC1580" s="119"/>
      <c r="AD1580" s="119"/>
      <c r="AE1580" s="120"/>
      <c r="AF1580" s="119"/>
      <c r="AG1580" s="119"/>
      <c r="AH1580" s="120"/>
      <c r="AI1580" s="121"/>
      <c r="AJ1580" s="121"/>
      <c r="AK1580" s="121"/>
      <c r="AL1580" s="121"/>
      <c r="AM1580" s="122"/>
      <c r="AN1580" s="121"/>
      <c r="AP1580" s="87"/>
    </row>
    <row r="1581" spans="1:42">
      <c r="A1581" s="3"/>
      <c r="B1581" s="3"/>
      <c r="C1581" s="3"/>
      <c r="D1581" s="3"/>
      <c r="E1581" s="3"/>
      <c r="F1581" s="3"/>
      <c r="G1581" s="3"/>
      <c r="H1581" s="3"/>
      <c r="I1581" s="100"/>
      <c r="J1581" s="101"/>
      <c r="K1581" s="101"/>
      <c r="L1581" s="101"/>
      <c r="M1581" s="101"/>
      <c r="N1581" s="101"/>
      <c r="O1581" s="101"/>
      <c r="P1581" s="101"/>
      <c r="Q1581" s="101"/>
      <c r="R1581" s="101"/>
      <c r="S1581" s="101"/>
      <c r="T1581" s="101"/>
      <c r="U1581" s="101"/>
      <c r="V1581" s="101"/>
      <c r="W1581" s="101"/>
      <c r="X1581" s="101"/>
      <c r="Y1581" s="101"/>
      <c r="Z1581" s="101"/>
      <c r="AA1581" s="101"/>
      <c r="AB1581" s="101"/>
      <c r="AC1581" s="119"/>
      <c r="AD1581" s="119"/>
      <c r="AE1581" s="120"/>
      <c r="AF1581" s="119"/>
      <c r="AG1581" s="119"/>
      <c r="AH1581" s="120"/>
      <c r="AI1581" s="121"/>
      <c r="AJ1581" s="121"/>
      <c r="AK1581" s="121"/>
      <c r="AL1581" s="121"/>
      <c r="AM1581" s="122"/>
      <c r="AN1581" s="121"/>
      <c r="AP1581" s="87"/>
    </row>
    <row r="1582" spans="1:42">
      <c r="A1582" s="3"/>
      <c r="B1582" s="3"/>
      <c r="C1582" s="3"/>
      <c r="D1582" s="3"/>
      <c r="E1582" s="3"/>
      <c r="F1582" s="3"/>
      <c r="G1582" s="3"/>
      <c r="H1582" s="3"/>
      <c r="I1582" s="100"/>
      <c r="J1582" s="101"/>
      <c r="K1582" s="101"/>
      <c r="L1582" s="101"/>
      <c r="M1582" s="101"/>
      <c r="N1582" s="101"/>
      <c r="O1582" s="101"/>
      <c r="P1582" s="101"/>
      <c r="Q1582" s="101"/>
      <c r="R1582" s="101"/>
      <c r="S1582" s="101"/>
      <c r="T1582" s="101"/>
      <c r="U1582" s="101"/>
      <c r="V1582" s="101"/>
      <c r="W1582" s="101"/>
      <c r="X1582" s="101"/>
      <c r="Y1582" s="101"/>
      <c r="Z1582" s="101"/>
      <c r="AA1582" s="101"/>
      <c r="AB1582" s="101"/>
      <c r="AC1582" s="119"/>
      <c r="AD1582" s="119"/>
      <c r="AE1582" s="120"/>
      <c r="AF1582" s="119"/>
      <c r="AG1582" s="119"/>
      <c r="AH1582" s="120"/>
      <c r="AI1582" s="121"/>
      <c r="AJ1582" s="121"/>
      <c r="AK1582" s="121"/>
      <c r="AL1582" s="121"/>
      <c r="AM1582" s="122"/>
      <c r="AN1582" s="121"/>
      <c r="AP1582" s="87"/>
    </row>
    <row r="1583" spans="1:42">
      <c r="A1583" s="3"/>
      <c r="B1583" s="3"/>
      <c r="C1583" s="3"/>
      <c r="D1583" s="3"/>
      <c r="E1583" s="3"/>
      <c r="F1583" s="3"/>
      <c r="G1583" s="3"/>
      <c r="H1583" s="3"/>
      <c r="I1583" s="100"/>
      <c r="J1583" s="101"/>
      <c r="K1583" s="101"/>
      <c r="L1583" s="101"/>
      <c r="M1583" s="101"/>
      <c r="N1583" s="101"/>
      <c r="O1583" s="101"/>
      <c r="P1583" s="101"/>
      <c r="Q1583" s="101"/>
      <c r="R1583" s="101"/>
      <c r="S1583" s="101"/>
      <c r="T1583" s="101"/>
      <c r="U1583" s="101"/>
      <c r="V1583" s="101"/>
      <c r="W1583" s="101"/>
      <c r="X1583" s="101"/>
      <c r="Y1583" s="101"/>
      <c r="Z1583" s="101"/>
      <c r="AA1583" s="101"/>
      <c r="AB1583" s="101"/>
      <c r="AC1583" s="119"/>
      <c r="AD1583" s="119"/>
      <c r="AE1583" s="120"/>
      <c r="AF1583" s="119"/>
      <c r="AG1583" s="119"/>
      <c r="AH1583" s="120"/>
      <c r="AI1583" s="121"/>
      <c r="AJ1583" s="121"/>
      <c r="AK1583" s="121"/>
      <c r="AL1583" s="121"/>
      <c r="AM1583" s="122"/>
      <c r="AN1583" s="121"/>
      <c r="AP1583" s="87"/>
    </row>
    <row r="1584" spans="1:42">
      <c r="A1584" s="3"/>
      <c r="B1584" s="3"/>
      <c r="C1584" s="3"/>
      <c r="D1584" s="3"/>
      <c r="E1584" s="3"/>
      <c r="F1584" s="3"/>
      <c r="G1584" s="3"/>
      <c r="H1584" s="3"/>
      <c r="I1584" s="100"/>
      <c r="J1584" s="101"/>
      <c r="K1584" s="101"/>
      <c r="L1584" s="101"/>
      <c r="M1584" s="101"/>
      <c r="N1584" s="101"/>
      <c r="O1584" s="101"/>
      <c r="P1584" s="101"/>
      <c r="Q1584" s="101"/>
      <c r="R1584" s="101"/>
      <c r="S1584" s="101"/>
      <c r="T1584" s="101"/>
      <c r="U1584" s="101"/>
      <c r="V1584" s="101"/>
      <c r="W1584" s="101"/>
      <c r="X1584" s="101"/>
      <c r="Y1584" s="101"/>
      <c r="Z1584" s="101"/>
      <c r="AA1584" s="101"/>
      <c r="AB1584" s="101"/>
      <c r="AC1584" s="119"/>
      <c r="AD1584" s="119"/>
      <c r="AE1584" s="120"/>
      <c r="AF1584" s="119"/>
      <c r="AG1584" s="119"/>
      <c r="AH1584" s="120"/>
      <c r="AI1584" s="121"/>
      <c r="AJ1584" s="121"/>
      <c r="AK1584" s="121"/>
      <c r="AL1584" s="121"/>
      <c r="AM1584" s="122"/>
      <c r="AN1584" s="121"/>
      <c r="AP1584" s="87"/>
    </row>
    <row r="1585" spans="1:42">
      <c r="A1585" s="3"/>
      <c r="B1585" s="3"/>
      <c r="C1585" s="3"/>
      <c r="D1585" s="3"/>
      <c r="E1585" s="3"/>
      <c r="F1585" s="3"/>
      <c r="G1585" s="3"/>
      <c r="H1585" s="3"/>
      <c r="I1585" s="100"/>
      <c r="J1585" s="101"/>
      <c r="K1585" s="101"/>
      <c r="L1585" s="101"/>
      <c r="M1585" s="101"/>
      <c r="N1585" s="101"/>
      <c r="O1585" s="101"/>
      <c r="P1585" s="101"/>
      <c r="Q1585" s="101"/>
      <c r="R1585" s="101"/>
      <c r="S1585" s="101"/>
      <c r="T1585" s="101"/>
      <c r="U1585" s="101"/>
      <c r="V1585" s="101"/>
      <c r="W1585" s="101"/>
      <c r="X1585" s="101"/>
      <c r="Y1585" s="101"/>
      <c r="Z1585" s="101"/>
      <c r="AA1585" s="101"/>
      <c r="AB1585" s="101"/>
      <c r="AC1585" s="119"/>
      <c r="AD1585" s="119"/>
      <c r="AE1585" s="120"/>
      <c r="AF1585" s="119"/>
      <c r="AG1585" s="119"/>
      <c r="AH1585" s="120"/>
      <c r="AI1585" s="121"/>
      <c r="AJ1585" s="121"/>
      <c r="AK1585" s="121"/>
      <c r="AL1585" s="121"/>
      <c r="AM1585" s="122"/>
      <c r="AN1585" s="121"/>
      <c r="AP1585" s="87"/>
    </row>
    <row r="1586" spans="1:42">
      <c r="A1586" s="3"/>
      <c r="B1586" s="3"/>
      <c r="C1586" s="3"/>
      <c r="D1586" s="3"/>
      <c r="E1586" s="3"/>
      <c r="F1586" s="3"/>
      <c r="G1586" s="3"/>
      <c r="H1586" s="3"/>
      <c r="I1586" s="100"/>
      <c r="J1586" s="101"/>
      <c r="K1586" s="101"/>
      <c r="L1586" s="101"/>
      <c r="M1586" s="101"/>
      <c r="N1586" s="101"/>
      <c r="O1586" s="101"/>
      <c r="P1586" s="101"/>
      <c r="Q1586" s="101"/>
      <c r="R1586" s="101"/>
      <c r="S1586" s="101"/>
      <c r="T1586" s="101"/>
      <c r="U1586" s="101"/>
      <c r="V1586" s="101"/>
      <c r="W1586" s="101"/>
      <c r="X1586" s="101"/>
      <c r="Y1586" s="101"/>
      <c r="Z1586" s="101"/>
      <c r="AA1586" s="101"/>
      <c r="AB1586" s="101"/>
      <c r="AC1586" s="119"/>
      <c r="AD1586" s="119"/>
      <c r="AE1586" s="120"/>
      <c r="AF1586" s="119"/>
      <c r="AG1586" s="119"/>
      <c r="AH1586" s="120"/>
      <c r="AI1586" s="121"/>
      <c r="AJ1586" s="121"/>
      <c r="AK1586" s="121"/>
      <c r="AL1586" s="121"/>
      <c r="AM1586" s="122"/>
      <c r="AN1586" s="121"/>
      <c r="AP1586" s="87"/>
    </row>
    <row r="1587" spans="1:42">
      <c r="A1587" s="3"/>
      <c r="B1587" s="3"/>
      <c r="C1587" s="3"/>
      <c r="D1587" s="3"/>
      <c r="E1587" s="3"/>
      <c r="F1587" s="3"/>
      <c r="G1587" s="3"/>
      <c r="H1587" s="3"/>
      <c r="I1587" s="100"/>
      <c r="J1587" s="101"/>
      <c r="K1587" s="101"/>
      <c r="L1587" s="101"/>
      <c r="M1587" s="101"/>
      <c r="N1587" s="101"/>
      <c r="O1587" s="101"/>
      <c r="P1587" s="101"/>
      <c r="Q1587" s="101"/>
      <c r="R1587" s="101"/>
      <c r="S1587" s="101"/>
      <c r="T1587" s="101"/>
      <c r="U1587" s="101"/>
      <c r="V1587" s="101"/>
      <c r="W1587" s="101"/>
      <c r="X1587" s="101"/>
      <c r="Y1587" s="101"/>
      <c r="Z1587" s="101"/>
      <c r="AA1587" s="101"/>
      <c r="AB1587" s="101"/>
      <c r="AC1587" s="119"/>
      <c r="AD1587" s="119"/>
      <c r="AE1587" s="120"/>
      <c r="AF1587" s="119"/>
      <c r="AG1587" s="119"/>
      <c r="AH1587" s="120"/>
      <c r="AI1587" s="121"/>
      <c r="AJ1587" s="121"/>
      <c r="AK1587" s="121"/>
      <c r="AL1587" s="121"/>
      <c r="AM1587" s="122"/>
      <c r="AN1587" s="121"/>
      <c r="AP1587" s="87"/>
    </row>
    <row r="1588" spans="1:42">
      <c r="A1588" s="3"/>
      <c r="B1588" s="3"/>
      <c r="C1588" s="3"/>
      <c r="D1588" s="3"/>
      <c r="E1588" s="3"/>
      <c r="F1588" s="3"/>
      <c r="G1588" s="3"/>
      <c r="H1588" s="3"/>
      <c r="I1588" s="100"/>
      <c r="J1588" s="101"/>
      <c r="K1588" s="101"/>
      <c r="L1588" s="101"/>
      <c r="M1588" s="101"/>
      <c r="N1588" s="101"/>
      <c r="O1588" s="101"/>
      <c r="P1588" s="101"/>
      <c r="Q1588" s="101"/>
      <c r="R1588" s="101"/>
      <c r="S1588" s="101"/>
      <c r="T1588" s="101"/>
      <c r="U1588" s="101"/>
      <c r="V1588" s="101"/>
      <c r="W1588" s="101"/>
      <c r="X1588" s="101"/>
      <c r="Y1588" s="101"/>
      <c r="Z1588" s="101"/>
      <c r="AA1588" s="101"/>
      <c r="AB1588" s="101"/>
      <c r="AC1588" s="119"/>
      <c r="AD1588" s="119"/>
      <c r="AE1588" s="120"/>
      <c r="AF1588" s="119"/>
      <c r="AG1588" s="119"/>
      <c r="AH1588" s="120"/>
      <c r="AI1588" s="121"/>
      <c r="AJ1588" s="121"/>
      <c r="AK1588" s="121"/>
      <c r="AL1588" s="121"/>
      <c r="AM1588" s="122"/>
      <c r="AN1588" s="121"/>
      <c r="AP1588" s="87"/>
    </row>
    <row r="1589" spans="1:42">
      <c r="A1589" s="3"/>
      <c r="B1589" s="3"/>
      <c r="C1589" s="3"/>
      <c r="D1589" s="3"/>
      <c r="E1589" s="3"/>
      <c r="F1589" s="3"/>
      <c r="G1589" s="3"/>
      <c r="H1589" s="3"/>
      <c r="I1589" s="100"/>
      <c r="J1589" s="101"/>
      <c r="K1589" s="101"/>
      <c r="L1589" s="101"/>
      <c r="M1589" s="101"/>
      <c r="N1589" s="101"/>
      <c r="O1589" s="101"/>
      <c r="P1589" s="101"/>
      <c r="Q1589" s="101"/>
      <c r="R1589" s="101"/>
      <c r="S1589" s="101"/>
      <c r="T1589" s="101"/>
      <c r="U1589" s="101"/>
      <c r="V1589" s="101"/>
      <c r="W1589" s="101"/>
      <c r="X1589" s="101"/>
      <c r="Y1589" s="101"/>
      <c r="Z1589" s="101"/>
      <c r="AA1589" s="101"/>
      <c r="AB1589" s="101"/>
      <c r="AC1589" s="119"/>
      <c r="AD1589" s="119"/>
      <c r="AE1589" s="120"/>
      <c r="AF1589" s="119"/>
      <c r="AG1589" s="119"/>
      <c r="AH1589" s="120"/>
      <c r="AI1589" s="121"/>
      <c r="AJ1589" s="121"/>
      <c r="AK1589" s="121"/>
      <c r="AL1589" s="121"/>
      <c r="AM1589" s="122"/>
      <c r="AN1589" s="121"/>
      <c r="AP1589" s="87"/>
    </row>
    <row r="1590" spans="1:42">
      <c r="A1590" s="3"/>
      <c r="B1590" s="3"/>
      <c r="C1590" s="3"/>
      <c r="D1590" s="3"/>
      <c r="E1590" s="3"/>
      <c r="F1590" s="3"/>
      <c r="G1590" s="3"/>
      <c r="H1590" s="3"/>
      <c r="I1590" s="100"/>
      <c r="J1590" s="101"/>
      <c r="K1590" s="101"/>
      <c r="L1590" s="101"/>
      <c r="M1590" s="101"/>
      <c r="N1590" s="101"/>
      <c r="O1590" s="101"/>
      <c r="P1590" s="101"/>
      <c r="Q1590" s="101"/>
      <c r="R1590" s="101"/>
      <c r="S1590" s="101"/>
      <c r="T1590" s="101"/>
      <c r="U1590" s="101"/>
      <c r="V1590" s="101"/>
      <c r="W1590" s="101"/>
      <c r="X1590" s="101"/>
      <c r="Y1590" s="101"/>
      <c r="Z1590" s="101"/>
      <c r="AA1590" s="101"/>
      <c r="AB1590" s="101"/>
      <c r="AC1590" s="119"/>
      <c r="AD1590" s="119"/>
      <c r="AE1590" s="120"/>
      <c r="AF1590" s="119"/>
      <c r="AG1590" s="119"/>
      <c r="AH1590" s="120"/>
      <c r="AI1590" s="121"/>
      <c r="AJ1590" s="121"/>
      <c r="AK1590" s="121"/>
      <c r="AL1590" s="121"/>
      <c r="AM1590" s="122"/>
      <c r="AN1590" s="121"/>
      <c r="AP1590" s="87"/>
    </row>
    <row r="1591" spans="1:42">
      <c r="A1591" s="3"/>
      <c r="B1591" s="3"/>
      <c r="C1591" s="3"/>
      <c r="D1591" s="3"/>
      <c r="E1591" s="3"/>
      <c r="F1591" s="3"/>
      <c r="G1591" s="3"/>
      <c r="H1591" s="3"/>
      <c r="I1591" s="100"/>
      <c r="J1591" s="101"/>
      <c r="K1591" s="101"/>
      <c r="L1591" s="101"/>
      <c r="M1591" s="101"/>
      <c r="N1591" s="101"/>
      <c r="O1591" s="101"/>
      <c r="P1591" s="101"/>
      <c r="Q1591" s="101"/>
      <c r="R1591" s="101"/>
      <c r="S1591" s="101"/>
      <c r="T1591" s="101"/>
      <c r="U1591" s="101"/>
      <c r="V1591" s="101"/>
      <c r="W1591" s="101"/>
      <c r="X1591" s="101"/>
      <c r="Y1591" s="101"/>
      <c r="Z1591" s="101"/>
      <c r="AA1591" s="101"/>
      <c r="AB1591" s="101"/>
      <c r="AC1591" s="119"/>
      <c r="AD1591" s="119"/>
      <c r="AE1591" s="120"/>
      <c r="AF1591" s="119"/>
      <c r="AG1591" s="119"/>
      <c r="AH1591" s="120"/>
      <c r="AI1591" s="121"/>
      <c r="AJ1591" s="121"/>
      <c r="AK1591" s="121"/>
      <c r="AL1591" s="121"/>
      <c r="AM1591" s="122"/>
      <c r="AN1591" s="121"/>
      <c r="AP1591" s="87"/>
    </row>
    <row r="1592" spans="1:42">
      <c r="A1592" s="3"/>
      <c r="B1592" s="3"/>
      <c r="C1592" s="3"/>
      <c r="D1592" s="3"/>
      <c r="E1592" s="3"/>
      <c r="F1592" s="3"/>
      <c r="G1592" s="3"/>
      <c r="H1592" s="3"/>
      <c r="I1592" s="100"/>
      <c r="J1592" s="101"/>
      <c r="K1592" s="101"/>
      <c r="L1592" s="101"/>
      <c r="M1592" s="101"/>
      <c r="N1592" s="101"/>
      <c r="O1592" s="101"/>
      <c r="P1592" s="101"/>
      <c r="Q1592" s="101"/>
      <c r="R1592" s="101"/>
      <c r="S1592" s="101"/>
      <c r="T1592" s="101"/>
      <c r="U1592" s="101"/>
      <c r="V1592" s="101"/>
      <c r="W1592" s="101"/>
      <c r="X1592" s="101"/>
      <c r="Y1592" s="101"/>
      <c r="Z1592" s="101"/>
      <c r="AA1592" s="101"/>
      <c r="AB1592" s="101"/>
      <c r="AC1592" s="119"/>
      <c r="AD1592" s="119"/>
      <c r="AE1592" s="120"/>
      <c r="AF1592" s="119"/>
      <c r="AG1592" s="119"/>
      <c r="AH1592" s="120"/>
      <c r="AI1592" s="121"/>
      <c r="AJ1592" s="121"/>
      <c r="AK1592" s="121"/>
      <c r="AL1592" s="121"/>
      <c r="AM1592" s="122"/>
      <c r="AN1592" s="121"/>
      <c r="AP1592" s="87"/>
    </row>
    <row r="1593" spans="1:42">
      <c r="A1593" s="3"/>
      <c r="B1593" s="3"/>
      <c r="C1593" s="3"/>
      <c r="D1593" s="3"/>
      <c r="E1593" s="3"/>
      <c r="F1593" s="3"/>
      <c r="G1593" s="3"/>
      <c r="H1593" s="3"/>
      <c r="I1593" s="100"/>
      <c r="J1593" s="101"/>
      <c r="K1593" s="101"/>
      <c r="L1593" s="101"/>
      <c r="M1593" s="101"/>
      <c r="N1593" s="101"/>
      <c r="O1593" s="101"/>
      <c r="P1593" s="101"/>
      <c r="Q1593" s="101"/>
      <c r="R1593" s="101"/>
      <c r="S1593" s="101"/>
      <c r="T1593" s="101"/>
      <c r="U1593" s="101"/>
      <c r="V1593" s="101"/>
      <c r="W1593" s="101"/>
      <c r="X1593" s="101"/>
      <c r="Y1593" s="101"/>
      <c r="Z1593" s="101"/>
      <c r="AA1593" s="101"/>
      <c r="AB1593" s="101"/>
      <c r="AC1593" s="119"/>
      <c r="AD1593" s="119"/>
      <c r="AE1593" s="120"/>
      <c r="AF1593" s="119"/>
      <c r="AG1593" s="119"/>
      <c r="AH1593" s="120"/>
      <c r="AI1593" s="121"/>
      <c r="AJ1593" s="121"/>
      <c r="AK1593" s="121"/>
      <c r="AL1593" s="121"/>
      <c r="AM1593" s="122"/>
      <c r="AN1593" s="121"/>
      <c r="AP1593" s="87"/>
    </row>
    <row r="1594" spans="1:42">
      <c r="A1594" s="3"/>
      <c r="B1594" s="3"/>
      <c r="C1594" s="3"/>
      <c r="D1594" s="3"/>
      <c r="E1594" s="3"/>
      <c r="F1594" s="3"/>
      <c r="G1594" s="3"/>
      <c r="H1594" s="3"/>
      <c r="I1594" s="100"/>
      <c r="J1594" s="101"/>
      <c r="K1594" s="101"/>
      <c r="L1594" s="101"/>
      <c r="M1594" s="101"/>
      <c r="N1594" s="101"/>
      <c r="O1594" s="101"/>
      <c r="P1594" s="101"/>
      <c r="Q1594" s="101"/>
      <c r="R1594" s="101"/>
      <c r="S1594" s="101"/>
      <c r="T1594" s="101"/>
      <c r="U1594" s="101"/>
      <c r="V1594" s="101"/>
      <c r="W1594" s="101"/>
      <c r="X1594" s="101"/>
      <c r="Y1594" s="101"/>
      <c r="Z1594" s="101"/>
      <c r="AA1594" s="101"/>
      <c r="AB1594" s="101"/>
      <c r="AC1594" s="119"/>
      <c r="AD1594" s="119"/>
      <c r="AE1594" s="120"/>
      <c r="AF1594" s="119"/>
      <c r="AG1594" s="119"/>
      <c r="AH1594" s="120"/>
      <c r="AI1594" s="121"/>
      <c r="AJ1594" s="121"/>
      <c r="AK1594" s="121"/>
      <c r="AL1594" s="121"/>
      <c r="AM1594" s="122"/>
      <c r="AN1594" s="121"/>
      <c r="AP1594" s="87"/>
    </row>
    <row r="1595" spans="1:42">
      <c r="A1595" s="3"/>
      <c r="B1595" s="3"/>
      <c r="C1595" s="3"/>
      <c r="D1595" s="3"/>
      <c r="E1595" s="3"/>
      <c r="F1595" s="3"/>
      <c r="G1595" s="3"/>
      <c r="H1595" s="3"/>
      <c r="I1595" s="100"/>
      <c r="J1595" s="101"/>
      <c r="K1595" s="101"/>
      <c r="L1595" s="101"/>
      <c r="M1595" s="101"/>
      <c r="N1595" s="101"/>
      <c r="O1595" s="101"/>
      <c r="P1595" s="101"/>
      <c r="Q1595" s="101"/>
      <c r="R1595" s="101"/>
      <c r="S1595" s="101"/>
      <c r="T1595" s="101"/>
      <c r="U1595" s="101"/>
      <c r="V1595" s="101"/>
      <c r="W1595" s="101"/>
      <c r="X1595" s="101"/>
      <c r="Y1595" s="101"/>
      <c r="Z1595" s="101"/>
      <c r="AA1595" s="101"/>
      <c r="AB1595" s="101"/>
      <c r="AC1595" s="119"/>
      <c r="AD1595" s="119"/>
      <c r="AE1595" s="120"/>
      <c r="AF1595" s="119"/>
      <c r="AG1595" s="119"/>
      <c r="AH1595" s="120"/>
      <c r="AI1595" s="121"/>
      <c r="AJ1595" s="121"/>
      <c r="AK1595" s="121"/>
      <c r="AL1595" s="121"/>
      <c r="AM1595" s="122"/>
      <c r="AN1595" s="121"/>
      <c r="AP1595" s="87"/>
    </row>
    <row r="1596" spans="1:42">
      <c r="A1596" s="3"/>
      <c r="B1596" s="3"/>
      <c r="C1596" s="3"/>
      <c r="D1596" s="3"/>
      <c r="E1596" s="3"/>
      <c r="F1596" s="3"/>
      <c r="G1596" s="3"/>
      <c r="H1596" s="3"/>
      <c r="I1596" s="100"/>
      <c r="J1596" s="101"/>
      <c r="K1596" s="101"/>
      <c r="L1596" s="101"/>
      <c r="M1596" s="101"/>
      <c r="N1596" s="101"/>
      <c r="O1596" s="101"/>
      <c r="P1596" s="101"/>
      <c r="Q1596" s="101"/>
      <c r="R1596" s="101"/>
      <c r="S1596" s="101"/>
      <c r="T1596" s="101"/>
      <c r="U1596" s="101"/>
      <c r="V1596" s="101"/>
      <c r="W1596" s="101"/>
      <c r="X1596" s="101"/>
      <c r="Y1596" s="101"/>
      <c r="Z1596" s="101"/>
      <c r="AA1596" s="101"/>
      <c r="AB1596" s="101"/>
      <c r="AC1596" s="119"/>
      <c r="AD1596" s="119"/>
      <c r="AE1596" s="120"/>
      <c r="AF1596" s="119"/>
      <c r="AG1596" s="119"/>
      <c r="AH1596" s="120"/>
      <c r="AI1596" s="121"/>
      <c r="AJ1596" s="121"/>
      <c r="AK1596" s="121"/>
      <c r="AL1596" s="121"/>
      <c r="AM1596" s="122"/>
      <c r="AN1596" s="121"/>
      <c r="AP1596" s="87"/>
    </row>
    <row r="1597" spans="1:42">
      <c r="A1597" s="3"/>
      <c r="B1597" s="3"/>
      <c r="C1597" s="3"/>
      <c r="D1597" s="3"/>
      <c r="E1597" s="3"/>
      <c r="F1597" s="3"/>
      <c r="G1597" s="3"/>
      <c r="H1597" s="3"/>
      <c r="I1597" s="100"/>
      <c r="J1597" s="101"/>
      <c r="K1597" s="101"/>
      <c r="L1597" s="101"/>
      <c r="M1597" s="101"/>
      <c r="N1597" s="101"/>
      <c r="O1597" s="101"/>
      <c r="P1597" s="101"/>
      <c r="Q1597" s="101"/>
      <c r="R1597" s="101"/>
      <c r="S1597" s="101"/>
      <c r="T1597" s="101"/>
      <c r="U1597" s="101"/>
      <c r="V1597" s="101"/>
      <c r="W1597" s="101"/>
      <c r="X1597" s="101"/>
      <c r="Y1597" s="101"/>
      <c r="Z1597" s="101"/>
      <c r="AA1597" s="101"/>
      <c r="AB1597" s="101"/>
      <c r="AC1597" s="119"/>
      <c r="AD1597" s="119"/>
      <c r="AE1597" s="120"/>
      <c r="AF1597" s="119"/>
      <c r="AG1597" s="119"/>
      <c r="AH1597" s="120"/>
      <c r="AI1597" s="121"/>
      <c r="AJ1597" s="121"/>
      <c r="AK1597" s="121"/>
      <c r="AL1597" s="121"/>
      <c r="AM1597" s="122"/>
      <c r="AN1597" s="121"/>
      <c r="AP1597" s="87"/>
    </row>
    <row r="1598" spans="1:42">
      <c r="A1598" s="3"/>
      <c r="B1598" s="3"/>
      <c r="C1598" s="3"/>
      <c r="D1598" s="3"/>
      <c r="E1598" s="3"/>
      <c r="F1598" s="3"/>
      <c r="G1598" s="3"/>
      <c r="H1598" s="3"/>
      <c r="I1598" s="100"/>
      <c r="J1598" s="101"/>
      <c r="K1598" s="101"/>
      <c r="L1598" s="101"/>
      <c r="M1598" s="101"/>
      <c r="N1598" s="101"/>
      <c r="O1598" s="101"/>
      <c r="P1598" s="101"/>
      <c r="Q1598" s="101"/>
      <c r="R1598" s="101"/>
      <c r="S1598" s="101"/>
      <c r="T1598" s="101"/>
      <c r="U1598" s="101"/>
      <c r="V1598" s="101"/>
      <c r="W1598" s="101"/>
      <c r="X1598" s="101"/>
      <c r="Y1598" s="101"/>
      <c r="Z1598" s="101"/>
      <c r="AA1598" s="101"/>
      <c r="AB1598" s="101"/>
      <c r="AC1598" s="119"/>
      <c r="AD1598" s="119"/>
      <c r="AE1598" s="120"/>
      <c r="AF1598" s="119"/>
      <c r="AG1598" s="119"/>
      <c r="AH1598" s="120"/>
      <c r="AI1598" s="121"/>
      <c r="AJ1598" s="121"/>
      <c r="AK1598" s="121"/>
      <c r="AL1598" s="121"/>
      <c r="AM1598" s="122"/>
      <c r="AN1598" s="121"/>
      <c r="AP1598" s="87"/>
    </row>
    <row r="1599" spans="1:42">
      <c r="A1599" s="3"/>
      <c r="B1599" s="3"/>
      <c r="C1599" s="3"/>
      <c r="D1599" s="3"/>
      <c r="E1599" s="3"/>
      <c r="F1599" s="3"/>
      <c r="G1599" s="3"/>
      <c r="H1599" s="3"/>
      <c r="I1599" s="100"/>
      <c r="J1599" s="101"/>
      <c r="K1599" s="101"/>
      <c r="L1599" s="101"/>
      <c r="M1599" s="101"/>
      <c r="N1599" s="101"/>
      <c r="O1599" s="101"/>
      <c r="P1599" s="101"/>
      <c r="Q1599" s="101"/>
      <c r="R1599" s="101"/>
      <c r="S1599" s="101"/>
      <c r="T1599" s="101"/>
      <c r="U1599" s="101"/>
      <c r="V1599" s="101"/>
      <c r="W1599" s="101"/>
      <c r="X1599" s="101"/>
      <c r="Y1599" s="101"/>
      <c r="Z1599" s="101"/>
      <c r="AA1599" s="101"/>
      <c r="AB1599" s="101"/>
      <c r="AC1599" s="119"/>
      <c r="AD1599" s="119"/>
      <c r="AE1599" s="120"/>
      <c r="AF1599" s="119"/>
      <c r="AG1599" s="119"/>
      <c r="AH1599" s="120"/>
      <c r="AI1599" s="121"/>
      <c r="AJ1599" s="121"/>
      <c r="AK1599" s="121"/>
      <c r="AL1599" s="121"/>
      <c r="AM1599" s="122"/>
      <c r="AN1599" s="121"/>
      <c r="AP1599" s="87"/>
    </row>
    <row r="1600" spans="1:42">
      <c r="A1600" s="3"/>
      <c r="B1600" s="3"/>
      <c r="C1600" s="3"/>
      <c r="D1600" s="3"/>
      <c r="E1600" s="3"/>
      <c r="F1600" s="3"/>
      <c r="G1600" s="3"/>
      <c r="H1600" s="3"/>
      <c r="I1600" s="100"/>
      <c r="J1600" s="101"/>
      <c r="K1600" s="101"/>
      <c r="L1600" s="101"/>
      <c r="M1600" s="101"/>
      <c r="N1600" s="101"/>
      <c r="O1600" s="101"/>
      <c r="P1600" s="101"/>
      <c r="Q1600" s="101"/>
      <c r="R1600" s="101"/>
      <c r="S1600" s="101"/>
      <c r="T1600" s="101"/>
      <c r="U1600" s="101"/>
      <c r="V1600" s="101"/>
      <c r="W1600" s="101"/>
      <c r="X1600" s="101"/>
      <c r="Y1600" s="101"/>
      <c r="Z1600" s="101"/>
      <c r="AA1600" s="101"/>
      <c r="AB1600" s="101"/>
      <c r="AC1600" s="119"/>
      <c r="AD1600" s="119"/>
      <c r="AE1600" s="120"/>
      <c r="AF1600" s="119"/>
      <c r="AG1600" s="119"/>
      <c r="AH1600" s="120"/>
      <c r="AI1600" s="121"/>
      <c r="AJ1600" s="121"/>
      <c r="AK1600" s="121"/>
      <c r="AL1600" s="121"/>
      <c r="AM1600" s="122"/>
      <c r="AN1600" s="121"/>
      <c r="AP1600" s="87"/>
    </row>
    <row r="1601" spans="1:42">
      <c r="A1601" s="3"/>
      <c r="B1601" s="3"/>
      <c r="C1601" s="3"/>
      <c r="D1601" s="3"/>
      <c r="E1601" s="3"/>
      <c r="F1601" s="3"/>
      <c r="G1601" s="3"/>
      <c r="H1601" s="3"/>
      <c r="I1601" s="100"/>
      <c r="J1601" s="101"/>
      <c r="K1601" s="101"/>
      <c r="L1601" s="101"/>
      <c r="M1601" s="101"/>
      <c r="N1601" s="101"/>
      <c r="O1601" s="101"/>
      <c r="P1601" s="101"/>
      <c r="Q1601" s="101"/>
      <c r="R1601" s="101"/>
      <c r="S1601" s="101"/>
      <c r="T1601" s="101"/>
      <c r="U1601" s="101"/>
      <c r="V1601" s="101"/>
      <c r="W1601" s="101"/>
      <c r="X1601" s="101"/>
      <c r="Y1601" s="101"/>
      <c r="Z1601" s="101"/>
      <c r="AA1601" s="101"/>
      <c r="AB1601" s="101"/>
      <c r="AC1601" s="119"/>
      <c r="AD1601" s="119"/>
      <c r="AE1601" s="120"/>
      <c r="AF1601" s="119"/>
      <c r="AG1601" s="119"/>
      <c r="AH1601" s="120"/>
      <c r="AI1601" s="121"/>
      <c r="AJ1601" s="121"/>
      <c r="AK1601" s="121"/>
      <c r="AL1601" s="121"/>
      <c r="AM1601" s="122"/>
      <c r="AN1601" s="121"/>
      <c r="AP1601" s="87"/>
    </row>
    <row r="1602" spans="1:42">
      <c r="A1602" s="3"/>
      <c r="B1602" s="3"/>
      <c r="C1602" s="3"/>
      <c r="D1602" s="3"/>
      <c r="E1602" s="3"/>
      <c r="F1602" s="3"/>
      <c r="G1602" s="3"/>
      <c r="H1602" s="3"/>
      <c r="I1602" s="100"/>
      <c r="J1602" s="101"/>
      <c r="K1602" s="101"/>
      <c r="L1602" s="101"/>
      <c r="M1602" s="101"/>
      <c r="N1602" s="101"/>
      <c r="O1602" s="101"/>
      <c r="P1602" s="101"/>
      <c r="Q1602" s="101"/>
      <c r="R1602" s="101"/>
      <c r="S1602" s="101"/>
      <c r="T1602" s="101"/>
      <c r="U1602" s="101"/>
      <c r="V1602" s="101"/>
      <c r="W1602" s="101"/>
      <c r="X1602" s="101"/>
      <c r="Y1602" s="101"/>
      <c r="Z1602" s="101"/>
      <c r="AA1602" s="101"/>
      <c r="AB1602" s="101"/>
      <c r="AC1602" s="119"/>
      <c r="AD1602" s="119"/>
      <c r="AE1602" s="120"/>
      <c r="AF1602" s="119"/>
      <c r="AG1602" s="119"/>
      <c r="AH1602" s="120"/>
      <c r="AI1602" s="121"/>
      <c r="AJ1602" s="121"/>
      <c r="AK1602" s="121"/>
      <c r="AL1602" s="121"/>
      <c r="AM1602" s="122"/>
      <c r="AN1602" s="121"/>
      <c r="AP1602" s="87"/>
    </row>
    <row r="1603" spans="1:42">
      <c r="A1603" s="3"/>
      <c r="B1603" s="3"/>
      <c r="C1603" s="3"/>
      <c r="D1603" s="3"/>
      <c r="E1603" s="3"/>
      <c r="F1603" s="3"/>
      <c r="G1603" s="3"/>
      <c r="H1603" s="3"/>
      <c r="I1603" s="100"/>
      <c r="J1603" s="101"/>
      <c r="K1603" s="101"/>
      <c r="L1603" s="101"/>
      <c r="M1603" s="101"/>
      <c r="N1603" s="101"/>
      <c r="O1603" s="101"/>
      <c r="P1603" s="101"/>
      <c r="Q1603" s="101"/>
      <c r="R1603" s="101"/>
      <c r="S1603" s="101"/>
      <c r="T1603" s="101"/>
      <c r="U1603" s="101"/>
      <c r="V1603" s="101"/>
      <c r="W1603" s="101"/>
      <c r="X1603" s="101"/>
      <c r="Y1603" s="101"/>
      <c r="Z1603" s="101"/>
      <c r="AA1603" s="101"/>
      <c r="AB1603" s="101"/>
      <c r="AC1603" s="119"/>
      <c r="AD1603" s="119"/>
      <c r="AE1603" s="120"/>
      <c r="AF1603" s="119"/>
      <c r="AG1603" s="119"/>
      <c r="AH1603" s="120"/>
      <c r="AI1603" s="121"/>
      <c r="AJ1603" s="121"/>
      <c r="AK1603" s="121"/>
      <c r="AL1603" s="121"/>
      <c r="AM1603" s="122"/>
      <c r="AN1603" s="121"/>
      <c r="AP1603" s="87"/>
    </row>
    <row r="1604" spans="1:42">
      <c r="A1604" s="3"/>
      <c r="B1604" s="3"/>
      <c r="C1604" s="3"/>
      <c r="D1604" s="3"/>
      <c r="E1604" s="3"/>
      <c r="F1604" s="3"/>
      <c r="G1604" s="3"/>
      <c r="H1604" s="3"/>
      <c r="I1604" s="100"/>
      <c r="J1604" s="101"/>
      <c r="K1604" s="101"/>
      <c r="L1604" s="101"/>
      <c r="M1604" s="101"/>
      <c r="N1604" s="101"/>
      <c r="O1604" s="101"/>
      <c r="P1604" s="101"/>
      <c r="Q1604" s="101"/>
      <c r="R1604" s="101"/>
      <c r="S1604" s="101"/>
      <c r="T1604" s="101"/>
      <c r="U1604" s="101"/>
      <c r="V1604" s="101"/>
      <c r="W1604" s="101"/>
      <c r="X1604" s="101"/>
      <c r="Y1604" s="101"/>
      <c r="Z1604" s="101"/>
      <c r="AA1604" s="101"/>
      <c r="AB1604" s="101"/>
      <c r="AC1604" s="119"/>
      <c r="AD1604" s="119"/>
      <c r="AE1604" s="120"/>
      <c r="AF1604" s="119"/>
      <c r="AG1604" s="119"/>
      <c r="AH1604" s="120"/>
      <c r="AI1604" s="121"/>
      <c r="AJ1604" s="121"/>
      <c r="AK1604" s="121"/>
      <c r="AL1604" s="121"/>
      <c r="AM1604" s="122"/>
      <c r="AN1604" s="121"/>
      <c r="AP1604" s="87"/>
    </row>
    <row r="1605" spans="1:42">
      <c r="A1605" s="3"/>
      <c r="B1605" s="3"/>
      <c r="C1605" s="3"/>
      <c r="D1605" s="3"/>
      <c r="E1605" s="3"/>
      <c r="F1605" s="3"/>
      <c r="G1605" s="3"/>
      <c r="H1605" s="3"/>
      <c r="I1605" s="100"/>
      <c r="J1605" s="101"/>
      <c r="K1605" s="101"/>
      <c r="L1605" s="101"/>
      <c r="M1605" s="101"/>
      <c r="N1605" s="101"/>
      <c r="O1605" s="101"/>
      <c r="P1605" s="101"/>
      <c r="Q1605" s="101"/>
      <c r="R1605" s="101"/>
      <c r="S1605" s="101"/>
      <c r="T1605" s="101"/>
      <c r="U1605" s="101"/>
      <c r="V1605" s="101"/>
      <c r="W1605" s="101"/>
      <c r="X1605" s="101"/>
      <c r="Y1605" s="101"/>
      <c r="Z1605" s="101"/>
      <c r="AA1605" s="101"/>
      <c r="AB1605" s="101"/>
      <c r="AC1605" s="119"/>
      <c r="AD1605" s="119"/>
      <c r="AE1605" s="120"/>
      <c r="AF1605" s="119"/>
      <c r="AG1605" s="119"/>
      <c r="AH1605" s="120"/>
      <c r="AI1605" s="121"/>
      <c r="AJ1605" s="121"/>
      <c r="AK1605" s="121"/>
      <c r="AL1605" s="121"/>
      <c r="AM1605" s="122"/>
      <c r="AN1605" s="121"/>
      <c r="AP1605" s="87"/>
    </row>
    <row r="1606" spans="1:42">
      <c r="A1606" s="3"/>
      <c r="B1606" s="3"/>
      <c r="C1606" s="3"/>
      <c r="D1606" s="3"/>
      <c r="E1606" s="3"/>
      <c r="F1606" s="3"/>
      <c r="G1606" s="3"/>
      <c r="H1606" s="3"/>
      <c r="I1606" s="100"/>
      <c r="J1606" s="101"/>
      <c r="K1606" s="101"/>
      <c r="L1606" s="101"/>
      <c r="M1606" s="101"/>
      <c r="N1606" s="101"/>
      <c r="O1606" s="101"/>
      <c r="P1606" s="101"/>
      <c r="Q1606" s="101"/>
      <c r="R1606" s="101"/>
      <c r="S1606" s="101"/>
      <c r="T1606" s="101"/>
      <c r="U1606" s="101"/>
      <c r="V1606" s="101"/>
      <c r="W1606" s="101"/>
      <c r="X1606" s="101"/>
      <c r="Y1606" s="101"/>
      <c r="Z1606" s="101"/>
      <c r="AA1606" s="101"/>
      <c r="AB1606" s="101"/>
      <c r="AC1606" s="119"/>
      <c r="AD1606" s="119"/>
      <c r="AE1606" s="120"/>
      <c r="AF1606" s="119"/>
      <c r="AG1606" s="119"/>
      <c r="AH1606" s="120"/>
      <c r="AI1606" s="121"/>
      <c r="AJ1606" s="121"/>
      <c r="AK1606" s="121"/>
      <c r="AL1606" s="121"/>
      <c r="AM1606" s="122"/>
      <c r="AN1606" s="121"/>
      <c r="AP1606" s="87"/>
    </row>
    <row r="1607" spans="1:42">
      <c r="A1607" s="3"/>
      <c r="B1607" s="3"/>
      <c r="C1607" s="3"/>
      <c r="D1607" s="3"/>
      <c r="E1607" s="3"/>
      <c r="F1607" s="3"/>
      <c r="G1607" s="3"/>
      <c r="H1607" s="3"/>
      <c r="I1607" s="100"/>
      <c r="J1607" s="101"/>
      <c r="K1607" s="101"/>
      <c r="L1607" s="101"/>
      <c r="M1607" s="101"/>
      <c r="N1607" s="101"/>
      <c r="O1607" s="101"/>
      <c r="P1607" s="101"/>
      <c r="Q1607" s="101"/>
      <c r="R1607" s="101"/>
      <c r="S1607" s="101"/>
      <c r="T1607" s="101"/>
      <c r="U1607" s="101"/>
      <c r="V1607" s="101"/>
      <c r="W1607" s="101"/>
      <c r="X1607" s="101"/>
      <c r="Y1607" s="101"/>
      <c r="Z1607" s="101"/>
      <c r="AA1607" s="101"/>
      <c r="AB1607" s="101"/>
      <c r="AC1607" s="119"/>
      <c r="AD1607" s="119"/>
      <c r="AE1607" s="120"/>
      <c r="AF1607" s="119"/>
      <c r="AG1607" s="119"/>
      <c r="AH1607" s="120"/>
      <c r="AI1607" s="121"/>
      <c r="AJ1607" s="121"/>
      <c r="AK1607" s="121"/>
      <c r="AL1607" s="121"/>
      <c r="AM1607" s="122"/>
      <c r="AN1607" s="121"/>
      <c r="AP1607" s="87"/>
    </row>
    <row r="1608" spans="1:42">
      <c r="A1608" s="3"/>
      <c r="B1608" s="3"/>
      <c r="C1608" s="3"/>
      <c r="D1608" s="3"/>
      <c r="E1608" s="3"/>
      <c r="F1608" s="3"/>
      <c r="G1608" s="3"/>
      <c r="H1608" s="3"/>
      <c r="I1608" s="100"/>
      <c r="J1608" s="101"/>
      <c r="K1608" s="101"/>
      <c r="L1608" s="101"/>
      <c r="M1608" s="101"/>
      <c r="N1608" s="101"/>
      <c r="O1608" s="101"/>
      <c r="P1608" s="101"/>
      <c r="Q1608" s="101"/>
      <c r="R1608" s="101"/>
      <c r="S1608" s="101"/>
      <c r="T1608" s="101"/>
      <c r="U1608" s="101"/>
      <c r="V1608" s="101"/>
      <c r="W1608" s="101"/>
      <c r="X1608" s="101"/>
      <c r="Y1608" s="101"/>
      <c r="Z1608" s="101"/>
      <c r="AA1608" s="101"/>
      <c r="AB1608" s="101"/>
      <c r="AC1608" s="119"/>
      <c r="AD1608" s="119"/>
      <c r="AE1608" s="120"/>
      <c r="AF1608" s="119"/>
      <c r="AG1608" s="119"/>
      <c r="AH1608" s="120"/>
      <c r="AI1608" s="121"/>
      <c r="AJ1608" s="121"/>
      <c r="AK1608" s="121"/>
      <c r="AL1608" s="121"/>
      <c r="AM1608" s="122"/>
      <c r="AN1608" s="121"/>
      <c r="AP1608" s="87"/>
    </row>
    <row r="1609" spans="1:42">
      <c r="A1609" s="3"/>
      <c r="B1609" s="3"/>
      <c r="C1609" s="3"/>
      <c r="D1609" s="3"/>
      <c r="E1609" s="3"/>
      <c r="F1609" s="3"/>
      <c r="G1609" s="3"/>
      <c r="H1609" s="3"/>
      <c r="I1609" s="100"/>
      <c r="J1609" s="101"/>
      <c r="K1609" s="101"/>
      <c r="L1609" s="101"/>
      <c r="M1609" s="101"/>
      <c r="N1609" s="101"/>
      <c r="O1609" s="101"/>
      <c r="P1609" s="101"/>
      <c r="Q1609" s="101"/>
      <c r="R1609" s="101"/>
      <c r="S1609" s="101"/>
      <c r="T1609" s="101"/>
      <c r="U1609" s="101"/>
      <c r="V1609" s="101"/>
      <c r="W1609" s="101"/>
      <c r="X1609" s="101"/>
      <c r="Y1609" s="101"/>
      <c r="Z1609" s="101"/>
      <c r="AA1609" s="101"/>
      <c r="AB1609" s="101"/>
      <c r="AC1609" s="119"/>
      <c r="AD1609" s="119"/>
      <c r="AE1609" s="120"/>
      <c r="AF1609" s="119"/>
      <c r="AG1609" s="119"/>
      <c r="AH1609" s="120"/>
      <c r="AI1609" s="121"/>
      <c r="AJ1609" s="121"/>
      <c r="AK1609" s="121"/>
      <c r="AL1609" s="121"/>
      <c r="AM1609" s="122"/>
      <c r="AN1609" s="121"/>
      <c r="AP1609" s="87"/>
    </row>
    <row r="1610" spans="1:42">
      <c r="A1610" s="3"/>
      <c r="B1610" s="3"/>
      <c r="C1610" s="3"/>
      <c r="D1610" s="3"/>
      <c r="E1610" s="3"/>
      <c r="F1610" s="3"/>
      <c r="G1610" s="3"/>
      <c r="H1610" s="3"/>
      <c r="I1610" s="100"/>
      <c r="J1610" s="101"/>
      <c r="K1610" s="101"/>
      <c r="L1610" s="101"/>
      <c r="M1610" s="101"/>
      <c r="N1610" s="101"/>
      <c r="O1610" s="101"/>
      <c r="P1610" s="101"/>
      <c r="Q1610" s="101"/>
      <c r="R1610" s="101"/>
      <c r="S1610" s="101"/>
      <c r="T1610" s="101"/>
      <c r="U1610" s="101"/>
      <c r="V1610" s="101"/>
      <c r="W1610" s="101"/>
      <c r="X1610" s="101"/>
      <c r="Y1610" s="101"/>
      <c r="Z1610" s="101"/>
      <c r="AA1610" s="101"/>
      <c r="AB1610" s="101"/>
      <c r="AC1610" s="119"/>
      <c r="AD1610" s="119"/>
      <c r="AE1610" s="120"/>
      <c r="AF1610" s="119"/>
      <c r="AG1610" s="119"/>
      <c r="AH1610" s="120"/>
      <c r="AI1610" s="121"/>
      <c r="AJ1610" s="121"/>
      <c r="AK1610" s="121"/>
      <c r="AL1610" s="121"/>
      <c r="AM1610" s="122"/>
      <c r="AN1610" s="121"/>
      <c r="AP1610" s="87"/>
    </row>
    <row r="1611" spans="1:42">
      <c r="A1611" s="3"/>
      <c r="B1611" s="3"/>
      <c r="C1611" s="3"/>
      <c r="D1611" s="3"/>
      <c r="E1611" s="3"/>
      <c r="F1611" s="3"/>
      <c r="G1611" s="3"/>
      <c r="H1611" s="3"/>
      <c r="I1611" s="100"/>
      <c r="J1611" s="101"/>
      <c r="K1611" s="101"/>
      <c r="L1611" s="101"/>
      <c r="M1611" s="101"/>
      <c r="N1611" s="101"/>
      <c r="O1611" s="101"/>
      <c r="P1611" s="101"/>
      <c r="Q1611" s="101"/>
      <c r="R1611" s="101"/>
      <c r="S1611" s="101"/>
      <c r="T1611" s="101"/>
      <c r="U1611" s="101"/>
      <c r="V1611" s="101"/>
      <c r="W1611" s="101"/>
      <c r="X1611" s="101"/>
      <c r="Y1611" s="101"/>
      <c r="Z1611" s="101"/>
      <c r="AA1611" s="101"/>
      <c r="AB1611" s="101"/>
      <c r="AC1611" s="119"/>
      <c r="AD1611" s="119"/>
      <c r="AE1611" s="120"/>
      <c r="AF1611" s="119"/>
      <c r="AG1611" s="119"/>
      <c r="AH1611" s="120"/>
      <c r="AI1611" s="121"/>
      <c r="AJ1611" s="121"/>
      <c r="AK1611" s="121"/>
      <c r="AL1611" s="121"/>
      <c r="AM1611" s="122"/>
      <c r="AN1611" s="121"/>
      <c r="AP1611" s="87"/>
    </row>
    <row r="1612" spans="1:42">
      <c r="A1612" s="3"/>
      <c r="B1612" s="3"/>
      <c r="C1612" s="3"/>
      <c r="D1612" s="3"/>
      <c r="E1612" s="3"/>
      <c r="F1612" s="3"/>
      <c r="G1612" s="3"/>
      <c r="H1612" s="3"/>
      <c r="I1612" s="100"/>
      <c r="J1612" s="101"/>
      <c r="K1612" s="101"/>
      <c r="L1612" s="101"/>
      <c r="M1612" s="101"/>
      <c r="N1612" s="101"/>
      <c r="O1612" s="101"/>
      <c r="P1612" s="101"/>
      <c r="Q1612" s="101"/>
      <c r="R1612" s="101"/>
      <c r="S1612" s="101"/>
      <c r="T1612" s="101"/>
      <c r="U1612" s="101"/>
      <c r="V1612" s="101"/>
      <c r="W1612" s="101"/>
      <c r="X1612" s="101"/>
      <c r="Y1612" s="101"/>
      <c r="Z1612" s="101"/>
      <c r="AA1612" s="101"/>
      <c r="AB1612" s="101"/>
      <c r="AC1612" s="119"/>
      <c r="AD1612" s="119"/>
      <c r="AE1612" s="120"/>
      <c r="AF1612" s="119"/>
      <c r="AG1612" s="119"/>
      <c r="AH1612" s="120"/>
      <c r="AI1612" s="121"/>
      <c r="AJ1612" s="121"/>
      <c r="AK1612" s="121"/>
      <c r="AL1612" s="121"/>
      <c r="AM1612" s="122"/>
      <c r="AN1612" s="121"/>
      <c r="AP1612" s="87"/>
    </row>
    <row r="1613" spans="1:42">
      <c r="A1613" s="3"/>
      <c r="B1613" s="3"/>
      <c r="C1613" s="3"/>
      <c r="D1613" s="3"/>
      <c r="E1613" s="3"/>
      <c r="F1613" s="3"/>
      <c r="G1613" s="3"/>
      <c r="H1613" s="3"/>
      <c r="I1613" s="100"/>
      <c r="J1613" s="101"/>
      <c r="K1613" s="101"/>
      <c r="L1613" s="101"/>
      <c r="M1613" s="101"/>
      <c r="N1613" s="101"/>
      <c r="O1613" s="101"/>
      <c r="P1613" s="101"/>
      <c r="Q1613" s="101"/>
      <c r="R1613" s="101"/>
      <c r="S1613" s="101"/>
      <c r="T1613" s="101"/>
      <c r="U1613" s="101"/>
      <c r="V1613" s="101"/>
      <c r="W1613" s="101"/>
      <c r="X1613" s="101"/>
      <c r="Y1613" s="101"/>
      <c r="Z1613" s="101"/>
      <c r="AA1613" s="101"/>
      <c r="AB1613" s="101"/>
      <c r="AC1613" s="119"/>
      <c r="AD1613" s="119"/>
      <c r="AE1613" s="120"/>
      <c r="AF1613" s="119"/>
      <c r="AG1613" s="119"/>
      <c r="AH1613" s="120"/>
      <c r="AI1613" s="121"/>
      <c r="AJ1613" s="121"/>
      <c r="AK1613" s="121"/>
      <c r="AL1613" s="121"/>
      <c r="AM1613" s="122"/>
      <c r="AN1613" s="121"/>
      <c r="AP1613" s="87"/>
    </row>
    <row r="1614" spans="1:42">
      <c r="A1614" s="3"/>
      <c r="B1614" s="3"/>
      <c r="C1614" s="3"/>
      <c r="D1614" s="3"/>
      <c r="E1614" s="3"/>
      <c r="F1614" s="3"/>
      <c r="G1614" s="3"/>
      <c r="H1614" s="3"/>
      <c r="I1614" s="100"/>
      <c r="J1614" s="101"/>
      <c r="K1614" s="101"/>
      <c r="L1614" s="101"/>
      <c r="M1614" s="101"/>
      <c r="N1614" s="101"/>
      <c r="O1614" s="101"/>
      <c r="P1614" s="101"/>
      <c r="Q1614" s="101"/>
      <c r="R1614" s="101"/>
      <c r="S1614" s="101"/>
      <c r="T1614" s="101"/>
      <c r="U1614" s="101"/>
      <c r="V1614" s="101"/>
      <c r="W1614" s="101"/>
      <c r="X1614" s="101"/>
      <c r="Y1614" s="101"/>
      <c r="Z1614" s="101"/>
      <c r="AA1614" s="101"/>
      <c r="AB1614" s="101"/>
      <c r="AC1614" s="119"/>
      <c r="AD1614" s="119"/>
      <c r="AE1614" s="120"/>
      <c r="AF1614" s="119"/>
      <c r="AG1614" s="119"/>
      <c r="AH1614" s="120"/>
      <c r="AI1614" s="121"/>
      <c r="AJ1614" s="121"/>
      <c r="AK1614" s="121"/>
      <c r="AL1614" s="121"/>
      <c r="AM1614" s="122"/>
      <c r="AN1614" s="121"/>
      <c r="AP1614" s="87"/>
    </row>
    <row r="1615" spans="1:42">
      <c r="A1615" s="3"/>
      <c r="B1615" s="3"/>
      <c r="C1615" s="3"/>
      <c r="D1615" s="3"/>
      <c r="E1615" s="3"/>
      <c r="F1615" s="3"/>
      <c r="G1615" s="3"/>
      <c r="H1615" s="3"/>
      <c r="I1615" s="100"/>
      <c r="J1615" s="101"/>
      <c r="K1615" s="101"/>
      <c r="L1615" s="101"/>
      <c r="M1615" s="101"/>
      <c r="N1615" s="101"/>
      <c r="O1615" s="101"/>
      <c r="P1615" s="101"/>
      <c r="Q1615" s="101"/>
      <c r="R1615" s="101"/>
      <c r="S1615" s="101"/>
      <c r="T1615" s="101"/>
      <c r="U1615" s="101"/>
      <c r="V1615" s="101"/>
      <c r="W1615" s="101"/>
      <c r="X1615" s="101"/>
      <c r="Y1615" s="101"/>
      <c r="Z1615" s="101"/>
      <c r="AA1615" s="101"/>
      <c r="AB1615" s="101"/>
      <c r="AC1615" s="119"/>
      <c r="AD1615" s="119"/>
      <c r="AE1615" s="120"/>
      <c r="AF1615" s="119"/>
      <c r="AG1615" s="119"/>
      <c r="AH1615" s="120"/>
      <c r="AI1615" s="121"/>
      <c r="AJ1615" s="121"/>
      <c r="AK1615" s="121"/>
      <c r="AL1615" s="121"/>
      <c r="AM1615" s="122"/>
      <c r="AN1615" s="121"/>
      <c r="AP1615" s="87"/>
    </row>
    <row r="1616" spans="1:42">
      <c r="A1616" s="3"/>
      <c r="B1616" s="3"/>
      <c r="C1616" s="3"/>
      <c r="D1616" s="3"/>
      <c r="E1616" s="3"/>
      <c r="F1616" s="3"/>
      <c r="G1616" s="3"/>
      <c r="H1616" s="3"/>
      <c r="I1616" s="100"/>
      <c r="J1616" s="101"/>
      <c r="K1616" s="101"/>
      <c r="L1616" s="101"/>
      <c r="M1616" s="101"/>
      <c r="N1616" s="101"/>
      <c r="O1616" s="101"/>
      <c r="P1616" s="101"/>
      <c r="Q1616" s="101"/>
      <c r="R1616" s="101"/>
      <c r="S1616" s="101"/>
      <c r="T1616" s="101"/>
      <c r="U1616" s="101"/>
      <c r="V1616" s="101"/>
      <c r="W1616" s="101"/>
      <c r="X1616" s="101"/>
      <c r="Y1616" s="101"/>
      <c r="Z1616" s="101"/>
      <c r="AA1616" s="101"/>
      <c r="AB1616" s="101"/>
      <c r="AC1616" s="119"/>
      <c r="AD1616" s="119"/>
      <c r="AE1616" s="120"/>
      <c r="AF1616" s="119"/>
      <c r="AG1616" s="119"/>
      <c r="AH1616" s="120"/>
      <c r="AI1616" s="121"/>
      <c r="AJ1616" s="121"/>
      <c r="AK1616" s="121"/>
      <c r="AL1616" s="121"/>
      <c r="AM1616" s="122"/>
      <c r="AN1616" s="121"/>
      <c r="AP1616" s="87"/>
    </row>
    <row r="1617" spans="1:42">
      <c r="A1617" s="3"/>
      <c r="B1617" s="3"/>
      <c r="C1617" s="3"/>
      <c r="D1617" s="3"/>
      <c r="E1617" s="3"/>
      <c r="F1617" s="3"/>
      <c r="G1617" s="3"/>
      <c r="H1617" s="3"/>
      <c r="I1617" s="100"/>
      <c r="J1617" s="101"/>
      <c r="K1617" s="101"/>
      <c r="L1617" s="101"/>
      <c r="M1617" s="101"/>
      <c r="N1617" s="101"/>
      <c r="O1617" s="101"/>
      <c r="P1617" s="101"/>
      <c r="Q1617" s="101"/>
      <c r="R1617" s="101"/>
      <c r="S1617" s="101"/>
      <c r="T1617" s="101"/>
      <c r="U1617" s="101"/>
      <c r="V1617" s="101"/>
      <c r="W1617" s="101"/>
      <c r="X1617" s="101"/>
      <c r="Y1617" s="101"/>
      <c r="Z1617" s="101"/>
      <c r="AA1617" s="101"/>
      <c r="AB1617" s="101"/>
      <c r="AC1617" s="119"/>
      <c r="AD1617" s="119"/>
      <c r="AE1617" s="120"/>
      <c r="AF1617" s="119"/>
      <c r="AG1617" s="119"/>
      <c r="AH1617" s="120"/>
      <c r="AI1617" s="121"/>
      <c r="AJ1617" s="121"/>
      <c r="AK1617" s="121"/>
      <c r="AL1617" s="121"/>
      <c r="AM1617" s="122"/>
      <c r="AN1617" s="121"/>
      <c r="AP1617" s="87"/>
    </row>
    <row r="1618" spans="1:42">
      <c r="A1618" s="3"/>
      <c r="B1618" s="3"/>
      <c r="C1618" s="3"/>
      <c r="D1618" s="3"/>
      <c r="E1618" s="3"/>
      <c r="F1618" s="3"/>
      <c r="G1618" s="3"/>
      <c r="H1618" s="3"/>
      <c r="I1618" s="100"/>
      <c r="J1618" s="101"/>
      <c r="K1618" s="101"/>
      <c r="L1618" s="101"/>
      <c r="M1618" s="101"/>
      <c r="N1618" s="101"/>
      <c r="O1618" s="101"/>
      <c r="P1618" s="101"/>
      <c r="Q1618" s="101"/>
      <c r="R1618" s="101"/>
      <c r="S1618" s="101"/>
      <c r="T1618" s="101"/>
      <c r="U1618" s="101"/>
      <c r="V1618" s="101"/>
      <c r="W1618" s="101"/>
      <c r="X1618" s="101"/>
      <c r="Y1618" s="101"/>
      <c r="Z1618" s="101"/>
      <c r="AA1618" s="101"/>
      <c r="AB1618" s="101"/>
      <c r="AC1618" s="119"/>
      <c r="AD1618" s="119"/>
      <c r="AE1618" s="120"/>
      <c r="AF1618" s="119"/>
      <c r="AG1618" s="119"/>
      <c r="AH1618" s="120"/>
      <c r="AI1618" s="121"/>
      <c r="AJ1618" s="121"/>
      <c r="AK1618" s="121"/>
      <c r="AL1618" s="121"/>
      <c r="AM1618" s="122"/>
      <c r="AN1618" s="121"/>
      <c r="AP1618" s="87"/>
    </row>
    <row r="1619" spans="1:42">
      <c r="A1619" s="3"/>
      <c r="B1619" s="3"/>
      <c r="C1619" s="3"/>
      <c r="D1619" s="3"/>
      <c r="E1619" s="3"/>
      <c r="F1619" s="3"/>
      <c r="G1619" s="3"/>
      <c r="H1619" s="3"/>
      <c r="I1619" s="100"/>
      <c r="J1619" s="101"/>
      <c r="K1619" s="101"/>
      <c r="L1619" s="101"/>
      <c r="M1619" s="101"/>
      <c r="N1619" s="101"/>
      <c r="O1619" s="101"/>
      <c r="P1619" s="101"/>
      <c r="Q1619" s="101"/>
      <c r="R1619" s="101"/>
      <c r="S1619" s="101"/>
      <c r="T1619" s="101"/>
      <c r="U1619" s="101"/>
      <c r="V1619" s="101"/>
      <c r="W1619" s="101"/>
      <c r="X1619" s="101"/>
      <c r="Y1619" s="101"/>
      <c r="Z1619" s="101"/>
      <c r="AA1619" s="101"/>
      <c r="AB1619" s="101"/>
      <c r="AC1619" s="119"/>
      <c r="AD1619" s="119"/>
      <c r="AE1619" s="120"/>
      <c r="AF1619" s="119"/>
      <c r="AG1619" s="119"/>
      <c r="AH1619" s="120"/>
      <c r="AI1619" s="121"/>
      <c r="AJ1619" s="121"/>
      <c r="AK1619" s="121"/>
      <c r="AL1619" s="121"/>
      <c r="AM1619" s="122"/>
      <c r="AN1619" s="121"/>
      <c r="AP1619" s="87"/>
    </row>
    <row r="1620" spans="1:42">
      <c r="A1620" s="3"/>
      <c r="B1620" s="3"/>
      <c r="C1620" s="3"/>
      <c r="D1620" s="3"/>
      <c r="E1620" s="3"/>
      <c r="F1620" s="3"/>
      <c r="G1620" s="3"/>
      <c r="H1620" s="3"/>
      <c r="I1620" s="100"/>
      <c r="J1620" s="101"/>
      <c r="K1620" s="101"/>
      <c r="L1620" s="101"/>
      <c r="M1620" s="101"/>
      <c r="N1620" s="101"/>
      <c r="O1620" s="101"/>
      <c r="P1620" s="101"/>
      <c r="Q1620" s="101"/>
      <c r="R1620" s="101"/>
      <c r="S1620" s="101"/>
      <c r="T1620" s="101"/>
      <c r="U1620" s="101"/>
      <c r="V1620" s="101"/>
      <c r="W1620" s="101"/>
      <c r="X1620" s="101"/>
      <c r="Y1620" s="101"/>
      <c r="Z1620" s="101"/>
      <c r="AA1620" s="101"/>
      <c r="AB1620" s="101"/>
      <c r="AC1620" s="119"/>
      <c r="AD1620" s="119"/>
      <c r="AE1620" s="120"/>
      <c r="AF1620" s="119"/>
      <c r="AG1620" s="119"/>
      <c r="AH1620" s="120"/>
      <c r="AI1620" s="121"/>
      <c r="AJ1620" s="121"/>
      <c r="AK1620" s="121"/>
      <c r="AL1620" s="121"/>
      <c r="AM1620" s="122"/>
      <c r="AN1620" s="121"/>
      <c r="AP1620" s="87"/>
    </row>
    <row r="1621" spans="1:42">
      <c r="A1621" s="3"/>
      <c r="B1621" s="3"/>
      <c r="C1621" s="3"/>
      <c r="D1621" s="3"/>
      <c r="E1621" s="3"/>
      <c r="F1621" s="3"/>
      <c r="G1621" s="3"/>
      <c r="H1621" s="3"/>
      <c r="I1621" s="100"/>
      <c r="J1621" s="101"/>
      <c r="K1621" s="101"/>
      <c r="L1621" s="101"/>
      <c r="M1621" s="101"/>
      <c r="N1621" s="101"/>
      <c r="O1621" s="101"/>
      <c r="P1621" s="101"/>
      <c r="Q1621" s="101"/>
      <c r="R1621" s="101"/>
      <c r="S1621" s="101"/>
      <c r="T1621" s="101"/>
      <c r="U1621" s="101"/>
      <c r="V1621" s="101"/>
      <c r="W1621" s="101"/>
      <c r="X1621" s="101"/>
      <c r="Y1621" s="101"/>
      <c r="Z1621" s="101"/>
      <c r="AA1621" s="101"/>
      <c r="AB1621" s="101"/>
      <c r="AC1621" s="119"/>
      <c r="AD1621" s="119"/>
      <c r="AE1621" s="120"/>
      <c r="AF1621" s="119"/>
      <c r="AG1621" s="119"/>
      <c r="AH1621" s="120"/>
      <c r="AI1621" s="121"/>
      <c r="AJ1621" s="121"/>
      <c r="AK1621" s="121"/>
      <c r="AL1621" s="121"/>
      <c r="AM1621" s="122"/>
      <c r="AN1621" s="121"/>
      <c r="AP1621" s="87"/>
    </row>
    <row r="1622" spans="1:42">
      <c r="A1622" s="3"/>
      <c r="B1622" s="3"/>
      <c r="C1622" s="3"/>
      <c r="D1622" s="3"/>
      <c r="E1622" s="3"/>
      <c r="F1622" s="3"/>
      <c r="G1622" s="3"/>
      <c r="H1622" s="3"/>
      <c r="I1622" s="100"/>
      <c r="J1622" s="101"/>
      <c r="K1622" s="101"/>
      <c r="L1622" s="101"/>
      <c r="M1622" s="101"/>
      <c r="N1622" s="101"/>
      <c r="O1622" s="101"/>
      <c r="P1622" s="101"/>
      <c r="Q1622" s="101"/>
      <c r="R1622" s="101"/>
      <c r="S1622" s="101"/>
      <c r="T1622" s="101"/>
      <c r="U1622" s="101"/>
      <c r="V1622" s="101"/>
      <c r="W1622" s="101"/>
      <c r="X1622" s="101"/>
      <c r="Y1622" s="101"/>
      <c r="Z1622" s="101"/>
      <c r="AA1622" s="101"/>
      <c r="AB1622" s="101"/>
      <c r="AC1622" s="119"/>
      <c r="AD1622" s="119"/>
      <c r="AE1622" s="120"/>
      <c r="AF1622" s="119"/>
      <c r="AG1622" s="119"/>
      <c r="AH1622" s="120"/>
      <c r="AI1622" s="121"/>
      <c r="AJ1622" s="121"/>
      <c r="AK1622" s="121"/>
      <c r="AL1622" s="121"/>
      <c r="AM1622" s="122"/>
      <c r="AN1622" s="121"/>
      <c r="AP1622" s="87"/>
    </row>
    <row r="1623" spans="1:42">
      <c r="A1623" s="3"/>
      <c r="B1623" s="3"/>
      <c r="C1623" s="3"/>
      <c r="D1623" s="3"/>
      <c r="E1623" s="3"/>
      <c r="F1623" s="3"/>
      <c r="G1623" s="3"/>
      <c r="H1623" s="3"/>
      <c r="I1623" s="100"/>
      <c r="J1623" s="101"/>
      <c r="K1623" s="101"/>
      <c r="L1623" s="101"/>
      <c r="M1623" s="101"/>
      <c r="N1623" s="101"/>
      <c r="O1623" s="101"/>
      <c r="P1623" s="101"/>
      <c r="Q1623" s="101"/>
      <c r="R1623" s="101"/>
      <c r="S1623" s="101"/>
      <c r="T1623" s="101"/>
      <c r="U1623" s="101"/>
      <c r="V1623" s="101"/>
      <c r="W1623" s="101"/>
      <c r="X1623" s="101"/>
      <c r="Y1623" s="101"/>
      <c r="Z1623" s="101"/>
      <c r="AA1623" s="101"/>
      <c r="AB1623" s="101"/>
      <c r="AC1623" s="119"/>
      <c r="AD1623" s="119"/>
      <c r="AE1623" s="120"/>
      <c r="AF1623" s="119"/>
      <c r="AG1623" s="119"/>
      <c r="AH1623" s="120"/>
      <c r="AI1623" s="121"/>
      <c r="AJ1623" s="121"/>
      <c r="AK1623" s="121"/>
      <c r="AL1623" s="121"/>
      <c r="AM1623" s="122"/>
      <c r="AN1623" s="121"/>
      <c r="AP1623" s="87"/>
    </row>
    <row r="1624" spans="1:42">
      <c r="A1624" s="3"/>
      <c r="B1624" s="3"/>
      <c r="C1624" s="3"/>
      <c r="D1624" s="3"/>
      <c r="E1624" s="3"/>
      <c r="F1624" s="3"/>
      <c r="G1624" s="3"/>
      <c r="H1624" s="3"/>
      <c r="I1624" s="100"/>
      <c r="J1624" s="101"/>
      <c r="K1624" s="101"/>
      <c r="L1624" s="101"/>
      <c r="M1624" s="101"/>
      <c r="N1624" s="101"/>
      <c r="O1624" s="101"/>
      <c r="P1624" s="101"/>
      <c r="Q1624" s="101"/>
      <c r="R1624" s="101"/>
      <c r="S1624" s="101"/>
      <c r="T1624" s="101"/>
      <c r="U1624" s="101"/>
      <c r="V1624" s="101"/>
      <c r="W1624" s="101"/>
      <c r="X1624" s="101"/>
      <c r="Y1624" s="101"/>
      <c r="Z1624" s="101"/>
      <c r="AA1624" s="101"/>
      <c r="AB1624" s="101"/>
      <c r="AC1624" s="119"/>
      <c r="AD1624" s="119"/>
      <c r="AE1624" s="120"/>
      <c r="AF1624" s="119"/>
      <c r="AG1624" s="119"/>
      <c r="AH1624" s="120"/>
      <c r="AI1624" s="121"/>
      <c r="AJ1624" s="121"/>
      <c r="AK1624" s="121"/>
      <c r="AL1624" s="121"/>
      <c r="AM1624" s="122"/>
      <c r="AN1624" s="121"/>
      <c r="AP1624" s="87"/>
    </row>
    <row r="1625" spans="1:42">
      <c r="A1625" s="3"/>
      <c r="B1625" s="3"/>
      <c r="C1625" s="3"/>
      <c r="D1625" s="3"/>
      <c r="E1625" s="3"/>
      <c r="F1625" s="3"/>
      <c r="G1625" s="3"/>
      <c r="H1625" s="3"/>
      <c r="I1625" s="100"/>
      <c r="J1625" s="101"/>
      <c r="K1625" s="101"/>
      <c r="L1625" s="101"/>
      <c r="M1625" s="101"/>
      <c r="N1625" s="101"/>
      <c r="O1625" s="101"/>
      <c r="P1625" s="101"/>
      <c r="Q1625" s="101"/>
      <c r="R1625" s="101"/>
      <c r="S1625" s="101"/>
      <c r="T1625" s="101"/>
      <c r="U1625" s="101"/>
      <c r="V1625" s="101"/>
      <c r="W1625" s="101"/>
      <c r="X1625" s="101"/>
      <c r="Y1625" s="101"/>
      <c r="Z1625" s="101"/>
      <c r="AA1625" s="101"/>
      <c r="AB1625" s="101"/>
      <c r="AC1625" s="119"/>
      <c r="AD1625" s="119"/>
      <c r="AE1625" s="120"/>
      <c r="AF1625" s="119"/>
      <c r="AG1625" s="119"/>
      <c r="AH1625" s="120"/>
      <c r="AI1625" s="121"/>
      <c r="AJ1625" s="121"/>
      <c r="AK1625" s="121"/>
      <c r="AL1625" s="121"/>
      <c r="AM1625" s="122"/>
      <c r="AN1625" s="121"/>
      <c r="AP1625" s="87"/>
    </row>
    <row r="1626" spans="1:42">
      <c r="A1626" s="3"/>
      <c r="B1626" s="3"/>
      <c r="C1626" s="3"/>
      <c r="D1626" s="3"/>
      <c r="E1626" s="3"/>
      <c r="F1626" s="3"/>
      <c r="G1626" s="3"/>
      <c r="H1626" s="3"/>
      <c r="I1626" s="100"/>
      <c r="J1626" s="101"/>
      <c r="K1626" s="101"/>
      <c r="L1626" s="101"/>
      <c r="M1626" s="101"/>
      <c r="N1626" s="101"/>
      <c r="O1626" s="101"/>
      <c r="P1626" s="101"/>
      <c r="Q1626" s="101"/>
      <c r="R1626" s="101"/>
      <c r="S1626" s="101"/>
      <c r="T1626" s="101"/>
      <c r="U1626" s="101"/>
      <c r="V1626" s="101"/>
      <c r="W1626" s="101"/>
      <c r="X1626" s="101"/>
      <c r="Y1626" s="101"/>
      <c r="Z1626" s="101"/>
      <c r="AA1626" s="101"/>
      <c r="AB1626" s="101"/>
      <c r="AC1626" s="119"/>
      <c r="AD1626" s="119"/>
      <c r="AE1626" s="120"/>
      <c r="AF1626" s="119"/>
      <c r="AG1626" s="119"/>
      <c r="AH1626" s="120"/>
      <c r="AI1626" s="121"/>
      <c r="AJ1626" s="121"/>
      <c r="AK1626" s="121"/>
      <c r="AL1626" s="121"/>
      <c r="AM1626" s="122"/>
      <c r="AN1626" s="121"/>
      <c r="AP1626" s="87"/>
    </row>
    <row r="1627" spans="1:42">
      <c r="A1627" s="3"/>
      <c r="B1627" s="3"/>
      <c r="C1627" s="3"/>
      <c r="D1627" s="3"/>
      <c r="E1627" s="3"/>
      <c r="F1627" s="3"/>
      <c r="G1627" s="3"/>
      <c r="H1627" s="3"/>
      <c r="I1627" s="100"/>
      <c r="J1627" s="101"/>
      <c r="K1627" s="101"/>
      <c r="L1627" s="101"/>
      <c r="M1627" s="101"/>
      <c r="N1627" s="101"/>
      <c r="O1627" s="101"/>
      <c r="P1627" s="101"/>
      <c r="Q1627" s="101"/>
      <c r="R1627" s="101"/>
      <c r="S1627" s="101"/>
      <c r="T1627" s="101"/>
      <c r="U1627" s="101"/>
      <c r="V1627" s="101"/>
      <c r="W1627" s="101"/>
      <c r="X1627" s="101"/>
      <c r="Y1627" s="101"/>
      <c r="Z1627" s="101"/>
      <c r="AA1627" s="101"/>
      <c r="AB1627" s="101"/>
      <c r="AC1627" s="119"/>
      <c r="AD1627" s="119"/>
      <c r="AE1627" s="120"/>
      <c r="AF1627" s="119"/>
      <c r="AG1627" s="119"/>
      <c r="AH1627" s="120"/>
      <c r="AI1627" s="121"/>
      <c r="AJ1627" s="121"/>
      <c r="AK1627" s="121"/>
      <c r="AL1627" s="121"/>
      <c r="AM1627" s="122"/>
      <c r="AN1627" s="121"/>
      <c r="AP1627" s="87"/>
    </row>
    <row r="1628" spans="1:42">
      <c r="A1628" s="3"/>
      <c r="B1628" s="3"/>
      <c r="C1628" s="3"/>
      <c r="D1628" s="3"/>
      <c r="E1628" s="3"/>
      <c r="F1628" s="3"/>
      <c r="G1628" s="3"/>
      <c r="H1628" s="3"/>
      <c r="I1628" s="100"/>
      <c r="J1628" s="101"/>
      <c r="K1628" s="101"/>
      <c r="L1628" s="101"/>
      <c r="M1628" s="101"/>
      <c r="N1628" s="101"/>
      <c r="O1628" s="101"/>
      <c r="P1628" s="101"/>
      <c r="Q1628" s="101"/>
      <c r="R1628" s="101"/>
      <c r="S1628" s="101"/>
      <c r="T1628" s="101"/>
      <c r="U1628" s="101"/>
      <c r="V1628" s="101"/>
      <c r="W1628" s="101"/>
      <c r="X1628" s="101"/>
      <c r="Y1628" s="101"/>
      <c r="Z1628" s="101"/>
      <c r="AA1628" s="101"/>
      <c r="AB1628" s="101"/>
      <c r="AC1628" s="119"/>
      <c r="AD1628" s="119"/>
      <c r="AE1628" s="120"/>
      <c r="AF1628" s="119"/>
      <c r="AG1628" s="119"/>
      <c r="AH1628" s="120"/>
      <c r="AI1628" s="121"/>
      <c r="AJ1628" s="121"/>
      <c r="AK1628" s="121"/>
      <c r="AL1628" s="121"/>
      <c r="AM1628" s="122"/>
      <c r="AN1628" s="121"/>
      <c r="AP1628" s="87"/>
    </row>
    <row r="1629" spans="1:42">
      <c r="A1629" s="3"/>
      <c r="B1629" s="3"/>
      <c r="C1629" s="3"/>
      <c r="D1629" s="3"/>
      <c r="E1629" s="3"/>
      <c r="F1629" s="3"/>
      <c r="G1629" s="3"/>
      <c r="H1629" s="3"/>
      <c r="I1629" s="100"/>
      <c r="J1629" s="101"/>
      <c r="K1629" s="101"/>
      <c r="L1629" s="101"/>
      <c r="M1629" s="101"/>
      <c r="N1629" s="101"/>
      <c r="O1629" s="101"/>
      <c r="P1629" s="101"/>
      <c r="Q1629" s="101"/>
      <c r="R1629" s="101"/>
      <c r="S1629" s="101"/>
      <c r="T1629" s="101"/>
      <c r="U1629" s="101"/>
      <c r="V1629" s="101"/>
      <c r="W1629" s="101"/>
      <c r="X1629" s="101"/>
      <c r="Y1629" s="101"/>
      <c r="Z1629" s="101"/>
      <c r="AA1629" s="101"/>
      <c r="AB1629" s="101"/>
      <c r="AC1629" s="119"/>
      <c r="AD1629" s="119"/>
      <c r="AE1629" s="120"/>
      <c r="AF1629" s="119"/>
      <c r="AG1629" s="119"/>
      <c r="AH1629" s="120"/>
      <c r="AI1629" s="121"/>
      <c r="AJ1629" s="121"/>
      <c r="AK1629" s="121"/>
      <c r="AL1629" s="121"/>
      <c r="AM1629" s="122"/>
      <c r="AN1629" s="121"/>
      <c r="AP1629" s="87"/>
    </row>
    <row r="1630" spans="1:42">
      <c r="A1630" s="3"/>
      <c r="B1630" s="3"/>
      <c r="C1630" s="3"/>
      <c r="D1630" s="3"/>
      <c r="E1630" s="3"/>
      <c r="F1630" s="3"/>
      <c r="G1630" s="3"/>
      <c r="H1630" s="3"/>
      <c r="I1630" s="100"/>
      <c r="J1630" s="101"/>
      <c r="K1630" s="101"/>
      <c r="L1630" s="101"/>
      <c r="M1630" s="101"/>
      <c r="N1630" s="101"/>
      <c r="O1630" s="101"/>
      <c r="P1630" s="101"/>
      <c r="Q1630" s="101"/>
      <c r="R1630" s="101"/>
      <c r="S1630" s="101"/>
      <c r="T1630" s="101"/>
      <c r="U1630" s="101"/>
      <c r="V1630" s="101"/>
      <c r="W1630" s="101"/>
      <c r="X1630" s="101"/>
      <c r="Y1630" s="101"/>
      <c r="Z1630" s="101"/>
      <c r="AA1630" s="101"/>
      <c r="AB1630" s="101"/>
      <c r="AC1630" s="119"/>
      <c r="AD1630" s="119"/>
      <c r="AE1630" s="120"/>
      <c r="AF1630" s="119"/>
      <c r="AG1630" s="119"/>
      <c r="AH1630" s="120"/>
      <c r="AI1630" s="121"/>
      <c r="AJ1630" s="121"/>
      <c r="AK1630" s="121"/>
      <c r="AL1630" s="121"/>
      <c r="AM1630" s="122"/>
      <c r="AN1630" s="121"/>
      <c r="AP1630" s="87"/>
    </row>
    <row r="1631" spans="1:42">
      <c r="A1631" s="3"/>
      <c r="B1631" s="3"/>
      <c r="C1631" s="3"/>
      <c r="D1631" s="3"/>
      <c r="E1631" s="3"/>
      <c r="F1631" s="3"/>
      <c r="G1631" s="3"/>
      <c r="H1631" s="3"/>
      <c r="I1631" s="100"/>
      <c r="J1631" s="101"/>
      <c r="K1631" s="101"/>
      <c r="L1631" s="101"/>
      <c r="M1631" s="101"/>
      <c r="N1631" s="101"/>
      <c r="O1631" s="101"/>
      <c r="P1631" s="101"/>
      <c r="Q1631" s="101"/>
      <c r="R1631" s="101"/>
      <c r="S1631" s="101"/>
      <c r="T1631" s="101"/>
      <c r="U1631" s="101"/>
      <c r="V1631" s="101"/>
      <c r="W1631" s="101"/>
      <c r="X1631" s="101"/>
      <c r="Y1631" s="101"/>
      <c r="Z1631" s="101"/>
      <c r="AA1631" s="101"/>
      <c r="AB1631" s="101"/>
      <c r="AC1631" s="119"/>
      <c r="AD1631" s="119"/>
      <c r="AE1631" s="120"/>
      <c r="AF1631" s="119"/>
      <c r="AG1631" s="119"/>
      <c r="AH1631" s="120"/>
      <c r="AI1631" s="121"/>
      <c r="AJ1631" s="121"/>
      <c r="AK1631" s="121"/>
      <c r="AL1631" s="121"/>
      <c r="AM1631" s="122"/>
      <c r="AN1631" s="121"/>
      <c r="AP1631" s="87"/>
    </row>
    <row r="1632" spans="1:42">
      <c r="A1632" s="3"/>
      <c r="B1632" s="3"/>
      <c r="C1632" s="3"/>
      <c r="D1632" s="3"/>
      <c r="E1632" s="3"/>
      <c r="F1632" s="3"/>
      <c r="G1632" s="3"/>
      <c r="H1632" s="3"/>
      <c r="I1632" s="100"/>
      <c r="J1632" s="101"/>
      <c r="K1632" s="101"/>
      <c r="L1632" s="101"/>
      <c r="M1632" s="101"/>
      <c r="N1632" s="101"/>
      <c r="O1632" s="101"/>
      <c r="P1632" s="101"/>
      <c r="Q1632" s="101"/>
      <c r="R1632" s="101"/>
      <c r="S1632" s="101"/>
      <c r="T1632" s="101"/>
      <c r="U1632" s="101"/>
      <c r="V1632" s="101"/>
      <c r="W1632" s="101"/>
      <c r="X1632" s="101"/>
      <c r="Y1632" s="101"/>
      <c r="Z1632" s="101"/>
      <c r="AA1632" s="101"/>
      <c r="AB1632" s="101"/>
      <c r="AC1632" s="119"/>
      <c r="AD1632" s="119"/>
      <c r="AE1632" s="120"/>
      <c r="AF1632" s="119"/>
      <c r="AG1632" s="119"/>
      <c r="AH1632" s="120"/>
      <c r="AI1632" s="121"/>
      <c r="AJ1632" s="121"/>
      <c r="AK1632" s="121"/>
      <c r="AL1632" s="121"/>
      <c r="AM1632" s="122"/>
      <c r="AN1632" s="121"/>
      <c r="AP1632" s="87"/>
    </row>
    <row r="1633" spans="1:42">
      <c r="A1633" s="3"/>
      <c r="B1633" s="3"/>
      <c r="C1633" s="3"/>
      <c r="D1633" s="3"/>
      <c r="E1633" s="3"/>
      <c r="F1633" s="3"/>
      <c r="G1633" s="3"/>
      <c r="H1633" s="3"/>
      <c r="I1633" s="100"/>
      <c r="J1633" s="101"/>
      <c r="K1633" s="101"/>
      <c r="L1633" s="101"/>
      <c r="M1633" s="101"/>
      <c r="N1633" s="101"/>
      <c r="O1633" s="101"/>
      <c r="P1633" s="101"/>
      <c r="Q1633" s="101"/>
      <c r="R1633" s="101"/>
      <c r="S1633" s="101"/>
      <c r="T1633" s="101"/>
      <c r="U1633" s="101"/>
      <c r="V1633" s="101"/>
      <c r="W1633" s="101"/>
      <c r="X1633" s="101"/>
      <c r="Y1633" s="101"/>
      <c r="Z1633" s="101"/>
      <c r="AA1633" s="101"/>
      <c r="AB1633" s="101"/>
      <c r="AC1633" s="119"/>
      <c r="AD1633" s="119"/>
      <c r="AE1633" s="120"/>
      <c r="AF1633" s="119"/>
      <c r="AG1633" s="119"/>
      <c r="AH1633" s="120"/>
      <c r="AI1633" s="121"/>
      <c r="AJ1633" s="121"/>
      <c r="AK1633" s="121"/>
      <c r="AL1633" s="121"/>
      <c r="AM1633" s="122"/>
      <c r="AN1633" s="121"/>
      <c r="AP1633" s="87"/>
    </row>
    <row r="1634" spans="1:42">
      <c r="A1634" s="3"/>
      <c r="B1634" s="3"/>
      <c r="C1634" s="3"/>
      <c r="D1634" s="3"/>
      <c r="E1634" s="3"/>
      <c r="F1634" s="3"/>
      <c r="G1634" s="3"/>
      <c r="H1634" s="3"/>
      <c r="I1634" s="100"/>
      <c r="J1634" s="101"/>
      <c r="K1634" s="101"/>
      <c r="L1634" s="101"/>
      <c r="M1634" s="101"/>
      <c r="N1634" s="101"/>
      <c r="O1634" s="101"/>
      <c r="P1634" s="101"/>
      <c r="Q1634" s="101"/>
      <c r="R1634" s="101"/>
      <c r="S1634" s="101"/>
      <c r="T1634" s="101"/>
      <c r="U1634" s="101"/>
      <c r="V1634" s="101"/>
      <c r="W1634" s="101"/>
      <c r="X1634" s="101"/>
      <c r="Y1634" s="101"/>
      <c r="Z1634" s="101"/>
      <c r="AA1634" s="101"/>
      <c r="AB1634" s="101"/>
      <c r="AC1634" s="119"/>
      <c r="AD1634" s="119"/>
      <c r="AE1634" s="120"/>
      <c r="AF1634" s="119"/>
      <c r="AG1634" s="119"/>
      <c r="AH1634" s="120"/>
      <c r="AI1634" s="121"/>
      <c r="AJ1634" s="121"/>
      <c r="AK1634" s="121"/>
      <c r="AL1634" s="121"/>
      <c r="AM1634" s="122"/>
      <c r="AN1634" s="121"/>
      <c r="AP1634" s="87"/>
    </row>
    <row r="1635" spans="1:42">
      <c r="A1635" s="3"/>
      <c r="B1635" s="3"/>
      <c r="C1635" s="3"/>
      <c r="D1635" s="3"/>
      <c r="E1635" s="3"/>
      <c r="F1635" s="3"/>
      <c r="G1635" s="3"/>
      <c r="H1635" s="3"/>
      <c r="I1635" s="100"/>
      <c r="J1635" s="101"/>
      <c r="K1635" s="101"/>
      <c r="L1635" s="101"/>
      <c r="M1635" s="101"/>
      <c r="N1635" s="101"/>
      <c r="O1635" s="101"/>
      <c r="P1635" s="101"/>
      <c r="Q1635" s="101"/>
      <c r="R1635" s="101"/>
      <c r="S1635" s="101"/>
      <c r="T1635" s="101"/>
      <c r="U1635" s="101"/>
      <c r="V1635" s="101"/>
      <c r="W1635" s="101"/>
      <c r="X1635" s="101"/>
      <c r="Y1635" s="101"/>
      <c r="Z1635" s="101"/>
      <c r="AA1635" s="101"/>
      <c r="AB1635" s="101"/>
      <c r="AC1635" s="119"/>
      <c r="AD1635" s="119"/>
      <c r="AE1635" s="120"/>
      <c r="AF1635" s="119"/>
      <c r="AG1635" s="119"/>
      <c r="AH1635" s="120"/>
      <c r="AI1635" s="121"/>
      <c r="AJ1635" s="121"/>
      <c r="AK1635" s="121"/>
      <c r="AL1635" s="121"/>
      <c r="AM1635" s="122"/>
      <c r="AN1635" s="121"/>
      <c r="AP1635" s="87"/>
    </row>
    <row r="1636" spans="1:42">
      <c r="A1636" s="3"/>
      <c r="B1636" s="3"/>
      <c r="C1636" s="3"/>
      <c r="D1636" s="3"/>
      <c r="E1636" s="3"/>
      <c r="F1636" s="3"/>
      <c r="G1636" s="3"/>
      <c r="H1636" s="3"/>
      <c r="I1636" s="100"/>
      <c r="J1636" s="101"/>
      <c r="K1636" s="101"/>
      <c r="L1636" s="101"/>
      <c r="M1636" s="101"/>
      <c r="N1636" s="101"/>
      <c r="O1636" s="101"/>
      <c r="P1636" s="101"/>
      <c r="Q1636" s="101"/>
      <c r="R1636" s="101"/>
      <c r="S1636" s="101"/>
      <c r="T1636" s="101"/>
      <c r="U1636" s="101"/>
      <c r="V1636" s="101"/>
      <c r="W1636" s="101"/>
      <c r="X1636" s="101"/>
      <c r="Y1636" s="101"/>
      <c r="Z1636" s="101"/>
      <c r="AA1636" s="101"/>
      <c r="AB1636" s="101"/>
      <c r="AC1636" s="119"/>
      <c r="AD1636" s="119"/>
      <c r="AE1636" s="120"/>
      <c r="AF1636" s="119"/>
      <c r="AG1636" s="119"/>
      <c r="AH1636" s="120"/>
      <c r="AI1636" s="121"/>
      <c r="AJ1636" s="121"/>
      <c r="AK1636" s="121"/>
      <c r="AL1636" s="121"/>
      <c r="AM1636" s="122"/>
      <c r="AN1636" s="121"/>
      <c r="AP1636" s="87"/>
    </row>
    <row r="1637" spans="1:42">
      <c r="A1637" s="3"/>
      <c r="B1637" s="3"/>
      <c r="C1637" s="3"/>
      <c r="D1637" s="3"/>
      <c r="E1637" s="3"/>
      <c r="F1637" s="3"/>
      <c r="G1637" s="3"/>
      <c r="H1637" s="3"/>
      <c r="I1637" s="100"/>
      <c r="J1637" s="101"/>
      <c r="K1637" s="101"/>
      <c r="L1637" s="101"/>
      <c r="M1637" s="101"/>
      <c r="N1637" s="101"/>
      <c r="O1637" s="101"/>
      <c r="P1637" s="101"/>
      <c r="Q1637" s="101"/>
      <c r="R1637" s="101"/>
      <c r="S1637" s="101"/>
      <c r="T1637" s="101"/>
      <c r="U1637" s="101"/>
      <c r="V1637" s="101"/>
      <c r="W1637" s="101"/>
      <c r="X1637" s="101"/>
      <c r="Y1637" s="101"/>
      <c r="Z1637" s="101"/>
      <c r="AA1637" s="101"/>
      <c r="AB1637" s="101"/>
      <c r="AC1637" s="119"/>
      <c r="AD1637" s="119"/>
      <c r="AE1637" s="120"/>
      <c r="AF1637" s="119"/>
      <c r="AG1637" s="119"/>
      <c r="AH1637" s="120"/>
      <c r="AI1637" s="121"/>
      <c r="AJ1637" s="121"/>
      <c r="AK1637" s="121"/>
      <c r="AL1637" s="121"/>
      <c r="AM1637" s="122"/>
      <c r="AN1637" s="121"/>
      <c r="AP1637" s="87"/>
    </row>
    <row r="1638" spans="1:42">
      <c r="A1638" s="3"/>
      <c r="B1638" s="3"/>
      <c r="C1638" s="3"/>
      <c r="D1638" s="3"/>
      <c r="E1638" s="3"/>
      <c r="F1638" s="3"/>
      <c r="G1638" s="3"/>
      <c r="H1638" s="3"/>
      <c r="I1638" s="100"/>
      <c r="J1638" s="101"/>
      <c r="K1638" s="101"/>
      <c r="L1638" s="101"/>
      <c r="M1638" s="101"/>
      <c r="N1638" s="101"/>
      <c r="O1638" s="101"/>
      <c r="P1638" s="101"/>
      <c r="Q1638" s="101"/>
      <c r="R1638" s="101"/>
      <c r="S1638" s="101"/>
      <c r="T1638" s="101"/>
      <c r="U1638" s="101"/>
      <c r="V1638" s="101"/>
      <c r="W1638" s="101"/>
      <c r="X1638" s="101"/>
      <c r="Y1638" s="101"/>
      <c r="Z1638" s="101"/>
      <c r="AA1638" s="101"/>
      <c r="AB1638" s="101"/>
      <c r="AC1638" s="119"/>
      <c r="AD1638" s="119"/>
      <c r="AE1638" s="120"/>
      <c r="AF1638" s="119"/>
      <c r="AG1638" s="119"/>
      <c r="AH1638" s="120"/>
      <c r="AI1638" s="121"/>
      <c r="AJ1638" s="121"/>
      <c r="AK1638" s="121"/>
      <c r="AL1638" s="121"/>
      <c r="AM1638" s="122"/>
      <c r="AN1638" s="121"/>
      <c r="AP1638" s="87"/>
    </row>
    <row r="1639" spans="1:42">
      <c r="A1639" s="3"/>
      <c r="B1639" s="3"/>
      <c r="C1639" s="3"/>
      <c r="D1639" s="3"/>
      <c r="E1639" s="3"/>
      <c r="F1639" s="3"/>
      <c r="G1639" s="3"/>
      <c r="H1639" s="3"/>
      <c r="I1639" s="100"/>
      <c r="J1639" s="101"/>
      <c r="K1639" s="101"/>
      <c r="L1639" s="101"/>
      <c r="M1639" s="101"/>
      <c r="N1639" s="101"/>
      <c r="O1639" s="101"/>
      <c r="P1639" s="101"/>
      <c r="Q1639" s="101"/>
      <c r="R1639" s="101"/>
      <c r="S1639" s="101"/>
      <c r="T1639" s="101"/>
      <c r="U1639" s="101"/>
      <c r="V1639" s="101"/>
      <c r="W1639" s="101"/>
      <c r="X1639" s="101"/>
      <c r="Y1639" s="101"/>
      <c r="Z1639" s="101"/>
      <c r="AA1639" s="101"/>
      <c r="AB1639" s="101"/>
      <c r="AC1639" s="119"/>
      <c r="AD1639" s="119"/>
      <c r="AE1639" s="120"/>
      <c r="AF1639" s="119"/>
      <c r="AG1639" s="119"/>
      <c r="AH1639" s="120"/>
      <c r="AI1639" s="121"/>
      <c r="AJ1639" s="121"/>
      <c r="AK1639" s="121"/>
      <c r="AL1639" s="121"/>
      <c r="AM1639" s="122"/>
      <c r="AN1639" s="121"/>
      <c r="AP1639" s="87"/>
    </row>
    <row r="1640" spans="1:42">
      <c r="A1640" s="3"/>
      <c r="B1640" s="3"/>
      <c r="C1640" s="3"/>
      <c r="D1640" s="3"/>
      <c r="E1640" s="3"/>
      <c r="F1640" s="3"/>
      <c r="G1640" s="3"/>
      <c r="H1640" s="3"/>
      <c r="I1640" s="100"/>
      <c r="J1640" s="101"/>
      <c r="K1640" s="101"/>
      <c r="L1640" s="101"/>
      <c r="M1640" s="101"/>
      <c r="N1640" s="101"/>
      <c r="O1640" s="101"/>
      <c r="P1640" s="101"/>
      <c r="Q1640" s="101"/>
      <c r="R1640" s="101"/>
      <c r="S1640" s="101"/>
      <c r="T1640" s="101"/>
      <c r="U1640" s="101"/>
      <c r="V1640" s="101"/>
      <c r="W1640" s="101"/>
      <c r="X1640" s="101"/>
      <c r="Y1640" s="101"/>
      <c r="Z1640" s="101"/>
      <c r="AA1640" s="101"/>
      <c r="AB1640" s="101"/>
      <c r="AC1640" s="119"/>
      <c r="AD1640" s="119"/>
      <c r="AE1640" s="120"/>
      <c r="AF1640" s="119"/>
      <c r="AG1640" s="119"/>
      <c r="AH1640" s="120"/>
      <c r="AI1640" s="121"/>
      <c r="AJ1640" s="121"/>
      <c r="AK1640" s="121"/>
      <c r="AL1640" s="121"/>
      <c r="AM1640" s="122"/>
      <c r="AN1640" s="121"/>
      <c r="AP1640" s="87"/>
    </row>
    <row r="1641" spans="1:42">
      <c r="A1641" s="3"/>
      <c r="B1641" s="3"/>
      <c r="C1641" s="3"/>
      <c r="D1641" s="3"/>
      <c r="E1641" s="3"/>
      <c r="F1641" s="3"/>
      <c r="G1641" s="3"/>
      <c r="H1641" s="3"/>
      <c r="I1641" s="100"/>
      <c r="J1641" s="101"/>
      <c r="K1641" s="101"/>
      <c r="L1641" s="101"/>
      <c r="M1641" s="101"/>
      <c r="N1641" s="101"/>
      <c r="O1641" s="101"/>
      <c r="P1641" s="101"/>
      <c r="Q1641" s="101"/>
      <c r="R1641" s="101"/>
      <c r="S1641" s="101"/>
      <c r="T1641" s="101"/>
      <c r="U1641" s="101"/>
      <c r="V1641" s="101"/>
      <c r="W1641" s="101"/>
      <c r="X1641" s="101"/>
      <c r="Y1641" s="101"/>
      <c r="Z1641" s="101"/>
      <c r="AA1641" s="101"/>
      <c r="AB1641" s="101"/>
      <c r="AC1641" s="119"/>
      <c r="AD1641" s="119"/>
      <c r="AE1641" s="120"/>
      <c r="AF1641" s="119"/>
      <c r="AG1641" s="119"/>
      <c r="AH1641" s="120"/>
      <c r="AI1641" s="121"/>
      <c r="AJ1641" s="121"/>
      <c r="AK1641" s="121"/>
      <c r="AL1641" s="121"/>
      <c r="AM1641" s="122"/>
      <c r="AN1641" s="121"/>
      <c r="AP1641" s="87"/>
    </row>
    <row r="1642" spans="1:42">
      <c r="A1642" s="3"/>
      <c r="B1642" s="3"/>
      <c r="C1642" s="3"/>
      <c r="D1642" s="3"/>
      <c r="E1642" s="3"/>
      <c r="F1642" s="3"/>
      <c r="G1642" s="3"/>
      <c r="H1642" s="3"/>
      <c r="I1642" s="100"/>
      <c r="J1642" s="101"/>
      <c r="K1642" s="101"/>
      <c r="L1642" s="101"/>
      <c r="M1642" s="101"/>
      <c r="N1642" s="101"/>
      <c r="O1642" s="101"/>
      <c r="P1642" s="101"/>
      <c r="Q1642" s="101"/>
      <c r="R1642" s="101"/>
      <c r="S1642" s="101"/>
      <c r="T1642" s="101"/>
      <c r="U1642" s="101"/>
      <c r="V1642" s="101"/>
      <c r="W1642" s="101"/>
      <c r="X1642" s="101"/>
      <c r="Y1642" s="101"/>
      <c r="Z1642" s="101"/>
      <c r="AA1642" s="101"/>
      <c r="AB1642" s="101"/>
      <c r="AC1642" s="119"/>
      <c r="AD1642" s="119"/>
      <c r="AE1642" s="120"/>
      <c r="AF1642" s="119"/>
      <c r="AG1642" s="119"/>
      <c r="AH1642" s="120"/>
      <c r="AI1642" s="121"/>
      <c r="AJ1642" s="121"/>
      <c r="AK1642" s="121"/>
      <c r="AL1642" s="121"/>
      <c r="AM1642" s="122"/>
      <c r="AN1642" s="121"/>
      <c r="AP1642" s="87"/>
    </row>
    <row r="1643" spans="1:42">
      <c r="A1643" s="3"/>
      <c r="B1643" s="3"/>
      <c r="C1643" s="3"/>
      <c r="D1643" s="3"/>
      <c r="E1643" s="3"/>
      <c r="F1643" s="3"/>
      <c r="G1643" s="3"/>
      <c r="H1643" s="3"/>
      <c r="I1643" s="100"/>
      <c r="J1643" s="101"/>
      <c r="K1643" s="101"/>
      <c r="L1643" s="101"/>
      <c r="M1643" s="101"/>
      <c r="N1643" s="101"/>
      <c r="O1643" s="101"/>
      <c r="P1643" s="101"/>
      <c r="Q1643" s="101"/>
      <c r="R1643" s="101"/>
      <c r="S1643" s="101"/>
      <c r="T1643" s="101"/>
      <c r="U1643" s="101"/>
      <c r="V1643" s="101"/>
      <c r="W1643" s="101"/>
      <c r="X1643" s="101"/>
      <c r="Y1643" s="101"/>
      <c r="Z1643" s="101"/>
      <c r="AA1643" s="101"/>
      <c r="AB1643" s="101"/>
      <c r="AC1643" s="119"/>
      <c r="AD1643" s="119"/>
      <c r="AE1643" s="120"/>
      <c r="AF1643" s="119"/>
      <c r="AG1643" s="119"/>
      <c r="AH1643" s="120"/>
      <c r="AI1643" s="121"/>
      <c r="AJ1643" s="121"/>
      <c r="AK1643" s="121"/>
      <c r="AL1643" s="121"/>
      <c r="AM1643" s="122"/>
      <c r="AN1643" s="121"/>
      <c r="AP1643" s="87"/>
    </row>
    <row r="1644" spans="1:42">
      <c r="A1644" s="3"/>
      <c r="B1644" s="3"/>
      <c r="C1644" s="3"/>
      <c r="D1644" s="3"/>
      <c r="E1644" s="3"/>
      <c r="F1644" s="3"/>
      <c r="G1644" s="3"/>
      <c r="H1644" s="3"/>
      <c r="I1644" s="100"/>
      <c r="J1644" s="101"/>
      <c r="K1644" s="101"/>
      <c r="L1644" s="101"/>
      <c r="M1644" s="101"/>
      <c r="N1644" s="101"/>
      <c r="O1644" s="101"/>
      <c r="P1644" s="101"/>
      <c r="Q1644" s="101"/>
      <c r="R1644" s="101"/>
      <c r="S1644" s="101"/>
      <c r="T1644" s="101"/>
      <c r="U1644" s="101"/>
      <c r="V1644" s="101"/>
      <c r="W1644" s="101"/>
      <c r="X1644" s="101"/>
      <c r="Y1644" s="101"/>
      <c r="Z1644" s="101"/>
      <c r="AA1644" s="101"/>
      <c r="AB1644" s="101"/>
      <c r="AC1644" s="119"/>
      <c r="AD1644" s="119"/>
      <c r="AE1644" s="120"/>
      <c r="AF1644" s="119"/>
      <c r="AG1644" s="119"/>
      <c r="AH1644" s="120"/>
      <c r="AI1644" s="121"/>
      <c r="AJ1644" s="121"/>
      <c r="AK1644" s="121"/>
      <c r="AL1644" s="121"/>
      <c r="AM1644" s="122"/>
      <c r="AN1644" s="121"/>
      <c r="AP1644" s="87"/>
    </row>
    <row r="1645" spans="1:42">
      <c r="A1645" s="3"/>
      <c r="B1645" s="3"/>
      <c r="C1645" s="3"/>
      <c r="D1645" s="3"/>
      <c r="E1645" s="3"/>
      <c r="F1645" s="3"/>
      <c r="G1645" s="3"/>
      <c r="H1645" s="3"/>
      <c r="I1645" s="100"/>
      <c r="J1645" s="101"/>
      <c r="K1645" s="101"/>
      <c r="L1645" s="101"/>
      <c r="M1645" s="101"/>
      <c r="N1645" s="101"/>
      <c r="O1645" s="101"/>
      <c r="P1645" s="101"/>
      <c r="Q1645" s="101"/>
      <c r="R1645" s="101"/>
      <c r="S1645" s="101"/>
      <c r="T1645" s="101"/>
      <c r="U1645" s="101"/>
      <c r="V1645" s="101"/>
      <c r="W1645" s="101"/>
      <c r="X1645" s="101"/>
      <c r="Y1645" s="101"/>
      <c r="Z1645" s="101"/>
      <c r="AA1645" s="101"/>
      <c r="AB1645" s="101"/>
      <c r="AC1645" s="119"/>
      <c r="AD1645" s="119"/>
      <c r="AE1645" s="120"/>
      <c r="AF1645" s="119"/>
      <c r="AG1645" s="119"/>
      <c r="AH1645" s="120"/>
      <c r="AI1645" s="121"/>
      <c r="AJ1645" s="121"/>
      <c r="AK1645" s="121"/>
      <c r="AL1645" s="121"/>
      <c r="AM1645" s="122"/>
      <c r="AN1645" s="121"/>
      <c r="AP1645" s="87"/>
    </row>
    <row r="1646" spans="1:42">
      <c r="A1646" s="3"/>
      <c r="B1646" s="3"/>
      <c r="C1646" s="3"/>
      <c r="D1646" s="3"/>
      <c r="E1646" s="3"/>
      <c r="F1646" s="3"/>
      <c r="G1646" s="3"/>
      <c r="H1646" s="3"/>
      <c r="I1646" s="100"/>
      <c r="J1646" s="101"/>
      <c r="K1646" s="101"/>
      <c r="L1646" s="101"/>
      <c r="M1646" s="101"/>
      <c r="N1646" s="101"/>
      <c r="O1646" s="101"/>
      <c r="P1646" s="101"/>
      <c r="Q1646" s="101"/>
      <c r="R1646" s="101"/>
      <c r="S1646" s="101"/>
      <c r="T1646" s="101"/>
      <c r="U1646" s="101"/>
      <c r="V1646" s="101"/>
      <c r="W1646" s="101"/>
      <c r="X1646" s="101"/>
      <c r="Y1646" s="101"/>
      <c r="Z1646" s="101"/>
      <c r="AA1646" s="101"/>
      <c r="AB1646" s="101"/>
      <c r="AC1646" s="119"/>
      <c r="AD1646" s="119"/>
      <c r="AE1646" s="120"/>
      <c r="AF1646" s="119"/>
      <c r="AG1646" s="119"/>
      <c r="AH1646" s="120"/>
      <c r="AI1646" s="121"/>
      <c r="AJ1646" s="121"/>
      <c r="AK1646" s="121"/>
      <c r="AL1646" s="121"/>
      <c r="AM1646" s="122"/>
      <c r="AN1646" s="121"/>
      <c r="AP1646" s="87"/>
    </row>
    <row r="1647" spans="1:42">
      <c r="A1647" s="3"/>
      <c r="B1647" s="3"/>
      <c r="C1647" s="3"/>
      <c r="D1647" s="3"/>
      <c r="E1647" s="3"/>
      <c r="F1647" s="3"/>
      <c r="G1647" s="3"/>
      <c r="H1647" s="3"/>
      <c r="I1647" s="100"/>
      <c r="J1647" s="101"/>
      <c r="K1647" s="101"/>
      <c r="L1647" s="101"/>
      <c r="M1647" s="101"/>
      <c r="N1647" s="101"/>
      <c r="O1647" s="101"/>
      <c r="P1647" s="101"/>
      <c r="Q1647" s="101"/>
      <c r="R1647" s="101"/>
      <c r="S1647" s="101"/>
      <c r="T1647" s="101"/>
      <c r="U1647" s="101"/>
      <c r="V1647" s="101"/>
      <c r="W1647" s="101"/>
      <c r="X1647" s="101"/>
      <c r="Y1647" s="101"/>
      <c r="Z1647" s="101"/>
      <c r="AA1647" s="101"/>
      <c r="AB1647" s="101"/>
      <c r="AC1647" s="119"/>
      <c r="AD1647" s="119"/>
      <c r="AE1647" s="120"/>
      <c r="AF1647" s="119"/>
      <c r="AG1647" s="119"/>
      <c r="AH1647" s="120"/>
      <c r="AI1647" s="121"/>
      <c r="AJ1647" s="121"/>
      <c r="AK1647" s="121"/>
      <c r="AL1647" s="121"/>
      <c r="AM1647" s="122"/>
      <c r="AN1647" s="121"/>
      <c r="AP1647" s="87"/>
    </row>
    <row r="1648" spans="1:42">
      <c r="A1648" s="3"/>
      <c r="B1648" s="3"/>
      <c r="C1648" s="3"/>
      <c r="D1648" s="3"/>
      <c r="E1648" s="3"/>
      <c r="F1648" s="3"/>
      <c r="G1648" s="3"/>
      <c r="H1648" s="3"/>
      <c r="I1648" s="100"/>
      <c r="J1648" s="101"/>
      <c r="K1648" s="101"/>
      <c r="L1648" s="101"/>
      <c r="M1648" s="101"/>
      <c r="N1648" s="101"/>
      <c r="O1648" s="101"/>
      <c r="P1648" s="101"/>
      <c r="Q1648" s="101"/>
      <c r="R1648" s="101"/>
      <c r="S1648" s="101"/>
      <c r="T1648" s="101"/>
      <c r="U1648" s="101"/>
      <c r="V1648" s="101"/>
      <c r="W1648" s="101"/>
      <c r="X1648" s="101"/>
      <c r="Y1648" s="101"/>
      <c r="Z1648" s="101"/>
      <c r="AA1648" s="101"/>
      <c r="AB1648" s="101"/>
      <c r="AC1648" s="119"/>
      <c r="AD1648" s="119"/>
      <c r="AE1648" s="120"/>
      <c r="AF1648" s="119"/>
      <c r="AG1648" s="119"/>
      <c r="AH1648" s="120"/>
      <c r="AI1648" s="121"/>
      <c r="AJ1648" s="121"/>
      <c r="AK1648" s="121"/>
      <c r="AL1648" s="121"/>
      <c r="AM1648" s="122"/>
      <c r="AN1648" s="121"/>
      <c r="AP1648" s="87"/>
    </row>
    <row r="1649" spans="1:42">
      <c r="A1649" s="3"/>
      <c r="B1649" s="3"/>
      <c r="C1649" s="3"/>
      <c r="D1649" s="3"/>
      <c r="E1649" s="3"/>
      <c r="F1649" s="3"/>
      <c r="G1649" s="3"/>
      <c r="H1649" s="3"/>
      <c r="I1649" s="100"/>
      <c r="J1649" s="101"/>
      <c r="K1649" s="101"/>
      <c r="L1649" s="101"/>
      <c r="M1649" s="101"/>
      <c r="N1649" s="101"/>
      <c r="O1649" s="101"/>
      <c r="P1649" s="101"/>
      <c r="Q1649" s="101"/>
      <c r="R1649" s="101"/>
      <c r="S1649" s="101"/>
      <c r="T1649" s="101"/>
      <c r="U1649" s="101"/>
      <c r="V1649" s="101"/>
      <c r="W1649" s="101"/>
      <c r="X1649" s="101"/>
      <c r="Y1649" s="101"/>
      <c r="Z1649" s="101"/>
      <c r="AA1649" s="101"/>
      <c r="AB1649" s="101"/>
      <c r="AC1649" s="119"/>
      <c r="AD1649" s="119"/>
      <c r="AE1649" s="120"/>
      <c r="AF1649" s="119"/>
      <c r="AG1649" s="119"/>
      <c r="AH1649" s="120"/>
      <c r="AI1649" s="121"/>
      <c r="AJ1649" s="121"/>
      <c r="AK1649" s="121"/>
      <c r="AL1649" s="121"/>
      <c r="AM1649" s="122"/>
      <c r="AN1649" s="121"/>
      <c r="AP1649" s="87"/>
    </row>
    <row r="1650" spans="1:42">
      <c r="A1650" s="3"/>
      <c r="B1650" s="3"/>
      <c r="C1650" s="3"/>
      <c r="D1650" s="3"/>
      <c r="E1650" s="3"/>
      <c r="F1650" s="3"/>
      <c r="G1650" s="3"/>
      <c r="H1650" s="3"/>
      <c r="I1650" s="100"/>
      <c r="J1650" s="101"/>
      <c r="K1650" s="101"/>
      <c r="L1650" s="101"/>
      <c r="M1650" s="101"/>
      <c r="N1650" s="101"/>
      <c r="O1650" s="101"/>
      <c r="P1650" s="101"/>
      <c r="Q1650" s="101"/>
      <c r="R1650" s="101"/>
      <c r="S1650" s="101"/>
      <c r="T1650" s="101"/>
      <c r="U1650" s="101"/>
      <c r="V1650" s="101"/>
      <c r="W1650" s="101"/>
      <c r="X1650" s="101"/>
      <c r="Y1650" s="101"/>
      <c r="Z1650" s="101"/>
      <c r="AA1650" s="101"/>
      <c r="AB1650" s="101"/>
      <c r="AC1650" s="119"/>
      <c r="AD1650" s="119"/>
      <c r="AE1650" s="120"/>
      <c r="AF1650" s="119"/>
      <c r="AG1650" s="119"/>
      <c r="AH1650" s="120"/>
      <c r="AI1650" s="121"/>
      <c r="AJ1650" s="121"/>
      <c r="AK1650" s="121"/>
      <c r="AL1650" s="121"/>
      <c r="AM1650" s="122"/>
      <c r="AN1650" s="121"/>
      <c r="AP1650" s="87"/>
    </row>
    <row r="1651" spans="1:42">
      <c r="A1651" s="3"/>
      <c r="B1651" s="3"/>
      <c r="C1651" s="3"/>
      <c r="D1651" s="3"/>
      <c r="E1651" s="3"/>
      <c r="F1651" s="3"/>
      <c r="G1651" s="3"/>
      <c r="H1651" s="3"/>
      <c r="I1651" s="100"/>
      <c r="J1651" s="101"/>
      <c r="K1651" s="101"/>
      <c r="L1651" s="101"/>
      <c r="M1651" s="101"/>
      <c r="N1651" s="101"/>
      <c r="O1651" s="101"/>
      <c r="P1651" s="101"/>
      <c r="Q1651" s="101"/>
      <c r="R1651" s="101"/>
      <c r="S1651" s="101"/>
      <c r="T1651" s="101"/>
      <c r="U1651" s="101"/>
      <c r="V1651" s="101"/>
      <c r="W1651" s="101"/>
      <c r="X1651" s="101"/>
      <c r="Y1651" s="101"/>
      <c r="Z1651" s="101"/>
      <c r="AA1651" s="101"/>
      <c r="AB1651" s="101"/>
      <c r="AC1651" s="119"/>
      <c r="AD1651" s="119"/>
      <c r="AE1651" s="120"/>
      <c r="AF1651" s="119"/>
      <c r="AG1651" s="119"/>
      <c r="AH1651" s="120"/>
      <c r="AI1651" s="121"/>
      <c r="AJ1651" s="121"/>
      <c r="AK1651" s="121"/>
      <c r="AL1651" s="121"/>
      <c r="AM1651" s="122"/>
      <c r="AN1651" s="121"/>
      <c r="AP1651" s="87"/>
    </row>
    <row r="1652" spans="1:42">
      <c r="A1652" s="3"/>
      <c r="B1652" s="3"/>
      <c r="C1652" s="3"/>
      <c r="D1652" s="3"/>
      <c r="E1652" s="3"/>
      <c r="F1652" s="3"/>
      <c r="G1652" s="3"/>
      <c r="H1652" s="3"/>
      <c r="I1652" s="100"/>
      <c r="J1652" s="101"/>
      <c r="K1652" s="101"/>
      <c r="L1652" s="101"/>
      <c r="M1652" s="101"/>
      <c r="N1652" s="101"/>
      <c r="O1652" s="101"/>
      <c r="P1652" s="101"/>
      <c r="Q1652" s="101"/>
      <c r="R1652" s="101"/>
      <c r="S1652" s="101"/>
      <c r="T1652" s="101"/>
      <c r="U1652" s="101"/>
      <c r="V1652" s="101"/>
      <c r="W1652" s="101"/>
      <c r="X1652" s="101"/>
      <c r="Y1652" s="101"/>
      <c r="Z1652" s="101"/>
      <c r="AA1652" s="101"/>
      <c r="AB1652" s="101"/>
      <c r="AC1652" s="119"/>
      <c r="AD1652" s="119"/>
      <c r="AE1652" s="120"/>
      <c r="AF1652" s="119"/>
      <c r="AG1652" s="119"/>
      <c r="AH1652" s="120"/>
      <c r="AI1652" s="121"/>
      <c r="AJ1652" s="121"/>
      <c r="AK1652" s="121"/>
      <c r="AL1652" s="121"/>
      <c r="AM1652" s="122"/>
      <c r="AN1652" s="121"/>
      <c r="AP1652" s="87"/>
    </row>
    <row r="1653" spans="1:42">
      <c r="A1653" s="3"/>
      <c r="B1653" s="3"/>
      <c r="C1653" s="3"/>
      <c r="D1653" s="3"/>
      <c r="E1653" s="3"/>
      <c r="F1653" s="3"/>
      <c r="G1653" s="3"/>
      <c r="H1653" s="3"/>
      <c r="I1653" s="100"/>
      <c r="J1653" s="101"/>
      <c r="K1653" s="101"/>
      <c r="L1653" s="101"/>
      <c r="M1653" s="101"/>
      <c r="N1653" s="101"/>
      <c r="O1653" s="101"/>
      <c r="P1653" s="101"/>
      <c r="Q1653" s="101"/>
      <c r="R1653" s="101"/>
      <c r="S1653" s="101"/>
      <c r="T1653" s="101"/>
      <c r="U1653" s="101"/>
      <c r="V1653" s="101"/>
      <c r="W1653" s="101"/>
      <c r="X1653" s="101"/>
      <c r="Y1653" s="101"/>
      <c r="Z1653" s="101"/>
      <c r="AA1653" s="101"/>
      <c r="AB1653" s="101"/>
      <c r="AC1653" s="119"/>
      <c r="AD1653" s="119"/>
      <c r="AE1653" s="120"/>
      <c r="AF1653" s="119"/>
      <c r="AG1653" s="119"/>
      <c r="AH1653" s="120"/>
      <c r="AI1653" s="121"/>
      <c r="AJ1653" s="121"/>
      <c r="AK1653" s="121"/>
      <c r="AL1653" s="121"/>
      <c r="AM1653" s="122"/>
      <c r="AN1653" s="121"/>
      <c r="AP1653" s="87"/>
    </row>
    <row r="1654" spans="1:42">
      <c r="A1654" s="3"/>
      <c r="B1654" s="3"/>
      <c r="C1654" s="3"/>
      <c r="D1654" s="3"/>
      <c r="E1654" s="3"/>
      <c r="F1654" s="3"/>
      <c r="G1654" s="3"/>
      <c r="H1654" s="3"/>
      <c r="I1654" s="100"/>
      <c r="J1654" s="101"/>
      <c r="K1654" s="101"/>
      <c r="L1654" s="101"/>
      <c r="M1654" s="101"/>
      <c r="N1654" s="101"/>
      <c r="O1654" s="101"/>
      <c r="P1654" s="101"/>
      <c r="Q1654" s="101"/>
      <c r="R1654" s="101"/>
      <c r="S1654" s="101"/>
      <c r="T1654" s="101"/>
      <c r="U1654" s="101"/>
      <c r="V1654" s="101"/>
      <c r="W1654" s="101"/>
      <c r="X1654" s="101"/>
      <c r="Y1654" s="101"/>
      <c r="Z1654" s="101"/>
      <c r="AA1654" s="101"/>
      <c r="AB1654" s="101"/>
      <c r="AC1654" s="119"/>
      <c r="AD1654" s="119"/>
      <c r="AE1654" s="120"/>
      <c r="AF1654" s="119"/>
      <c r="AG1654" s="119"/>
      <c r="AH1654" s="120"/>
      <c r="AI1654" s="121"/>
      <c r="AJ1654" s="121"/>
      <c r="AK1654" s="121"/>
      <c r="AL1654" s="121"/>
      <c r="AM1654" s="122"/>
      <c r="AN1654" s="121"/>
      <c r="AP1654" s="87"/>
    </row>
    <row r="1655" spans="1:42">
      <c r="A1655" s="3"/>
      <c r="B1655" s="3"/>
      <c r="C1655" s="3"/>
      <c r="D1655" s="3"/>
      <c r="E1655" s="3"/>
      <c r="F1655" s="3"/>
      <c r="G1655" s="3"/>
      <c r="H1655" s="3"/>
      <c r="I1655" s="100"/>
      <c r="J1655" s="101"/>
      <c r="K1655" s="101"/>
      <c r="L1655" s="101"/>
      <c r="M1655" s="101"/>
      <c r="N1655" s="101"/>
      <c r="O1655" s="101"/>
      <c r="P1655" s="101"/>
      <c r="Q1655" s="101"/>
      <c r="R1655" s="101"/>
      <c r="S1655" s="101"/>
      <c r="T1655" s="101"/>
      <c r="U1655" s="101"/>
      <c r="V1655" s="101"/>
      <c r="W1655" s="101"/>
      <c r="X1655" s="101"/>
      <c r="Y1655" s="101"/>
      <c r="Z1655" s="101"/>
      <c r="AA1655" s="101"/>
      <c r="AB1655" s="101"/>
      <c r="AC1655" s="119"/>
      <c r="AD1655" s="119"/>
      <c r="AE1655" s="120"/>
      <c r="AF1655" s="119"/>
      <c r="AG1655" s="119"/>
      <c r="AH1655" s="120"/>
      <c r="AI1655" s="121"/>
      <c r="AJ1655" s="121"/>
      <c r="AK1655" s="121"/>
      <c r="AL1655" s="121"/>
      <c r="AM1655" s="122"/>
      <c r="AN1655" s="121"/>
      <c r="AP1655" s="87"/>
    </row>
    <row r="1656" spans="1:42">
      <c r="A1656" s="3"/>
      <c r="B1656" s="3"/>
      <c r="C1656" s="3"/>
      <c r="D1656" s="3"/>
      <c r="E1656" s="3"/>
      <c r="F1656" s="3"/>
      <c r="G1656" s="3"/>
      <c r="H1656" s="3"/>
      <c r="I1656" s="100"/>
      <c r="J1656" s="101"/>
      <c r="K1656" s="101"/>
      <c r="L1656" s="101"/>
      <c r="M1656" s="101"/>
      <c r="N1656" s="101"/>
      <c r="O1656" s="101"/>
      <c r="P1656" s="101"/>
      <c r="Q1656" s="101"/>
      <c r="R1656" s="101"/>
      <c r="S1656" s="101"/>
      <c r="T1656" s="101"/>
      <c r="U1656" s="101"/>
      <c r="V1656" s="101"/>
      <c r="W1656" s="101"/>
      <c r="X1656" s="101"/>
      <c r="Y1656" s="101"/>
      <c r="Z1656" s="101"/>
      <c r="AA1656" s="101"/>
      <c r="AB1656" s="101"/>
      <c r="AC1656" s="119"/>
      <c r="AD1656" s="119"/>
      <c r="AE1656" s="120"/>
      <c r="AF1656" s="119"/>
      <c r="AG1656" s="119"/>
      <c r="AH1656" s="120"/>
      <c r="AI1656" s="121"/>
      <c r="AJ1656" s="121"/>
      <c r="AK1656" s="121"/>
      <c r="AL1656" s="121"/>
      <c r="AM1656" s="122"/>
      <c r="AN1656" s="121"/>
      <c r="AP1656" s="87"/>
    </row>
    <row r="1657" spans="1:42">
      <c r="A1657" s="3"/>
      <c r="B1657" s="3"/>
      <c r="C1657" s="3"/>
      <c r="D1657" s="3"/>
      <c r="E1657" s="3"/>
      <c r="F1657" s="3"/>
      <c r="G1657" s="3"/>
      <c r="H1657" s="3"/>
      <c r="I1657" s="100"/>
      <c r="J1657" s="101"/>
      <c r="K1657" s="101"/>
      <c r="L1657" s="101"/>
      <c r="M1657" s="101"/>
      <c r="N1657" s="101"/>
      <c r="O1657" s="101"/>
      <c r="P1657" s="101"/>
      <c r="Q1657" s="101"/>
      <c r="R1657" s="101"/>
      <c r="S1657" s="101"/>
      <c r="T1657" s="101"/>
      <c r="U1657" s="101"/>
      <c r="V1657" s="101"/>
      <c r="W1657" s="101"/>
      <c r="X1657" s="101"/>
      <c r="Y1657" s="101"/>
      <c r="Z1657" s="101"/>
      <c r="AA1657" s="101"/>
      <c r="AB1657" s="101"/>
      <c r="AC1657" s="119"/>
      <c r="AD1657" s="119"/>
      <c r="AE1657" s="120"/>
      <c r="AF1657" s="119"/>
      <c r="AG1657" s="119"/>
      <c r="AH1657" s="120"/>
      <c r="AI1657" s="121"/>
      <c r="AJ1657" s="121"/>
      <c r="AK1657" s="121"/>
      <c r="AL1657" s="121"/>
      <c r="AM1657" s="122"/>
      <c r="AN1657" s="121"/>
      <c r="AP1657" s="87"/>
    </row>
    <row r="1658" spans="1:42">
      <c r="A1658" s="3"/>
      <c r="B1658" s="3"/>
      <c r="C1658" s="3"/>
      <c r="D1658" s="3"/>
      <c r="E1658" s="3"/>
      <c r="F1658" s="3"/>
      <c r="G1658" s="3"/>
      <c r="H1658" s="3"/>
      <c r="I1658" s="100"/>
      <c r="J1658" s="101"/>
      <c r="K1658" s="101"/>
      <c r="L1658" s="101"/>
      <c r="M1658" s="101"/>
      <c r="N1658" s="101"/>
      <c r="O1658" s="101"/>
      <c r="P1658" s="101"/>
      <c r="Q1658" s="101"/>
      <c r="R1658" s="101"/>
      <c r="S1658" s="101"/>
      <c r="T1658" s="101"/>
      <c r="U1658" s="101"/>
      <c r="V1658" s="101"/>
      <c r="W1658" s="101"/>
      <c r="X1658" s="101"/>
      <c r="Y1658" s="101"/>
      <c r="Z1658" s="101"/>
      <c r="AA1658" s="101"/>
      <c r="AB1658" s="101"/>
      <c r="AC1658" s="119"/>
      <c r="AD1658" s="119"/>
      <c r="AE1658" s="120"/>
      <c r="AF1658" s="119"/>
      <c r="AG1658" s="119"/>
      <c r="AH1658" s="120"/>
      <c r="AI1658" s="121"/>
      <c r="AJ1658" s="121"/>
      <c r="AK1658" s="121"/>
      <c r="AL1658" s="121"/>
      <c r="AM1658" s="122"/>
      <c r="AN1658" s="121"/>
      <c r="AP1658" s="87"/>
    </row>
    <row r="1659" spans="1:42">
      <c r="A1659" s="3"/>
      <c r="B1659" s="3"/>
      <c r="C1659" s="3"/>
      <c r="D1659" s="3"/>
      <c r="E1659" s="3"/>
      <c r="F1659" s="3"/>
      <c r="G1659" s="3"/>
      <c r="H1659" s="3"/>
      <c r="I1659" s="100"/>
      <c r="J1659" s="101"/>
      <c r="K1659" s="101"/>
      <c r="L1659" s="101"/>
      <c r="M1659" s="101"/>
      <c r="N1659" s="101"/>
      <c r="O1659" s="101"/>
      <c r="P1659" s="101"/>
      <c r="Q1659" s="101"/>
      <c r="R1659" s="101"/>
      <c r="S1659" s="101"/>
      <c r="T1659" s="101"/>
      <c r="U1659" s="101"/>
      <c r="V1659" s="101"/>
      <c r="W1659" s="101"/>
      <c r="X1659" s="101"/>
      <c r="Y1659" s="101"/>
      <c r="Z1659" s="101"/>
      <c r="AA1659" s="101"/>
      <c r="AB1659" s="101"/>
      <c r="AC1659" s="119"/>
      <c r="AD1659" s="119"/>
      <c r="AE1659" s="120"/>
      <c r="AF1659" s="119"/>
      <c r="AG1659" s="119"/>
      <c r="AH1659" s="120"/>
      <c r="AI1659" s="121"/>
      <c r="AJ1659" s="121"/>
      <c r="AK1659" s="121"/>
      <c r="AL1659" s="121"/>
      <c r="AM1659" s="122"/>
      <c r="AN1659" s="121"/>
      <c r="AP1659" s="87"/>
    </row>
    <row r="1660" spans="1:42">
      <c r="A1660" s="3"/>
      <c r="B1660" s="3"/>
      <c r="C1660" s="3"/>
      <c r="D1660" s="3"/>
      <c r="E1660" s="3"/>
      <c r="F1660" s="3"/>
      <c r="G1660" s="3"/>
      <c r="H1660" s="3"/>
      <c r="I1660" s="100"/>
      <c r="J1660" s="101"/>
      <c r="K1660" s="101"/>
      <c r="L1660" s="101"/>
      <c r="M1660" s="101"/>
      <c r="N1660" s="101"/>
      <c r="O1660" s="101"/>
      <c r="P1660" s="101"/>
      <c r="Q1660" s="101"/>
      <c r="R1660" s="101"/>
      <c r="S1660" s="101"/>
      <c r="T1660" s="101"/>
      <c r="U1660" s="101"/>
      <c r="V1660" s="101"/>
      <c r="W1660" s="101"/>
      <c r="X1660" s="101"/>
      <c r="Y1660" s="101"/>
      <c r="Z1660" s="101"/>
      <c r="AA1660" s="101"/>
      <c r="AB1660" s="101"/>
      <c r="AC1660" s="119"/>
      <c r="AD1660" s="119"/>
      <c r="AE1660" s="120"/>
      <c r="AF1660" s="119"/>
      <c r="AG1660" s="119"/>
      <c r="AH1660" s="120"/>
      <c r="AI1660" s="121"/>
      <c r="AJ1660" s="121"/>
      <c r="AK1660" s="121"/>
      <c r="AL1660" s="121"/>
      <c r="AM1660" s="122"/>
      <c r="AN1660" s="121"/>
      <c r="AP1660" s="87"/>
    </row>
    <row r="1661" spans="1:42">
      <c r="A1661" s="3"/>
      <c r="B1661" s="3"/>
      <c r="C1661" s="3"/>
      <c r="D1661" s="3"/>
      <c r="E1661" s="3"/>
      <c r="F1661" s="3"/>
      <c r="G1661" s="3"/>
      <c r="H1661" s="3"/>
      <c r="I1661" s="100"/>
      <c r="J1661" s="101"/>
      <c r="K1661" s="101"/>
      <c r="L1661" s="101"/>
      <c r="M1661" s="101"/>
      <c r="N1661" s="101"/>
      <c r="O1661" s="101"/>
      <c r="P1661" s="101"/>
      <c r="Q1661" s="101"/>
      <c r="R1661" s="101"/>
      <c r="S1661" s="101"/>
      <c r="T1661" s="101"/>
      <c r="U1661" s="101"/>
      <c r="V1661" s="101"/>
      <c r="W1661" s="101"/>
      <c r="X1661" s="101"/>
      <c r="Y1661" s="101"/>
      <c r="Z1661" s="101"/>
      <c r="AA1661" s="101"/>
      <c r="AB1661" s="101"/>
      <c r="AC1661" s="119"/>
      <c r="AD1661" s="119"/>
      <c r="AE1661" s="120"/>
      <c r="AF1661" s="119"/>
      <c r="AG1661" s="119"/>
      <c r="AH1661" s="120"/>
      <c r="AI1661" s="121"/>
      <c r="AJ1661" s="121"/>
      <c r="AK1661" s="121"/>
      <c r="AL1661" s="121"/>
      <c r="AM1661" s="122"/>
      <c r="AN1661" s="121"/>
      <c r="AP1661" s="87"/>
    </row>
    <row r="1662" spans="1:42">
      <c r="A1662" s="3"/>
      <c r="B1662" s="3"/>
      <c r="C1662" s="3"/>
      <c r="D1662" s="3"/>
      <c r="E1662" s="3"/>
      <c r="F1662" s="3"/>
      <c r="G1662" s="3"/>
      <c r="H1662" s="3"/>
      <c r="I1662" s="100"/>
      <c r="J1662" s="101"/>
      <c r="K1662" s="101"/>
      <c r="L1662" s="101"/>
      <c r="M1662" s="101"/>
      <c r="N1662" s="101"/>
      <c r="O1662" s="101"/>
      <c r="P1662" s="101"/>
      <c r="Q1662" s="101"/>
      <c r="R1662" s="101"/>
      <c r="S1662" s="101"/>
      <c r="T1662" s="101"/>
      <c r="U1662" s="101"/>
      <c r="V1662" s="101"/>
      <c r="W1662" s="101"/>
      <c r="X1662" s="101"/>
      <c r="Y1662" s="101"/>
      <c r="Z1662" s="101"/>
      <c r="AA1662" s="101"/>
      <c r="AB1662" s="101"/>
      <c r="AC1662" s="119"/>
      <c r="AD1662" s="119"/>
      <c r="AE1662" s="120"/>
      <c r="AF1662" s="119"/>
      <c r="AG1662" s="119"/>
      <c r="AH1662" s="120"/>
      <c r="AI1662" s="121"/>
      <c r="AJ1662" s="121"/>
      <c r="AK1662" s="121"/>
      <c r="AL1662" s="121"/>
      <c r="AM1662" s="122"/>
      <c r="AN1662" s="121"/>
      <c r="AP1662" s="87"/>
    </row>
    <row r="1663" spans="1:42">
      <c r="A1663" s="3"/>
      <c r="B1663" s="3"/>
      <c r="C1663" s="3"/>
      <c r="D1663" s="3"/>
      <c r="E1663" s="3"/>
      <c r="F1663" s="3"/>
      <c r="G1663" s="3"/>
      <c r="H1663" s="3"/>
      <c r="I1663" s="100"/>
      <c r="J1663" s="101"/>
      <c r="K1663" s="101"/>
      <c r="L1663" s="101"/>
      <c r="M1663" s="101"/>
      <c r="N1663" s="101"/>
      <c r="O1663" s="101"/>
      <c r="P1663" s="101"/>
      <c r="Q1663" s="101"/>
      <c r="R1663" s="101"/>
      <c r="S1663" s="101"/>
      <c r="T1663" s="101"/>
      <c r="U1663" s="101"/>
      <c r="V1663" s="101"/>
      <c r="W1663" s="101"/>
      <c r="X1663" s="101"/>
      <c r="Y1663" s="101"/>
      <c r="Z1663" s="101"/>
      <c r="AA1663" s="101"/>
      <c r="AB1663" s="101"/>
      <c r="AC1663" s="119"/>
      <c r="AD1663" s="119"/>
      <c r="AE1663" s="120"/>
      <c r="AF1663" s="119"/>
      <c r="AG1663" s="119"/>
      <c r="AH1663" s="120"/>
      <c r="AI1663" s="121"/>
      <c r="AJ1663" s="121"/>
      <c r="AK1663" s="121"/>
      <c r="AL1663" s="121"/>
      <c r="AM1663" s="122"/>
      <c r="AN1663" s="121"/>
      <c r="AP1663" s="87"/>
    </row>
    <row r="1664" spans="1:42">
      <c r="A1664" s="3"/>
      <c r="B1664" s="3"/>
      <c r="C1664" s="3"/>
      <c r="D1664" s="3"/>
      <c r="E1664" s="3"/>
      <c r="F1664" s="3"/>
      <c r="G1664" s="3"/>
      <c r="H1664" s="3"/>
      <c r="I1664" s="100"/>
      <c r="J1664" s="101"/>
      <c r="K1664" s="101"/>
      <c r="L1664" s="101"/>
      <c r="M1664" s="101"/>
      <c r="N1664" s="101"/>
      <c r="O1664" s="101"/>
      <c r="P1664" s="101"/>
      <c r="Q1664" s="101"/>
      <c r="R1664" s="101"/>
      <c r="S1664" s="101"/>
      <c r="T1664" s="101"/>
      <c r="U1664" s="101"/>
      <c r="V1664" s="101"/>
      <c r="W1664" s="101"/>
      <c r="X1664" s="101"/>
      <c r="Y1664" s="101"/>
      <c r="Z1664" s="101"/>
      <c r="AA1664" s="101"/>
      <c r="AB1664" s="101"/>
      <c r="AC1664" s="119"/>
      <c r="AD1664" s="119"/>
      <c r="AE1664" s="120"/>
      <c r="AF1664" s="119"/>
      <c r="AG1664" s="119"/>
      <c r="AH1664" s="120"/>
      <c r="AI1664" s="121"/>
      <c r="AJ1664" s="121"/>
      <c r="AK1664" s="121"/>
      <c r="AL1664" s="121"/>
      <c r="AM1664" s="122"/>
      <c r="AN1664" s="121"/>
      <c r="AP1664" s="87"/>
    </row>
    <row r="1665" spans="1:42">
      <c r="A1665" s="3"/>
      <c r="B1665" s="3"/>
      <c r="C1665" s="3"/>
      <c r="D1665" s="3"/>
      <c r="E1665" s="3"/>
      <c r="F1665" s="3"/>
      <c r="G1665" s="3"/>
      <c r="H1665" s="3"/>
      <c r="I1665" s="100"/>
      <c r="J1665" s="101"/>
      <c r="K1665" s="101"/>
      <c r="L1665" s="101"/>
      <c r="M1665" s="101"/>
      <c r="N1665" s="101"/>
      <c r="O1665" s="101"/>
      <c r="P1665" s="101"/>
      <c r="Q1665" s="101"/>
      <c r="R1665" s="101"/>
      <c r="S1665" s="101"/>
      <c r="T1665" s="101"/>
      <c r="U1665" s="101"/>
      <c r="V1665" s="101"/>
      <c r="W1665" s="101"/>
      <c r="X1665" s="101"/>
      <c r="Y1665" s="101"/>
      <c r="Z1665" s="101"/>
      <c r="AA1665" s="101"/>
      <c r="AB1665" s="101"/>
      <c r="AC1665" s="119"/>
      <c r="AD1665" s="119"/>
      <c r="AE1665" s="120"/>
      <c r="AF1665" s="119"/>
      <c r="AG1665" s="119"/>
      <c r="AH1665" s="120"/>
      <c r="AI1665" s="121"/>
      <c r="AJ1665" s="121"/>
      <c r="AK1665" s="121"/>
      <c r="AL1665" s="121"/>
      <c r="AM1665" s="122"/>
      <c r="AN1665" s="121"/>
      <c r="AP1665" s="87"/>
    </row>
    <row r="1666" spans="1:42">
      <c r="A1666" s="3"/>
      <c r="B1666" s="3"/>
      <c r="C1666" s="3"/>
      <c r="D1666" s="3"/>
      <c r="E1666" s="3"/>
      <c r="F1666" s="3"/>
      <c r="G1666" s="3"/>
      <c r="H1666" s="3"/>
      <c r="I1666" s="100"/>
      <c r="J1666" s="101"/>
      <c r="K1666" s="101"/>
      <c r="L1666" s="101"/>
      <c r="M1666" s="101"/>
      <c r="N1666" s="101"/>
      <c r="O1666" s="101"/>
      <c r="P1666" s="101"/>
      <c r="Q1666" s="101"/>
      <c r="R1666" s="101"/>
      <c r="S1666" s="101"/>
      <c r="T1666" s="101"/>
      <c r="U1666" s="101"/>
      <c r="V1666" s="101"/>
      <c r="W1666" s="101"/>
      <c r="X1666" s="101"/>
      <c r="Y1666" s="101"/>
      <c r="Z1666" s="101"/>
      <c r="AA1666" s="101"/>
      <c r="AB1666" s="101"/>
      <c r="AC1666" s="119"/>
      <c r="AD1666" s="119"/>
      <c r="AE1666" s="120"/>
      <c r="AF1666" s="119"/>
      <c r="AG1666" s="119"/>
      <c r="AH1666" s="120"/>
      <c r="AI1666" s="121"/>
      <c r="AJ1666" s="121"/>
      <c r="AK1666" s="121"/>
      <c r="AL1666" s="121"/>
      <c r="AM1666" s="122"/>
      <c r="AN1666" s="121"/>
      <c r="AP1666" s="87"/>
    </row>
    <row r="1667" spans="1:42">
      <c r="A1667" s="3"/>
      <c r="B1667" s="3"/>
      <c r="C1667" s="3"/>
      <c r="D1667" s="3"/>
      <c r="E1667" s="3"/>
      <c r="F1667" s="3"/>
      <c r="G1667" s="3"/>
      <c r="H1667" s="3"/>
      <c r="I1667" s="100"/>
      <c r="J1667" s="101"/>
      <c r="K1667" s="101"/>
      <c r="L1667" s="101"/>
      <c r="M1667" s="101"/>
      <c r="N1667" s="101"/>
      <c r="O1667" s="101"/>
      <c r="P1667" s="101"/>
      <c r="Q1667" s="101"/>
      <c r="R1667" s="101"/>
      <c r="S1667" s="101"/>
      <c r="T1667" s="101"/>
      <c r="U1667" s="101"/>
      <c r="V1667" s="101"/>
      <c r="W1667" s="101"/>
      <c r="X1667" s="101"/>
      <c r="Y1667" s="101"/>
      <c r="Z1667" s="101"/>
      <c r="AA1667" s="101"/>
      <c r="AB1667" s="101"/>
      <c r="AC1667" s="119"/>
      <c r="AD1667" s="119"/>
      <c r="AE1667" s="120"/>
      <c r="AF1667" s="119"/>
      <c r="AG1667" s="119"/>
      <c r="AH1667" s="120"/>
      <c r="AI1667" s="121"/>
      <c r="AJ1667" s="121"/>
      <c r="AK1667" s="121"/>
      <c r="AL1667" s="121"/>
      <c r="AM1667" s="122"/>
      <c r="AN1667" s="121"/>
      <c r="AP1667" s="87"/>
    </row>
    <row r="1668" spans="1:42">
      <c r="A1668" s="3"/>
      <c r="B1668" s="3"/>
      <c r="C1668" s="3"/>
      <c r="D1668" s="3"/>
      <c r="E1668" s="3"/>
      <c r="F1668" s="3"/>
      <c r="G1668" s="3"/>
      <c r="H1668" s="3"/>
      <c r="I1668" s="100"/>
      <c r="J1668" s="101"/>
      <c r="K1668" s="101"/>
      <c r="L1668" s="101"/>
      <c r="M1668" s="101"/>
      <c r="N1668" s="101"/>
      <c r="O1668" s="101"/>
      <c r="P1668" s="101"/>
      <c r="Q1668" s="101"/>
      <c r="R1668" s="101"/>
      <c r="S1668" s="101"/>
      <c r="T1668" s="101"/>
      <c r="U1668" s="101"/>
      <c r="V1668" s="101"/>
      <c r="W1668" s="101"/>
      <c r="X1668" s="101"/>
      <c r="Y1668" s="101"/>
      <c r="Z1668" s="101"/>
      <c r="AA1668" s="101"/>
      <c r="AB1668" s="101"/>
      <c r="AC1668" s="119"/>
      <c r="AD1668" s="119"/>
      <c r="AE1668" s="120"/>
      <c r="AF1668" s="119"/>
      <c r="AG1668" s="119"/>
      <c r="AH1668" s="120"/>
      <c r="AI1668" s="121"/>
      <c r="AJ1668" s="121"/>
      <c r="AK1668" s="121"/>
      <c r="AL1668" s="121"/>
      <c r="AM1668" s="122"/>
      <c r="AN1668" s="121"/>
      <c r="AP1668" s="87"/>
    </row>
    <row r="1669" spans="1:42">
      <c r="A1669" s="3"/>
      <c r="B1669" s="3"/>
      <c r="C1669" s="3"/>
      <c r="D1669" s="3"/>
      <c r="E1669" s="3"/>
      <c r="F1669" s="3"/>
      <c r="G1669" s="3"/>
      <c r="H1669" s="3"/>
      <c r="I1669" s="100"/>
      <c r="J1669" s="101"/>
      <c r="K1669" s="101"/>
      <c r="L1669" s="101"/>
      <c r="M1669" s="101"/>
      <c r="N1669" s="101"/>
      <c r="O1669" s="101"/>
      <c r="P1669" s="101"/>
      <c r="Q1669" s="101"/>
      <c r="R1669" s="101"/>
      <c r="S1669" s="101"/>
      <c r="T1669" s="101"/>
      <c r="U1669" s="101"/>
      <c r="V1669" s="101"/>
      <c r="W1669" s="101"/>
      <c r="X1669" s="101"/>
      <c r="Y1669" s="101"/>
      <c r="Z1669" s="101"/>
      <c r="AA1669" s="101"/>
      <c r="AB1669" s="101"/>
      <c r="AC1669" s="119"/>
      <c r="AD1669" s="119"/>
      <c r="AE1669" s="120"/>
      <c r="AF1669" s="119"/>
      <c r="AG1669" s="119"/>
      <c r="AH1669" s="120"/>
      <c r="AI1669" s="121"/>
      <c r="AJ1669" s="121"/>
      <c r="AK1669" s="121"/>
      <c r="AL1669" s="121"/>
      <c r="AM1669" s="122"/>
      <c r="AN1669" s="121"/>
      <c r="AP1669" s="87"/>
    </row>
    <row r="1670" spans="1:42">
      <c r="A1670" s="3"/>
      <c r="B1670" s="3"/>
      <c r="C1670" s="3"/>
      <c r="D1670" s="3"/>
      <c r="E1670" s="3"/>
      <c r="F1670" s="3"/>
      <c r="G1670" s="3"/>
      <c r="H1670" s="3"/>
      <c r="I1670" s="100"/>
      <c r="J1670" s="101"/>
      <c r="K1670" s="101"/>
      <c r="L1670" s="101"/>
      <c r="M1670" s="101"/>
      <c r="N1670" s="101"/>
      <c r="O1670" s="101"/>
      <c r="P1670" s="101"/>
      <c r="Q1670" s="101"/>
      <c r="R1670" s="101"/>
      <c r="S1670" s="101"/>
      <c r="T1670" s="101"/>
      <c r="U1670" s="101"/>
      <c r="V1670" s="101"/>
      <c r="W1670" s="101"/>
      <c r="X1670" s="101"/>
      <c r="Y1670" s="101"/>
      <c r="Z1670" s="101"/>
      <c r="AA1670" s="101"/>
      <c r="AB1670" s="101"/>
      <c r="AC1670" s="119"/>
      <c r="AD1670" s="119"/>
      <c r="AE1670" s="120"/>
      <c r="AF1670" s="119"/>
      <c r="AG1670" s="119"/>
      <c r="AH1670" s="120"/>
      <c r="AI1670" s="121"/>
      <c r="AJ1670" s="121"/>
      <c r="AK1670" s="121"/>
      <c r="AL1670" s="121"/>
      <c r="AM1670" s="122"/>
      <c r="AN1670" s="121"/>
      <c r="AP1670" s="87"/>
    </row>
    <row r="1671" spans="1:42">
      <c r="A1671" s="3"/>
      <c r="B1671" s="3"/>
      <c r="C1671" s="3"/>
      <c r="D1671" s="3"/>
      <c r="E1671" s="3"/>
      <c r="F1671" s="3"/>
      <c r="G1671" s="3"/>
      <c r="H1671" s="3"/>
      <c r="I1671" s="100"/>
      <c r="J1671" s="101"/>
      <c r="K1671" s="101"/>
      <c r="L1671" s="101"/>
      <c r="M1671" s="101"/>
      <c r="N1671" s="101"/>
      <c r="O1671" s="101"/>
      <c r="P1671" s="101"/>
      <c r="Q1671" s="101"/>
      <c r="R1671" s="101"/>
      <c r="S1671" s="101"/>
      <c r="T1671" s="101"/>
      <c r="U1671" s="101"/>
      <c r="V1671" s="101"/>
      <c r="W1671" s="101"/>
      <c r="X1671" s="101"/>
      <c r="Y1671" s="101"/>
      <c r="Z1671" s="101"/>
      <c r="AA1671" s="101"/>
      <c r="AB1671" s="101"/>
      <c r="AC1671" s="119"/>
      <c r="AD1671" s="119"/>
      <c r="AE1671" s="120"/>
      <c r="AF1671" s="119"/>
      <c r="AG1671" s="119"/>
      <c r="AH1671" s="120"/>
      <c r="AI1671" s="121"/>
      <c r="AJ1671" s="121"/>
      <c r="AK1671" s="121"/>
      <c r="AL1671" s="121"/>
      <c r="AM1671" s="122"/>
      <c r="AN1671" s="121"/>
      <c r="AP1671" s="87"/>
    </row>
    <row r="1672" spans="1:42">
      <c r="A1672" s="3"/>
      <c r="B1672" s="3"/>
      <c r="C1672" s="3"/>
      <c r="D1672" s="3"/>
      <c r="E1672" s="3"/>
      <c r="F1672" s="3"/>
      <c r="G1672" s="3"/>
      <c r="H1672" s="3"/>
      <c r="I1672" s="100"/>
      <c r="J1672" s="101"/>
      <c r="K1672" s="101"/>
      <c r="L1672" s="101"/>
      <c r="M1672" s="101"/>
      <c r="N1672" s="101"/>
      <c r="O1672" s="101"/>
      <c r="P1672" s="101"/>
      <c r="Q1672" s="101"/>
      <c r="R1672" s="101"/>
      <c r="S1672" s="101"/>
      <c r="T1672" s="101"/>
      <c r="U1672" s="101"/>
      <c r="V1672" s="101"/>
      <c r="W1672" s="101"/>
      <c r="X1672" s="101"/>
      <c r="Y1672" s="101"/>
      <c r="Z1672" s="101"/>
      <c r="AA1672" s="101"/>
      <c r="AB1672" s="101"/>
      <c r="AC1672" s="119"/>
      <c r="AD1672" s="119"/>
      <c r="AE1672" s="120"/>
      <c r="AF1672" s="119"/>
      <c r="AG1672" s="119"/>
      <c r="AH1672" s="120"/>
      <c r="AI1672" s="121"/>
      <c r="AJ1672" s="121"/>
      <c r="AK1672" s="121"/>
      <c r="AL1672" s="121"/>
      <c r="AM1672" s="122"/>
      <c r="AN1672" s="121"/>
      <c r="AP1672" s="87"/>
    </row>
    <row r="1673" spans="1:42">
      <c r="A1673" s="3"/>
      <c r="B1673" s="3"/>
      <c r="C1673" s="3"/>
      <c r="D1673" s="3"/>
      <c r="E1673" s="3"/>
      <c r="F1673" s="3"/>
      <c r="G1673" s="3"/>
      <c r="H1673" s="3"/>
      <c r="I1673" s="100"/>
      <c r="J1673" s="101"/>
      <c r="K1673" s="101"/>
      <c r="L1673" s="101"/>
      <c r="M1673" s="101"/>
      <c r="N1673" s="101"/>
      <c r="O1673" s="101"/>
      <c r="P1673" s="101"/>
      <c r="Q1673" s="101"/>
      <c r="R1673" s="101"/>
      <c r="S1673" s="101"/>
      <c r="T1673" s="101"/>
      <c r="U1673" s="101"/>
      <c r="V1673" s="101"/>
      <c r="W1673" s="101"/>
      <c r="X1673" s="101"/>
      <c r="Y1673" s="101"/>
      <c r="Z1673" s="101"/>
      <c r="AA1673" s="101"/>
      <c r="AB1673" s="101"/>
      <c r="AC1673" s="119"/>
      <c r="AD1673" s="119"/>
      <c r="AE1673" s="120"/>
      <c r="AF1673" s="119"/>
      <c r="AG1673" s="119"/>
      <c r="AH1673" s="120"/>
      <c r="AI1673" s="121"/>
      <c r="AJ1673" s="121"/>
      <c r="AK1673" s="121"/>
      <c r="AL1673" s="121"/>
      <c r="AM1673" s="122"/>
      <c r="AN1673" s="121"/>
      <c r="AP1673" s="87"/>
    </row>
    <row r="1674" spans="1:42">
      <c r="A1674" s="3"/>
      <c r="B1674" s="3"/>
      <c r="C1674" s="3"/>
      <c r="D1674" s="3"/>
      <c r="E1674" s="3"/>
      <c r="F1674" s="3"/>
      <c r="G1674" s="3"/>
      <c r="H1674" s="3"/>
      <c r="I1674" s="100"/>
      <c r="J1674" s="101"/>
      <c r="K1674" s="101"/>
      <c r="L1674" s="101"/>
      <c r="M1674" s="101"/>
      <c r="N1674" s="101"/>
      <c r="O1674" s="101"/>
      <c r="P1674" s="101"/>
      <c r="Q1674" s="101"/>
      <c r="R1674" s="101"/>
      <c r="S1674" s="101"/>
      <c r="T1674" s="101"/>
      <c r="U1674" s="101"/>
      <c r="V1674" s="101"/>
      <c r="W1674" s="101"/>
      <c r="X1674" s="101"/>
      <c r="Y1674" s="101"/>
      <c r="Z1674" s="101"/>
      <c r="AA1674" s="101"/>
      <c r="AB1674" s="101"/>
      <c r="AC1674" s="119"/>
      <c r="AD1674" s="119"/>
      <c r="AE1674" s="120"/>
      <c r="AF1674" s="119"/>
      <c r="AG1674" s="119"/>
      <c r="AH1674" s="120"/>
      <c r="AI1674" s="121"/>
      <c r="AJ1674" s="121"/>
      <c r="AK1674" s="121"/>
      <c r="AL1674" s="121"/>
      <c r="AM1674" s="122"/>
      <c r="AN1674" s="121"/>
      <c r="AP1674" s="87"/>
    </row>
    <row r="1675" spans="1:42">
      <c r="A1675" s="3"/>
      <c r="B1675" s="3"/>
      <c r="C1675" s="3"/>
      <c r="D1675" s="3"/>
      <c r="E1675" s="3"/>
      <c r="F1675" s="3"/>
      <c r="G1675" s="3"/>
      <c r="H1675" s="3"/>
      <c r="I1675" s="100"/>
      <c r="J1675" s="101"/>
      <c r="K1675" s="101"/>
      <c r="L1675" s="101"/>
      <c r="M1675" s="101"/>
      <c r="N1675" s="101"/>
      <c r="O1675" s="101"/>
      <c r="P1675" s="101"/>
      <c r="Q1675" s="101"/>
      <c r="R1675" s="101"/>
      <c r="S1675" s="101"/>
      <c r="T1675" s="101"/>
      <c r="U1675" s="101"/>
      <c r="V1675" s="101"/>
      <c r="W1675" s="101"/>
      <c r="X1675" s="101"/>
      <c r="Y1675" s="101"/>
      <c r="Z1675" s="101"/>
      <c r="AA1675" s="101"/>
      <c r="AB1675" s="101"/>
      <c r="AC1675" s="119"/>
      <c r="AD1675" s="119"/>
      <c r="AE1675" s="120"/>
      <c r="AF1675" s="119"/>
      <c r="AG1675" s="119"/>
      <c r="AH1675" s="120"/>
      <c r="AI1675" s="121"/>
      <c r="AJ1675" s="121"/>
      <c r="AK1675" s="121"/>
      <c r="AL1675" s="121"/>
      <c r="AM1675" s="122"/>
      <c r="AN1675" s="121"/>
      <c r="AP1675" s="87"/>
    </row>
    <row r="1676" spans="1:42">
      <c r="A1676" s="3"/>
      <c r="B1676" s="3"/>
      <c r="C1676" s="3"/>
      <c r="D1676" s="3"/>
      <c r="E1676" s="3"/>
      <c r="F1676" s="3"/>
      <c r="G1676" s="3"/>
      <c r="H1676" s="3"/>
      <c r="I1676" s="100"/>
      <c r="J1676" s="101"/>
      <c r="K1676" s="101"/>
      <c r="L1676" s="101"/>
      <c r="M1676" s="101"/>
      <c r="N1676" s="101"/>
      <c r="O1676" s="101"/>
      <c r="P1676" s="101"/>
      <c r="Q1676" s="101"/>
      <c r="R1676" s="101"/>
      <c r="S1676" s="101"/>
      <c r="T1676" s="101"/>
      <c r="U1676" s="101"/>
      <c r="V1676" s="101"/>
      <c r="W1676" s="101"/>
      <c r="X1676" s="101"/>
      <c r="Y1676" s="101"/>
      <c r="Z1676" s="101"/>
      <c r="AA1676" s="101"/>
      <c r="AB1676" s="101"/>
      <c r="AC1676" s="119"/>
      <c r="AD1676" s="119"/>
      <c r="AE1676" s="120"/>
      <c r="AF1676" s="119"/>
      <c r="AG1676" s="119"/>
      <c r="AH1676" s="120"/>
      <c r="AI1676" s="121"/>
      <c r="AJ1676" s="121"/>
      <c r="AK1676" s="121"/>
      <c r="AL1676" s="121"/>
      <c r="AM1676" s="122"/>
      <c r="AN1676" s="121"/>
      <c r="AP1676" s="87"/>
    </row>
    <row r="1677" spans="1:42">
      <c r="A1677" s="3"/>
      <c r="B1677" s="3"/>
      <c r="C1677" s="3"/>
      <c r="D1677" s="3"/>
      <c r="E1677" s="3"/>
      <c r="F1677" s="3"/>
      <c r="G1677" s="3"/>
      <c r="H1677" s="3"/>
      <c r="I1677" s="100"/>
      <c r="J1677" s="101"/>
      <c r="K1677" s="101"/>
      <c r="L1677" s="101"/>
      <c r="M1677" s="101"/>
      <c r="N1677" s="101"/>
      <c r="O1677" s="101"/>
      <c r="P1677" s="101"/>
      <c r="Q1677" s="101"/>
      <c r="R1677" s="101"/>
      <c r="S1677" s="101"/>
      <c r="T1677" s="101"/>
      <c r="U1677" s="101"/>
      <c r="V1677" s="101"/>
      <c r="W1677" s="101"/>
      <c r="X1677" s="101"/>
      <c r="Y1677" s="101"/>
      <c r="Z1677" s="101"/>
      <c r="AA1677" s="101"/>
      <c r="AB1677" s="101"/>
      <c r="AC1677" s="119"/>
      <c r="AD1677" s="119"/>
      <c r="AE1677" s="120"/>
      <c r="AF1677" s="119"/>
      <c r="AG1677" s="119"/>
      <c r="AH1677" s="120"/>
      <c r="AI1677" s="121"/>
      <c r="AJ1677" s="121"/>
      <c r="AK1677" s="121"/>
      <c r="AL1677" s="121"/>
      <c r="AM1677" s="122"/>
      <c r="AN1677" s="121"/>
      <c r="AP1677" s="87"/>
    </row>
    <row r="1678" spans="1:42">
      <c r="A1678" s="3"/>
      <c r="B1678" s="3"/>
      <c r="C1678" s="3"/>
      <c r="D1678" s="3"/>
      <c r="E1678" s="3"/>
      <c r="F1678" s="3"/>
      <c r="G1678" s="3"/>
      <c r="H1678" s="3"/>
      <c r="I1678" s="100"/>
      <c r="J1678" s="101"/>
      <c r="K1678" s="101"/>
      <c r="L1678" s="101"/>
      <c r="M1678" s="101"/>
      <c r="N1678" s="101"/>
      <c r="O1678" s="101"/>
      <c r="P1678" s="101"/>
      <c r="Q1678" s="101"/>
      <c r="R1678" s="101"/>
      <c r="S1678" s="101"/>
      <c r="T1678" s="101"/>
      <c r="U1678" s="101"/>
      <c r="V1678" s="101"/>
      <c r="W1678" s="101"/>
      <c r="X1678" s="101"/>
      <c r="Y1678" s="101"/>
      <c r="Z1678" s="101"/>
      <c r="AA1678" s="101"/>
      <c r="AB1678" s="101"/>
      <c r="AC1678" s="119"/>
      <c r="AD1678" s="119"/>
      <c r="AE1678" s="120"/>
      <c r="AF1678" s="119"/>
      <c r="AG1678" s="119"/>
      <c r="AH1678" s="120"/>
      <c r="AI1678" s="121"/>
      <c r="AJ1678" s="121"/>
      <c r="AK1678" s="121"/>
      <c r="AL1678" s="121"/>
      <c r="AM1678" s="122"/>
      <c r="AN1678" s="121"/>
      <c r="AP1678" s="87"/>
    </row>
    <row r="1679" spans="1:42">
      <c r="A1679" s="3"/>
      <c r="B1679" s="3"/>
      <c r="C1679" s="3"/>
      <c r="D1679" s="3"/>
      <c r="E1679" s="3"/>
      <c r="F1679" s="3"/>
      <c r="G1679" s="3"/>
      <c r="H1679" s="3"/>
      <c r="I1679" s="100"/>
      <c r="J1679" s="101"/>
      <c r="K1679" s="101"/>
      <c r="L1679" s="101"/>
      <c r="M1679" s="101"/>
      <c r="N1679" s="101"/>
      <c r="O1679" s="101"/>
      <c r="P1679" s="101"/>
      <c r="Q1679" s="101"/>
      <c r="R1679" s="101"/>
      <c r="S1679" s="101"/>
      <c r="T1679" s="101"/>
      <c r="U1679" s="101"/>
      <c r="V1679" s="101"/>
      <c r="W1679" s="101"/>
      <c r="X1679" s="101"/>
      <c r="Y1679" s="101"/>
      <c r="Z1679" s="101"/>
      <c r="AA1679" s="101"/>
      <c r="AB1679" s="101"/>
      <c r="AC1679" s="119"/>
      <c r="AD1679" s="119"/>
      <c r="AE1679" s="120"/>
      <c r="AF1679" s="119"/>
      <c r="AG1679" s="119"/>
      <c r="AH1679" s="120"/>
      <c r="AI1679" s="121"/>
      <c r="AJ1679" s="121"/>
      <c r="AK1679" s="121"/>
      <c r="AL1679" s="121"/>
      <c r="AM1679" s="122"/>
      <c r="AN1679" s="121"/>
      <c r="AP1679" s="87"/>
    </row>
    <row r="1680" spans="1:42">
      <c r="A1680" s="3"/>
      <c r="B1680" s="3"/>
      <c r="C1680" s="3"/>
      <c r="D1680" s="3"/>
      <c r="E1680" s="3"/>
      <c r="F1680" s="3"/>
      <c r="G1680" s="3"/>
      <c r="H1680" s="3"/>
      <c r="I1680" s="100"/>
      <c r="J1680" s="101"/>
      <c r="K1680" s="101"/>
      <c r="L1680" s="101"/>
      <c r="M1680" s="101"/>
      <c r="N1680" s="101"/>
      <c r="O1680" s="101"/>
      <c r="P1680" s="101"/>
      <c r="Q1680" s="101"/>
      <c r="R1680" s="101"/>
      <c r="S1680" s="101"/>
      <c r="T1680" s="101"/>
      <c r="U1680" s="101"/>
      <c r="V1680" s="101"/>
      <c r="W1680" s="101"/>
      <c r="X1680" s="101"/>
      <c r="Y1680" s="101"/>
      <c r="Z1680" s="101"/>
      <c r="AA1680" s="101"/>
      <c r="AB1680" s="101"/>
      <c r="AC1680" s="119"/>
      <c r="AD1680" s="119"/>
      <c r="AE1680" s="120"/>
      <c r="AF1680" s="119"/>
      <c r="AG1680" s="119"/>
      <c r="AH1680" s="120"/>
      <c r="AI1680" s="121"/>
      <c r="AJ1680" s="121"/>
      <c r="AK1680" s="121"/>
      <c r="AL1680" s="121"/>
      <c r="AM1680" s="122"/>
      <c r="AN1680" s="121"/>
      <c r="AP1680" s="87"/>
    </row>
    <row r="1681" spans="1:42">
      <c r="A1681" s="3"/>
      <c r="B1681" s="3"/>
      <c r="C1681" s="3"/>
      <c r="D1681" s="3"/>
      <c r="E1681" s="3"/>
      <c r="F1681" s="3"/>
      <c r="G1681" s="3"/>
      <c r="H1681" s="3"/>
      <c r="I1681" s="100"/>
      <c r="J1681" s="101"/>
      <c r="K1681" s="101"/>
      <c r="L1681" s="101"/>
      <c r="M1681" s="101"/>
      <c r="N1681" s="101"/>
      <c r="O1681" s="101"/>
      <c r="P1681" s="101"/>
      <c r="Q1681" s="101"/>
      <c r="R1681" s="101"/>
      <c r="S1681" s="101"/>
      <c r="T1681" s="101"/>
      <c r="U1681" s="101"/>
      <c r="V1681" s="101"/>
      <c r="W1681" s="101"/>
      <c r="X1681" s="101"/>
      <c r="Y1681" s="101"/>
      <c r="Z1681" s="101"/>
      <c r="AA1681" s="101"/>
      <c r="AB1681" s="101"/>
      <c r="AC1681" s="119"/>
      <c r="AD1681" s="119"/>
      <c r="AE1681" s="120"/>
      <c r="AF1681" s="119"/>
      <c r="AG1681" s="119"/>
      <c r="AH1681" s="120"/>
      <c r="AI1681" s="121"/>
      <c r="AJ1681" s="121"/>
      <c r="AK1681" s="121"/>
      <c r="AL1681" s="121"/>
      <c r="AM1681" s="122"/>
      <c r="AN1681" s="121"/>
      <c r="AP1681" s="87"/>
    </row>
    <row r="1682" spans="1:42">
      <c r="A1682" s="3"/>
      <c r="B1682" s="3"/>
      <c r="C1682" s="3"/>
      <c r="D1682" s="3"/>
      <c r="E1682" s="3"/>
      <c r="F1682" s="3"/>
      <c r="G1682" s="3"/>
      <c r="H1682" s="3"/>
      <c r="I1682" s="100"/>
      <c r="J1682" s="101"/>
      <c r="K1682" s="101"/>
      <c r="L1682" s="101"/>
      <c r="M1682" s="101"/>
      <c r="N1682" s="101"/>
      <c r="O1682" s="101"/>
      <c r="P1682" s="101"/>
      <c r="Q1682" s="101"/>
      <c r="R1682" s="101"/>
      <c r="S1682" s="101"/>
      <c r="T1682" s="101"/>
      <c r="U1682" s="101"/>
      <c r="V1682" s="101"/>
      <c r="W1682" s="101"/>
      <c r="X1682" s="101"/>
      <c r="Y1682" s="101"/>
      <c r="Z1682" s="101"/>
      <c r="AA1682" s="101"/>
      <c r="AB1682" s="101"/>
      <c r="AC1682" s="119"/>
      <c r="AD1682" s="119"/>
      <c r="AE1682" s="120"/>
      <c r="AF1682" s="119"/>
      <c r="AG1682" s="119"/>
      <c r="AH1682" s="120"/>
      <c r="AI1682" s="121"/>
      <c r="AJ1682" s="121"/>
      <c r="AK1682" s="121"/>
      <c r="AL1682" s="121"/>
      <c r="AM1682" s="122"/>
      <c r="AN1682" s="121"/>
      <c r="AP1682" s="87"/>
    </row>
    <row r="1683" spans="1:42">
      <c r="A1683" s="3"/>
      <c r="B1683" s="3"/>
      <c r="C1683" s="3"/>
      <c r="D1683" s="3"/>
      <c r="E1683" s="3"/>
      <c r="F1683" s="3"/>
      <c r="G1683" s="3"/>
      <c r="H1683" s="3"/>
      <c r="I1683" s="100"/>
      <c r="J1683" s="101"/>
      <c r="K1683" s="101"/>
      <c r="L1683" s="101"/>
      <c r="M1683" s="101"/>
      <c r="N1683" s="101"/>
      <c r="O1683" s="101"/>
      <c r="P1683" s="101"/>
      <c r="Q1683" s="101"/>
      <c r="R1683" s="101"/>
      <c r="S1683" s="101"/>
      <c r="T1683" s="101"/>
      <c r="U1683" s="101"/>
      <c r="V1683" s="101"/>
      <c r="W1683" s="101"/>
      <c r="X1683" s="101"/>
      <c r="Y1683" s="101"/>
      <c r="Z1683" s="101"/>
      <c r="AA1683" s="101"/>
      <c r="AB1683" s="101"/>
      <c r="AC1683" s="119"/>
      <c r="AD1683" s="119"/>
      <c r="AE1683" s="120"/>
      <c r="AF1683" s="119"/>
      <c r="AG1683" s="119"/>
      <c r="AH1683" s="120"/>
      <c r="AI1683" s="121"/>
      <c r="AJ1683" s="121"/>
      <c r="AK1683" s="121"/>
      <c r="AL1683" s="121"/>
      <c r="AM1683" s="122"/>
      <c r="AN1683" s="121"/>
      <c r="AP1683" s="87"/>
    </row>
    <row r="1684" spans="1:42">
      <c r="A1684" s="3"/>
      <c r="B1684" s="3"/>
      <c r="C1684" s="3"/>
      <c r="D1684" s="3"/>
      <c r="E1684" s="3"/>
      <c r="F1684" s="3"/>
      <c r="G1684" s="3"/>
      <c r="H1684" s="3"/>
      <c r="I1684" s="100"/>
      <c r="J1684" s="101"/>
      <c r="K1684" s="101"/>
      <c r="L1684" s="101"/>
      <c r="M1684" s="101"/>
      <c r="N1684" s="101"/>
      <c r="O1684" s="101"/>
      <c r="P1684" s="101"/>
      <c r="Q1684" s="101"/>
      <c r="R1684" s="101"/>
      <c r="S1684" s="101"/>
      <c r="T1684" s="101"/>
      <c r="U1684" s="101"/>
      <c r="V1684" s="101"/>
      <c r="W1684" s="101"/>
      <c r="X1684" s="101"/>
      <c r="Y1684" s="101"/>
      <c r="Z1684" s="101"/>
      <c r="AA1684" s="101"/>
      <c r="AB1684" s="101"/>
      <c r="AC1684" s="119"/>
      <c r="AD1684" s="119"/>
      <c r="AE1684" s="120"/>
      <c r="AF1684" s="119"/>
      <c r="AG1684" s="119"/>
      <c r="AH1684" s="120"/>
      <c r="AI1684" s="121"/>
      <c r="AJ1684" s="121"/>
      <c r="AK1684" s="121"/>
      <c r="AL1684" s="121"/>
      <c r="AM1684" s="122"/>
      <c r="AN1684" s="121"/>
      <c r="AP1684" s="87"/>
    </row>
    <row r="1685" spans="1:42">
      <c r="A1685" s="3"/>
      <c r="B1685" s="3"/>
      <c r="C1685" s="3"/>
      <c r="D1685" s="3"/>
      <c r="E1685" s="3"/>
      <c r="F1685" s="3"/>
      <c r="G1685" s="3"/>
      <c r="H1685" s="3"/>
      <c r="I1685" s="100"/>
      <c r="J1685" s="101"/>
      <c r="K1685" s="101"/>
      <c r="L1685" s="101"/>
      <c r="M1685" s="101"/>
      <c r="N1685" s="101"/>
      <c r="O1685" s="101"/>
      <c r="P1685" s="101"/>
      <c r="Q1685" s="101"/>
      <c r="R1685" s="101"/>
      <c r="S1685" s="101"/>
      <c r="T1685" s="101"/>
      <c r="U1685" s="101"/>
      <c r="V1685" s="101"/>
      <c r="W1685" s="101"/>
      <c r="X1685" s="101"/>
      <c r="Y1685" s="101"/>
      <c r="Z1685" s="101"/>
      <c r="AA1685" s="101"/>
      <c r="AB1685" s="101"/>
      <c r="AC1685" s="119"/>
      <c r="AD1685" s="119"/>
      <c r="AE1685" s="120"/>
      <c r="AF1685" s="119"/>
      <c r="AG1685" s="119"/>
      <c r="AH1685" s="120"/>
      <c r="AI1685" s="121"/>
      <c r="AJ1685" s="121"/>
      <c r="AK1685" s="121"/>
      <c r="AL1685" s="121"/>
      <c r="AM1685" s="122"/>
      <c r="AN1685" s="121"/>
      <c r="AP1685" s="87"/>
    </row>
    <row r="1686" spans="1:42">
      <c r="A1686" s="3"/>
      <c r="B1686" s="3"/>
      <c r="C1686" s="3"/>
      <c r="D1686" s="3"/>
      <c r="E1686" s="3"/>
      <c r="F1686" s="3"/>
      <c r="G1686" s="3"/>
      <c r="H1686" s="3"/>
      <c r="I1686" s="100"/>
      <c r="J1686" s="101"/>
      <c r="K1686" s="101"/>
      <c r="L1686" s="101"/>
      <c r="M1686" s="101"/>
      <c r="N1686" s="101"/>
      <c r="O1686" s="101"/>
      <c r="P1686" s="101"/>
      <c r="Q1686" s="101"/>
      <c r="R1686" s="101"/>
      <c r="S1686" s="101"/>
      <c r="T1686" s="101"/>
      <c r="U1686" s="101"/>
      <c r="V1686" s="101"/>
      <c r="W1686" s="101"/>
      <c r="X1686" s="101"/>
      <c r="Y1686" s="101"/>
      <c r="Z1686" s="101"/>
      <c r="AA1686" s="101"/>
      <c r="AB1686" s="101"/>
      <c r="AC1686" s="119"/>
      <c r="AD1686" s="119"/>
      <c r="AE1686" s="120"/>
      <c r="AF1686" s="119"/>
      <c r="AG1686" s="119"/>
      <c r="AH1686" s="120"/>
      <c r="AI1686" s="121"/>
      <c r="AJ1686" s="121"/>
      <c r="AK1686" s="121"/>
      <c r="AL1686" s="121"/>
      <c r="AM1686" s="122"/>
      <c r="AN1686" s="121"/>
      <c r="AP1686" s="87"/>
    </row>
    <row r="1687" spans="1:42">
      <c r="A1687" s="3"/>
      <c r="B1687" s="3"/>
      <c r="C1687" s="3"/>
      <c r="D1687" s="3"/>
      <c r="E1687" s="3"/>
      <c r="F1687" s="3"/>
      <c r="G1687" s="3"/>
      <c r="H1687" s="3"/>
      <c r="I1687" s="100"/>
      <c r="J1687" s="101"/>
      <c r="K1687" s="101"/>
      <c r="L1687" s="101"/>
      <c r="M1687" s="101"/>
      <c r="N1687" s="101"/>
      <c r="O1687" s="101"/>
      <c r="P1687" s="101"/>
      <c r="Q1687" s="101"/>
      <c r="R1687" s="101"/>
      <c r="S1687" s="101"/>
      <c r="T1687" s="101"/>
      <c r="U1687" s="101"/>
      <c r="V1687" s="101"/>
      <c r="W1687" s="101"/>
      <c r="X1687" s="101"/>
      <c r="Y1687" s="101"/>
      <c r="Z1687" s="101"/>
      <c r="AA1687" s="101"/>
      <c r="AB1687" s="101"/>
      <c r="AC1687" s="119"/>
      <c r="AD1687" s="119"/>
      <c r="AE1687" s="120"/>
      <c r="AF1687" s="119"/>
      <c r="AG1687" s="119"/>
      <c r="AH1687" s="120"/>
      <c r="AI1687" s="121"/>
      <c r="AJ1687" s="121"/>
      <c r="AK1687" s="121"/>
      <c r="AL1687" s="121"/>
      <c r="AM1687" s="122"/>
      <c r="AN1687" s="121"/>
      <c r="AP1687" s="87"/>
    </row>
    <row r="1688" spans="1:42">
      <c r="A1688" s="3"/>
      <c r="B1688" s="3"/>
      <c r="C1688" s="3"/>
      <c r="D1688" s="3"/>
      <c r="E1688" s="3"/>
      <c r="F1688" s="3"/>
      <c r="G1688" s="3"/>
      <c r="H1688" s="3"/>
      <c r="I1688" s="100"/>
      <c r="J1688" s="101"/>
      <c r="K1688" s="101"/>
      <c r="L1688" s="101"/>
      <c r="M1688" s="101"/>
      <c r="N1688" s="101"/>
      <c r="O1688" s="101"/>
      <c r="P1688" s="101"/>
      <c r="Q1688" s="101"/>
      <c r="R1688" s="101"/>
      <c r="S1688" s="101"/>
      <c r="T1688" s="101"/>
      <c r="U1688" s="101"/>
      <c r="V1688" s="101"/>
      <c r="W1688" s="101"/>
      <c r="X1688" s="101"/>
      <c r="Y1688" s="101"/>
      <c r="Z1688" s="101"/>
      <c r="AA1688" s="101"/>
      <c r="AB1688" s="101"/>
      <c r="AC1688" s="119"/>
      <c r="AD1688" s="119"/>
      <c r="AE1688" s="120"/>
      <c r="AF1688" s="119"/>
      <c r="AG1688" s="119"/>
      <c r="AH1688" s="120"/>
      <c r="AI1688" s="121"/>
      <c r="AJ1688" s="121"/>
      <c r="AK1688" s="121"/>
      <c r="AL1688" s="121"/>
      <c r="AM1688" s="122"/>
      <c r="AN1688" s="121"/>
      <c r="AP1688" s="87"/>
    </row>
    <row r="1689" spans="1:42">
      <c r="A1689" s="3"/>
      <c r="B1689" s="3"/>
      <c r="C1689" s="3"/>
      <c r="D1689" s="3"/>
      <c r="E1689" s="3"/>
      <c r="F1689" s="3"/>
      <c r="G1689" s="3"/>
      <c r="H1689" s="3"/>
      <c r="I1689" s="100"/>
      <c r="J1689" s="101"/>
      <c r="K1689" s="101"/>
      <c r="L1689" s="101"/>
      <c r="M1689" s="101"/>
      <c r="N1689" s="101"/>
      <c r="O1689" s="101"/>
      <c r="P1689" s="101"/>
      <c r="Q1689" s="101"/>
      <c r="R1689" s="101"/>
      <c r="S1689" s="101"/>
      <c r="T1689" s="101"/>
      <c r="U1689" s="101"/>
      <c r="V1689" s="101"/>
      <c r="W1689" s="101"/>
      <c r="X1689" s="101"/>
      <c r="Y1689" s="101"/>
      <c r="Z1689" s="101"/>
      <c r="AA1689" s="101"/>
      <c r="AB1689" s="101"/>
      <c r="AC1689" s="119"/>
      <c r="AD1689" s="119"/>
      <c r="AE1689" s="120"/>
      <c r="AF1689" s="119"/>
      <c r="AG1689" s="119"/>
      <c r="AH1689" s="120"/>
      <c r="AI1689" s="121"/>
      <c r="AJ1689" s="121"/>
      <c r="AK1689" s="121"/>
      <c r="AL1689" s="121"/>
      <c r="AM1689" s="122"/>
      <c r="AN1689" s="121"/>
      <c r="AP1689" s="87"/>
    </row>
    <row r="1690" spans="1:42">
      <c r="A1690" s="3"/>
      <c r="B1690" s="3"/>
      <c r="C1690" s="3"/>
      <c r="D1690" s="3"/>
      <c r="E1690" s="3"/>
      <c r="F1690" s="3"/>
      <c r="G1690" s="3"/>
      <c r="H1690" s="3"/>
      <c r="I1690" s="100"/>
      <c r="J1690" s="101"/>
      <c r="K1690" s="101"/>
      <c r="L1690" s="101"/>
      <c r="M1690" s="101"/>
      <c r="N1690" s="101"/>
      <c r="O1690" s="101"/>
      <c r="P1690" s="101"/>
      <c r="Q1690" s="101"/>
      <c r="R1690" s="101"/>
      <c r="S1690" s="101"/>
      <c r="T1690" s="101"/>
      <c r="U1690" s="101"/>
      <c r="V1690" s="101"/>
      <c r="W1690" s="101"/>
      <c r="X1690" s="101"/>
      <c r="Y1690" s="101"/>
      <c r="Z1690" s="101"/>
      <c r="AA1690" s="101"/>
      <c r="AB1690" s="101"/>
      <c r="AC1690" s="119"/>
      <c r="AD1690" s="119"/>
      <c r="AE1690" s="120"/>
      <c r="AF1690" s="119"/>
      <c r="AG1690" s="119"/>
      <c r="AH1690" s="120"/>
      <c r="AI1690" s="121"/>
      <c r="AJ1690" s="121"/>
      <c r="AK1690" s="121"/>
      <c r="AL1690" s="121"/>
      <c r="AM1690" s="122"/>
      <c r="AN1690" s="121"/>
      <c r="AP1690" s="87"/>
    </row>
    <row r="1691" spans="1:42">
      <c r="A1691" s="3"/>
      <c r="B1691" s="3"/>
      <c r="C1691" s="3"/>
      <c r="D1691" s="3"/>
      <c r="E1691" s="3"/>
      <c r="F1691" s="3"/>
      <c r="G1691" s="3"/>
      <c r="H1691" s="3"/>
      <c r="I1691" s="100"/>
      <c r="J1691" s="101"/>
      <c r="K1691" s="101"/>
      <c r="L1691" s="101"/>
      <c r="M1691" s="101"/>
      <c r="N1691" s="101"/>
      <c r="O1691" s="101"/>
      <c r="P1691" s="101"/>
      <c r="Q1691" s="101"/>
      <c r="R1691" s="101"/>
      <c r="S1691" s="101"/>
      <c r="T1691" s="101"/>
      <c r="U1691" s="101"/>
      <c r="V1691" s="101"/>
      <c r="W1691" s="101"/>
      <c r="X1691" s="101"/>
      <c r="Y1691" s="101"/>
      <c r="Z1691" s="101"/>
      <c r="AA1691" s="101"/>
      <c r="AB1691" s="101"/>
      <c r="AC1691" s="119"/>
      <c r="AD1691" s="119"/>
      <c r="AE1691" s="120"/>
      <c r="AF1691" s="119"/>
      <c r="AG1691" s="119"/>
      <c r="AH1691" s="120"/>
      <c r="AI1691" s="121"/>
      <c r="AJ1691" s="121"/>
      <c r="AK1691" s="121"/>
      <c r="AL1691" s="121"/>
      <c r="AM1691" s="122"/>
      <c r="AN1691" s="121"/>
      <c r="AP1691" s="87"/>
    </row>
    <row r="1692" spans="1:42">
      <c r="A1692" s="3"/>
      <c r="B1692" s="3"/>
      <c r="C1692" s="3"/>
      <c r="D1692" s="3"/>
      <c r="E1692" s="3"/>
      <c r="F1692" s="3"/>
      <c r="G1692" s="3"/>
      <c r="H1692" s="3"/>
      <c r="I1692" s="100"/>
      <c r="J1692" s="101"/>
      <c r="K1692" s="101"/>
      <c r="L1692" s="101"/>
      <c r="M1692" s="101"/>
      <c r="N1692" s="101"/>
      <c r="O1692" s="101"/>
      <c r="P1692" s="101"/>
      <c r="Q1692" s="101"/>
      <c r="R1692" s="101"/>
      <c r="S1692" s="101"/>
      <c r="T1692" s="101"/>
      <c r="U1692" s="101"/>
      <c r="V1692" s="101"/>
      <c r="W1692" s="101"/>
      <c r="X1692" s="101"/>
      <c r="Y1692" s="101"/>
      <c r="Z1692" s="101"/>
      <c r="AA1692" s="101"/>
      <c r="AB1692" s="101"/>
      <c r="AC1692" s="119"/>
      <c r="AD1692" s="119"/>
      <c r="AE1692" s="120"/>
      <c r="AF1692" s="119"/>
      <c r="AG1692" s="119"/>
      <c r="AH1692" s="120"/>
      <c r="AI1692" s="121"/>
      <c r="AJ1692" s="121"/>
      <c r="AK1692" s="121"/>
      <c r="AL1692" s="121"/>
      <c r="AM1692" s="122"/>
      <c r="AN1692" s="121"/>
      <c r="AP1692" s="87"/>
    </row>
    <row r="1693" spans="1:42">
      <c r="A1693" s="3"/>
      <c r="B1693" s="3"/>
      <c r="C1693" s="3"/>
      <c r="D1693" s="3"/>
      <c r="E1693" s="3"/>
      <c r="F1693" s="3"/>
      <c r="G1693" s="3"/>
      <c r="H1693" s="3"/>
      <c r="I1693" s="100"/>
      <c r="J1693" s="101"/>
      <c r="K1693" s="101"/>
      <c r="L1693" s="101"/>
      <c r="M1693" s="101"/>
      <c r="N1693" s="101"/>
      <c r="O1693" s="101"/>
      <c r="P1693" s="101"/>
      <c r="Q1693" s="101"/>
      <c r="R1693" s="101"/>
      <c r="S1693" s="101"/>
      <c r="T1693" s="101"/>
      <c r="U1693" s="101"/>
      <c r="V1693" s="101"/>
      <c r="W1693" s="101"/>
      <c r="X1693" s="101"/>
      <c r="Y1693" s="101"/>
      <c r="Z1693" s="101"/>
      <c r="AA1693" s="101"/>
      <c r="AB1693" s="101"/>
      <c r="AC1693" s="119"/>
      <c r="AD1693" s="119"/>
      <c r="AE1693" s="120"/>
      <c r="AF1693" s="119"/>
      <c r="AG1693" s="119"/>
      <c r="AH1693" s="120"/>
      <c r="AI1693" s="121"/>
      <c r="AJ1693" s="121"/>
      <c r="AK1693" s="121"/>
      <c r="AL1693" s="121"/>
      <c r="AM1693" s="122"/>
      <c r="AN1693" s="121"/>
      <c r="AP1693" s="87"/>
    </row>
    <row r="1694" spans="1:42">
      <c r="A1694" s="3"/>
      <c r="B1694" s="3"/>
      <c r="C1694" s="3"/>
      <c r="D1694" s="3"/>
      <c r="E1694" s="3"/>
      <c r="F1694" s="3"/>
      <c r="G1694" s="3"/>
      <c r="H1694" s="3"/>
      <c r="I1694" s="100"/>
      <c r="J1694" s="101"/>
      <c r="K1694" s="101"/>
      <c r="L1694" s="101"/>
      <c r="M1694" s="101"/>
      <c r="N1694" s="101"/>
      <c r="O1694" s="101"/>
      <c r="P1694" s="101"/>
      <c r="Q1694" s="101"/>
      <c r="R1694" s="101"/>
      <c r="S1694" s="101"/>
      <c r="T1694" s="101"/>
      <c r="U1694" s="101"/>
      <c r="V1694" s="101"/>
      <c r="W1694" s="101"/>
      <c r="X1694" s="101"/>
      <c r="Y1694" s="101"/>
      <c r="Z1694" s="101"/>
      <c r="AA1694" s="101"/>
      <c r="AB1694" s="101"/>
      <c r="AC1694" s="119"/>
      <c r="AD1694" s="119"/>
      <c r="AE1694" s="120"/>
      <c r="AF1694" s="119"/>
      <c r="AG1694" s="119"/>
      <c r="AH1694" s="120"/>
      <c r="AI1694" s="121"/>
      <c r="AJ1694" s="121"/>
      <c r="AK1694" s="121"/>
      <c r="AL1694" s="121"/>
      <c r="AM1694" s="122"/>
      <c r="AN1694" s="121"/>
      <c r="AP1694" s="87"/>
    </row>
    <row r="1695" spans="1:42">
      <c r="A1695" s="3"/>
      <c r="B1695" s="3"/>
      <c r="C1695" s="3"/>
      <c r="D1695" s="3"/>
      <c r="E1695" s="3"/>
      <c r="F1695" s="3"/>
      <c r="G1695" s="3"/>
      <c r="H1695" s="3"/>
      <c r="I1695" s="100"/>
      <c r="J1695" s="101"/>
      <c r="K1695" s="101"/>
      <c r="L1695" s="101"/>
      <c r="M1695" s="101"/>
      <c r="N1695" s="101"/>
      <c r="O1695" s="101"/>
      <c r="P1695" s="101"/>
      <c r="Q1695" s="101"/>
      <c r="R1695" s="101"/>
      <c r="S1695" s="101"/>
      <c r="T1695" s="101"/>
      <c r="U1695" s="101"/>
      <c r="V1695" s="101"/>
      <c r="W1695" s="101"/>
      <c r="X1695" s="101"/>
      <c r="Y1695" s="101"/>
      <c r="Z1695" s="101"/>
      <c r="AA1695" s="101"/>
      <c r="AB1695" s="101"/>
      <c r="AC1695" s="119"/>
      <c r="AD1695" s="119"/>
      <c r="AE1695" s="120"/>
      <c r="AF1695" s="119"/>
      <c r="AG1695" s="119"/>
      <c r="AH1695" s="120"/>
      <c r="AI1695" s="121"/>
      <c r="AJ1695" s="121"/>
      <c r="AK1695" s="121"/>
      <c r="AL1695" s="121"/>
      <c r="AM1695" s="122"/>
      <c r="AN1695" s="121"/>
      <c r="AP1695" s="87"/>
    </row>
    <row r="1696" spans="1:42">
      <c r="A1696" s="3"/>
      <c r="B1696" s="3"/>
      <c r="C1696" s="3"/>
      <c r="D1696" s="3"/>
      <c r="E1696" s="3"/>
      <c r="F1696" s="3"/>
      <c r="G1696" s="3"/>
      <c r="H1696" s="3"/>
      <c r="I1696" s="100"/>
      <c r="J1696" s="101"/>
      <c r="K1696" s="101"/>
      <c r="L1696" s="101"/>
      <c r="M1696" s="101"/>
      <c r="N1696" s="101"/>
      <c r="O1696" s="101"/>
      <c r="P1696" s="101"/>
      <c r="Q1696" s="101"/>
      <c r="R1696" s="101"/>
      <c r="S1696" s="101"/>
      <c r="T1696" s="101"/>
      <c r="U1696" s="101"/>
      <c r="V1696" s="101"/>
      <c r="W1696" s="101"/>
      <c r="X1696" s="101"/>
      <c r="Y1696" s="101"/>
      <c r="Z1696" s="101"/>
      <c r="AA1696" s="101"/>
      <c r="AB1696" s="101"/>
      <c r="AC1696" s="119"/>
      <c r="AD1696" s="119"/>
      <c r="AE1696" s="120"/>
      <c r="AF1696" s="119"/>
      <c r="AG1696" s="119"/>
      <c r="AH1696" s="120"/>
      <c r="AI1696" s="121"/>
      <c r="AJ1696" s="121"/>
      <c r="AK1696" s="121"/>
      <c r="AL1696" s="121"/>
      <c r="AM1696" s="122"/>
      <c r="AN1696" s="121"/>
      <c r="AP1696" s="87"/>
    </row>
    <row r="1697" spans="1:42">
      <c r="A1697" s="3"/>
      <c r="B1697" s="3"/>
      <c r="C1697" s="3"/>
      <c r="D1697" s="3"/>
      <c r="E1697" s="3"/>
      <c r="F1697" s="3"/>
      <c r="G1697" s="3"/>
      <c r="H1697" s="3"/>
      <c r="I1697" s="100"/>
      <c r="J1697" s="101"/>
      <c r="K1697" s="101"/>
      <c r="L1697" s="101"/>
      <c r="M1697" s="101"/>
      <c r="N1697" s="101"/>
      <c r="O1697" s="101"/>
      <c r="P1697" s="101"/>
      <c r="Q1697" s="101"/>
      <c r="R1697" s="101"/>
      <c r="S1697" s="101"/>
      <c r="T1697" s="101"/>
      <c r="U1697" s="101"/>
      <c r="V1697" s="101"/>
      <c r="W1697" s="101"/>
      <c r="X1697" s="101"/>
      <c r="Y1697" s="101"/>
      <c r="Z1697" s="101"/>
      <c r="AA1697" s="101"/>
      <c r="AB1697" s="101"/>
      <c r="AC1697" s="119"/>
      <c r="AD1697" s="119"/>
      <c r="AE1697" s="120"/>
      <c r="AF1697" s="119"/>
      <c r="AG1697" s="119"/>
      <c r="AH1697" s="120"/>
      <c r="AI1697" s="121"/>
      <c r="AJ1697" s="121"/>
      <c r="AK1697" s="121"/>
      <c r="AL1697" s="121"/>
      <c r="AM1697" s="122"/>
      <c r="AN1697" s="121"/>
      <c r="AP1697" s="87"/>
    </row>
    <row r="1698" spans="1:42">
      <c r="A1698" s="3"/>
      <c r="B1698" s="3"/>
      <c r="C1698" s="3"/>
      <c r="D1698" s="3"/>
      <c r="E1698" s="3"/>
      <c r="F1698" s="3"/>
      <c r="G1698" s="3"/>
      <c r="H1698" s="3"/>
      <c r="I1698" s="100"/>
      <c r="J1698" s="101"/>
      <c r="K1698" s="101"/>
      <c r="L1698" s="101"/>
      <c r="M1698" s="101"/>
      <c r="N1698" s="101"/>
      <c r="O1698" s="101"/>
      <c r="P1698" s="101"/>
      <c r="Q1698" s="101"/>
      <c r="R1698" s="101"/>
      <c r="S1698" s="101"/>
      <c r="T1698" s="101"/>
      <c r="U1698" s="101"/>
      <c r="V1698" s="101"/>
      <c r="W1698" s="101"/>
      <c r="X1698" s="101"/>
      <c r="Y1698" s="101"/>
      <c r="Z1698" s="101"/>
      <c r="AA1698" s="101"/>
      <c r="AB1698" s="101"/>
      <c r="AC1698" s="119"/>
      <c r="AD1698" s="119"/>
      <c r="AE1698" s="120"/>
      <c r="AF1698" s="119"/>
      <c r="AG1698" s="119"/>
      <c r="AH1698" s="120"/>
      <c r="AI1698" s="121"/>
      <c r="AJ1698" s="121"/>
      <c r="AK1698" s="121"/>
      <c r="AL1698" s="121"/>
      <c r="AM1698" s="122"/>
      <c r="AN1698" s="121"/>
      <c r="AP1698" s="87"/>
    </row>
    <row r="1699" spans="1:42">
      <c r="A1699" s="3"/>
      <c r="B1699" s="3"/>
      <c r="C1699" s="3"/>
      <c r="D1699" s="3"/>
      <c r="E1699" s="3"/>
      <c r="F1699" s="3"/>
      <c r="G1699" s="3"/>
      <c r="H1699" s="3"/>
      <c r="I1699" s="100"/>
      <c r="J1699" s="101"/>
      <c r="K1699" s="101"/>
      <c r="L1699" s="101"/>
      <c r="M1699" s="101"/>
      <c r="N1699" s="101"/>
      <c r="O1699" s="101"/>
      <c r="P1699" s="101"/>
      <c r="Q1699" s="101"/>
      <c r="R1699" s="101"/>
      <c r="S1699" s="101"/>
      <c r="T1699" s="101"/>
      <c r="U1699" s="101"/>
      <c r="V1699" s="101"/>
      <c r="W1699" s="101"/>
      <c r="X1699" s="101"/>
      <c r="Y1699" s="101"/>
      <c r="Z1699" s="101"/>
      <c r="AA1699" s="101"/>
      <c r="AB1699" s="101"/>
      <c r="AC1699" s="119"/>
      <c r="AD1699" s="119"/>
      <c r="AE1699" s="120"/>
      <c r="AF1699" s="119"/>
      <c r="AG1699" s="119"/>
      <c r="AH1699" s="120"/>
      <c r="AI1699" s="121"/>
      <c r="AJ1699" s="121"/>
      <c r="AK1699" s="121"/>
      <c r="AL1699" s="121"/>
      <c r="AM1699" s="122"/>
      <c r="AN1699" s="121"/>
      <c r="AP1699" s="87"/>
    </row>
    <row r="1700" spans="1:42">
      <c r="A1700" s="3"/>
      <c r="B1700" s="3"/>
      <c r="C1700" s="3"/>
      <c r="D1700" s="3"/>
      <c r="E1700" s="3"/>
      <c r="F1700" s="3"/>
      <c r="G1700" s="3"/>
      <c r="H1700" s="3"/>
      <c r="I1700" s="100"/>
      <c r="J1700" s="101"/>
      <c r="K1700" s="101"/>
      <c r="L1700" s="101"/>
      <c r="M1700" s="101"/>
      <c r="N1700" s="101"/>
      <c r="O1700" s="101"/>
      <c r="P1700" s="101"/>
      <c r="Q1700" s="101"/>
      <c r="R1700" s="101"/>
      <c r="S1700" s="101"/>
      <c r="T1700" s="101"/>
      <c r="U1700" s="101"/>
      <c r="V1700" s="101"/>
      <c r="W1700" s="101"/>
      <c r="X1700" s="101"/>
      <c r="Y1700" s="101"/>
      <c r="Z1700" s="101"/>
      <c r="AA1700" s="101"/>
      <c r="AB1700" s="101"/>
      <c r="AC1700" s="119"/>
      <c r="AD1700" s="119"/>
      <c r="AE1700" s="120"/>
      <c r="AF1700" s="119"/>
      <c r="AG1700" s="119"/>
      <c r="AH1700" s="120"/>
      <c r="AI1700" s="121"/>
      <c r="AJ1700" s="121"/>
      <c r="AK1700" s="121"/>
      <c r="AL1700" s="121"/>
      <c r="AM1700" s="122"/>
      <c r="AN1700" s="121"/>
      <c r="AP1700" s="87"/>
    </row>
    <row r="1701" spans="1:42">
      <c r="A1701" s="3"/>
      <c r="B1701" s="3"/>
      <c r="C1701" s="3"/>
      <c r="D1701" s="3"/>
      <c r="E1701" s="3"/>
      <c r="F1701" s="3"/>
      <c r="G1701" s="3"/>
      <c r="H1701" s="3"/>
      <c r="I1701" s="100"/>
      <c r="J1701" s="101"/>
      <c r="K1701" s="101"/>
      <c r="L1701" s="101"/>
      <c r="M1701" s="101"/>
      <c r="N1701" s="101"/>
      <c r="O1701" s="101"/>
      <c r="P1701" s="101"/>
      <c r="Q1701" s="101"/>
      <c r="R1701" s="101"/>
      <c r="S1701" s="101"/>
      <c r="T1701" s="101"/>
      <c r="U1701" s="101"/>
      <c r="V1701" s="101"/>
      <c r="W1701" s="101"/>
      <c r="X1701" s="101"/>
      <c r="Y1701" s="101"/>
      <c r="Z1701" s="101"/>
      <c r="AA1701" s="101"/>
      <c r="AB1701" s="101"/>
      <c r="AC1701" s="119"/>
      <c r="AD1701" s="119"/>
      <c r="AE1701" s="120"/>
      <c r="AF1701" s="119"/>
      <c r="AG1701" s="119"/>
      <c r="AH1701" s="120"/>
      <c r="AI1701" s="121"/>
      <c r="AJ1701" s="121"/>
      <c r="AK1701" s="121"/>
      <c r="AL1701" s="121"/>
      <c r="AM1701" s="122"/>
      <c r="AN1701" s="121"/>
      <c r="AP1701" s="87"/>
    </row>
    <row r="1702" spans="1:42">
      <c r="A1702" s="3"/>
      <c r="B1702" s="3"/>
      <c r="C1702" s="3"/>
      <c r="D1702" s="3"/>
      <c r="E1702" s="3"/>
      <c r="F1702" s="3"/>
      <c r="G1702" s="3"/>
      <c r="H1702" s="3"/>
      <c r="I1702" s="100"/>
      <c r="J1702" s="101"/>
      <c r="K1702" s="101"/>
      <c r="L1702" s="101"/>
      <c r="M1702" s="101"/>
      <c r="N1702" s="101"/>
      <c r="O1702" s="101"/>
      <c r="P1702" s="101"/>
      <c r="Q1702" s="101"/>
      <c r="R1702" s="101"/>
      <c r="S1702" s="101"/>
      <c r="T1702" s="101"/>
      <c r="U1702" s="101"/>
      <c r="V1702" s="101"/>
      <c r="W1702" s="101"/>
      <c r="X1702" s="101"/>
      <c r="Y1702" s="101"/>
      <c r="Z1702" s="101"/>
      <c r="AA1702" s="101"/>
      <c r="AB1702" s="101"/>
      <c r="AC1702" s="119"/>
      <c r="AD1702" s="119"/>
      <c r="AE1702" s="120"/>
      <c r="AF1702" s="119"/>
      <c r="AG1702" s="119"/>
      <c r="AH1702" s="120"/>
      <c r="AI1702" s="121"/>
      <c r="AJ1702" s="121"/>
      <c r="AK1702" s="121"/>
      <c r="AL1702" s="121"/>
      <c r="AM1702" s="122"/>
      <c r="AN1702" s="121"/>
      <c r="AP1702" s="87"/>
    </row>
    <row r="1703" spans="1:42">
      <c r="A1703" s="3"/>
      <c r="B1703" s="3"/>
      <c r="C1703" s="3"/>
      <c r="D1703" s="3"/>
      <c r="E1703" s="3"/>
      <c r="F1703" s="3"/>
      <c r="G1703" s="3"/>
      <c r="H1703" s="3"/>
      <c r="I1703" s="100"/>
      <c r="J1703" s="101"/>
      <c r="K1703" s="101"/>
      <c r="L1703" s="101"/>
      <c r="M1703" s="101"/>
      <c r="N1703" s="101"/>
      <c r="O1703" s="101"/>
      <c r="P1703" s="101"/>
      <c r="Q1703" s="101"/>
      <c r="R1703" s="101"/>
      <c r="S1703" s="101"/>
      <c r="T1703" s="101"/>
      <c r="U1703" s="101"/>
      <c r="V1703" s="101"/>
      <c r="W1703" s="101"/>
      <c r="X1703" s="101"/>
      <c r="Y1703" s="101"/>
      <c r="Z1703" s="101"/>
      <c r="AA1703" s="101"/>
      <c r="AB1703" s="101"/>
      <c r="AC1703" s="119"/>
      <c r="AD1703" s="119"/>
      <c r="AE1703" s="120"/>
      <c r="AF1703" s="119"/>
      <c r="AG1703" s="119"/>
      <c r="AH1703" s="120"/>
      <c r="AI1703" s="121"/>
      <c r="AJ1703" s="121"/>
      <c r="AK1703" s="121"/>
      <c r="AL1703" s="121"/>
      <c r="AM1703" s="122"/>
      <c r="AN1703" s="121"/>
      <c r="AP1703" s="87"/>
    </row>
    <row r="1704" spans="1:42">
      <c r="A1704" s="3"/>
      <c r="B1704" s="3"/>
      <c r="C1704" s="3"/>
      <c r="D1704" s="3"/>
      <c r="E1704" s="3"/>
      <c r="F1704" s="3"/>
      <c r="G1704" s="3"/>
      <c r="H1704" s="3"/>
      <c r="I1704" s="100"/>
      <c r="J1704" s="101"/>
      <c r="K1704" s="101"/>
      <c r="L1704" s="101"/>
      <c r="M1704" s="101"/>
      <c r="N1704" s="101"/>
      <c r="O1704" s="101"/>
      <c r="P1704" s="101"/>
      <c r="Q1704" s="101"/>
      <c r="R1704" s="101"/>
      <c r="S1704" s="101"/>
      <c r="T1704" s="101"/>
      <c r="U1704" s="101"/>
      <c r="V1704" s="101"/>
      <c r="W1704" s="101"/>
      <c r="X1704" s="101"/>
      <c r="Y1704" s="101"/>
      <c r="Z1704" s="101"/>
      <c r="AA1704" s="101"/>
      <c r="AB1704" s="101"/>
      <c r="AC1704" s="119"/>
      <c r="AD1704" s="119"/>
      <c r="AE1704" s="120"/>
      <c r="AF1704" s="119"/>
      <c r="AG1704" s="119"/>
      <c r="AH1704" s="120"/>
      <c r="AI1704" s="121"/>
      <c r="AJ1704" s="121"/>
      <c r="AK1704" s="121"/>
      <c r="AL1704" s="121"/>
      <c r="AM1704" s="122"/>
      <c r="AN1704" s="121"/>
      <c r="AP1704" s="87"/>
    </row>
    <row r="1705" spans="1:42">
      <c r="A1705" s="3"/>
      <c r="B1705" s="3"/>
      <c r="C1705" s="3"/>
      <c r="D1705" s="3"/>
      <c r="E1705" s="3"/>
      <c r="F1705" s="3"/>
      <c r="G1705" s="3"/>
      <c r="H1705" s="3"/>
      <c r="I1705" s="100"/>
      <c r="J1705" s="101"/>
      <c r="K1705" s="101"/>
      <c r="L1705" s="101"/>
      <c r="M1705" s="101"/>
      <c r="N1705" s="101"/>
      <c r="O1705" s="101"/>
      <c r="P1705" s="101"/>
      <c r="Q1705" s="101"/>
      <c r="R1705" s="101"/>
      <c r="S1705" s="101"/>
      <c r="T1705" s="101"/>
      <c r="U1705" s="101"/>
      <c r="V1705" s="101"/>
      <c r="W1705" s="101"/>
      <c r="X1705" s="101"/>
      <c r="Y1705" s="101"/>
      <c r="Z1705" s="101"/>
      <c r="AA1705" s="101"/>
      <c r="AB1705" s="101"/>
      <c r="AC1705" s="119"/>
      <c r="AD1705" s="119"/>
      <c r="AE1705" s="120"/>
      <c r="AF1705" s="119"/>
      <c r="AG1705" s="119"/>
      <c r="AH1705" s="120"/>
      <c r="AI1705" s="121"/>
      <c r="AJ1705" s="121"/>
      <c r="AK1705" s="121"/>
      <c r="AL1705" s="121"/>
      <c r="AM1705" s="122"/>
      <c r="AN1705" s="121"/>
      <c r="AP1705" s="87"/>
    </row>
    <row r="1706" spans="1:42">
      <c r="A1706" s="3"/>
      <c r="B1706" s="3"/>
      <c r="C1706" s="3"/>
      <c r="D1706" s="3"/>
      <c r="E1706" s="3"/>
      <c r="F1706" s="3"/>
      <c r="G1706" s="3"/>
      <c r="H1706" s="3"/>
      <c r="I1706" s="100"/>
      <c r="J1706" s="101"/>
      <c r="K1706" s="101"/>
      <c r="L1706" s="101"/>
      <c r="M1706" s="101"/>
      <c r="N1706" s="101"/>
      <c r="O1706" s="101"/>
      <c r="P1706" s="101"/>
      <c r="Q1706" s="101"/>
      <c r="R1706" s="101"/>
      <c r="S1706" s="101"/>
      <c r="T1706" s="101"/>
      <c r="U1706" s="101"/>
      <c r="V1706" s="101"/>
      <c r="W1706" s="101"/>
      <c r="X1706" s="101"/>
      <c r="Y1706" s="101"/>
      <c r="Z1706" s="101"/>
      <c r="AA1706" s="101"/>
      <c r="AB1706" s="101"/>
      <c r="AC1706" s="119"/>
      <c r="AD1706" s="119"/>
      <c r="AE1706" s="120"/>
      <c r="AF1706" s="119"/>
      <c r="AG1706" s="119"/>
      <c r="AH1706" s="120"/>
      <c r="AI1706" s="121"/>
      <c r="AJ1706" s="121"/>
      <c r="AK1706" s="121"/>
      <c r="AL1706" s="121"/>
      <c r="AM1706" s="122"/>
      <c r="AN1706" s="121"/>
      <c r="AP1706" s="87"/>
    </row>
    <row r="1707" spans="1:42">
      <c r="A1707" s="3"/>
      <c r="B1707" s="3"/>
      <c r="C1707" s="3"/>
      <c r="D1707" s="3"/>
      <c r="E1707" s="3"/>
      <c r="F1707" s="3"/>
      <c r="G1707" s="3"/>
      <c r="H1707" s="3"/>
      <c r="I1707" s="100"/>
      <c r="J1707" s="101"/>
      <c r="K1707" s="101"/>
      <c r="L1707" s="101"/>
      <c r="M1707" s="101"/>
      <c r="N1707" s="101"/>
      <c r="O1707" s="101"/>
      <c r="P1707" s="101"/>
      <c r="Q1707" s="101"/>
      <c r="R1707" s="101"/>
      <c r="S1707" s="101"/>
      <c r="T1707" s="101"/>
      <c r="U1707" s="101"/>
      <c r="V1707" s="101"/>
      <c r="W1707" s="101"/>
      <c r="X1707" s="101"/>
      <c r="Y1707" s="101"/>
      <c r="Z1707" s="101"/>
      <c r="AA1707" s="101"/>
      <c r="AB1707" s="101"/>
      <c r="AC1707" s="119"/>
      <c r="AD1707" s="119"/>
      <c r="AE1707" s="120"/>
      <c r="AF1707" s="119"/>
      <c r="AG1707" s="119"/>
      <c r="AH1707" s="120"/>
      <c r="AI1707" s="121"/>
      <c r="AJ1707" s="121"/>
      <c r="AK1707" s="121"/>
      <c r="AL1707" s="121"/>
      <c r="AM1707" s="122"/>
      <c r="AN1707" s="121"/>
      <c r="AP1707" s="87"/>
    </row>
    <row r="1708" spans="1:42">
      <c r="A1708" s="3"/>
      <c r="B1708" s="3"/>
      <c r="C1708" s="3"/>
      <c r="D1708" s="3"/>
      <c r="E1708" s="3"/>
      <c r="F1708" s="3"/>
      <c r="G1708" s="3"/>
      <c r="H1708" s="3"/>
      <c r="I1708" s="100"/>
      <c r="J1708" s="101"/>
      <c r="K1708" s="101"/>
      <c r="L1708" s="101"/>
      <c r="M1708" s="101"/>
      <c r="N1708" s="101"/>
      <c r="O1708" s="101"/>
      <c r="P1708" s="101"/>
      <c r="Q1708" s="101"/>
      <c r="R1708" s="101"/>
      <c r="S1708" s="101"/>
      <c r="T1708" s="101"/>
      <c r="U1708" s="101"/>
      <c r="V1708" s="101"/>
      <c r="W1708" s="101"/>
      <c r="X1708" s="101"/>
      <c r="Y1708" s="101"/>
      <c r="Z1708" s="101"/>
      <c r="AA1708" s="101"/>
      <c r="AB1708" s="101"/>
      <c r="AC1708" s="119"/>
      <c r="AD1708" s="119"/>
      <c r="AE1708" s="120"/>
      <c r="AF1708" s="119"/>
      <c r="AG1708" s="119"/>
      <c r="AH1708" s="120"/>
      <c r="AI1708" s="121"/>
      <c r="AJ1708" s="121"/>
      <c r="AK1708" s="121"/>
      <c r="AL1708" s="121"/>
      <c r="AM1708" s="122"/>
      <c r="AN1708" s="121"/>
      <c r="AP1708" s="87"/>
    </row>
    <row r="1709" spans="1:42">
      <c r="A1709" s="3"/>
      <c r="B1709" s="3"/>
      <c r="C1709" s="3"/>
      <c r="D1709" s="3"/>
      <c r="E1709" s="3"/>
      <c r="F1709" s="3"/>
      <c r="G1709" s="3"/>
      <c r="H1709" s="3"/>
      <c r="I1709" s="100"/>
      <c r="J1709" s="101"/>
      <c r="K1709" s="101"/>
      <c r="L1709" s="101"/>
      <c r="M1709" s="101"/>
      <c r="N1709" s="101"/>
      <c r="O1709" s="101"/>
      <c r="P1709" s="101"/>
      <c r="Q1709" s="101"/>
      <c r="R1709" s="101"/>
      <c r="S1709" s="101"/>
      <c r="T1709" s="101"/>
      <c r="U1709" s="101"/>
      <c r="V1709" s="101"/>
      <c r="W1709" s="101"/>
      <c r="X1709" s="101"/>
      <c r="Y1709" s="101"/>
      <c r="Z1709" s="101"/>
      <c r="AA1709" s="101"/>
      <c r="AB1709" s="101"/>
      <c r="AC1709" s="119"/>
      <c r="AD1709" s="119"/>
      <c r="AE1709" s="120"/>
      <c r="AF1709" s="119"/>
      <c r="AG1709" s="119"/>
      <c r="AH1709" s="120"/>
      <c r="AI1709" s="121"/>
      <c r="AJ1709" s="121"/>
      <c r="AK1709" s="121"/>
      <c r="AL1709" s="121"/>
      <c r="AM1709" s="122"/>
      <c r="AN1709" s="121"/>
      <c r="AP1709" s="87"/>
    </row>
    <row r="1710" spans="1:42">
      <c r="A1710" s="3"/>
      <c r="B1710" s="3"/>
      <c r="C1710" s="3"/>
      <c r="D1710" s="3"/>
      <c r="E1710" s="3"/>
      <c r="F1710" s="3"/>
      <c r="G1710" s="3"/>
      <c r="H1710" s="3"/>
      <c r="I1710" s="100"/>
      <c r="J1710" s="101"/>
      <c r="K1710" s="101"/>
      <c r="L1710" s="101"/>
      <c r="M1710" s="101"/>
      <c r="N1710" s="101"/>
      <c r="O1710" s="101"/>
      <c r="P1710" s="101"/>
      <c r="Q1710" s="101"/>
      <c r="R1710" s="101"/>
      <c r="S1710" s="101"/>
      <c r="T1710" s="101"/>
      <c r="U1710" s="101"/>
      <c r="V1710" s="101"/>
      <c r="W1710" s="101"/>
      <c r="X1710" s="101"/>
      <c r="Y1710" s="101"/>
      <c r="Z1710" s="101"/>
      <c r="AA1710" s="101"/>
      <c r="AB1710" s="101"/>
      <c r="AC1710" s="119"/>
      <c r="AD1710" s="119"/>
      <c r="AE1710" s="120"/>
      <c r="AF1710" s="119"/>
      <c r="AG1710" s="119"/>
      <c r="AH1710" s="120"/>
      <c r="AI1710" s="121"/>
      <c r="AJ1710" s="121"/>
      <c r="AK1710" s="121"/>
      <c r="AL1710" s="121"/>
      <c r="AM1710" s="122"/>
      <c r="AN1710" s="121"/>
      <c r="AP1710" s="87"/>
    </row>
    <row r="1711" spans="1:42">
      <c r="A1711" s="3"/>
      <c r="B1711" s="3"/>
      <c r="C1711" s="3"/>
      <c r="D1711" s="3"/>
      <c r="E1711" s="3"/>
      <c r="F1711" s="3"/>
      <c r="G1711" s="3"/>
      <c r="H1711" s="3"/>
      <c r="I1711" s="100"/>
      <c r="J1711" s="101"/>
      <c r="K1711" s="101"/>
      <c r="L1711" s="101"/>
      <c r="M1711" s="101"/>
      <c r="N1711" s="101"/>
      <c r="O1711" s="101"/>
      <c r="P1711" s="101"/>
      <c r="Q1711" s="101"/>
      <c r="R1711" s="101"/>
      <c r="S1711" s="101"/>
      <c r="T1711" s="101"/>
      <c r="U1711" s="101"/>
      <c r="V1711" s="101"/>
      <c r="W1711" s="101"/>
      <c r="X1711" s="101"/>
      <c r="Y1711" s="101"/>
      <c r="Z1711" s="101"/>
      <c r="AA1711" s="101"/>
      <c r="AB1711" s="101"/>
      <c r="AC1711" s="119"/>
      <c r="AD1711" s="119"/>
      <c r="AE1711" s="120"/>
      <c r="AF1711" s="119"/>
      <c r="AG1711" s="119"/>
      <c r="AH1711" s="120"/>
      <c r="AI1711" s="121"/>
      <c r="AJ1711" s="121"/>
      <c r="AK1711" s="121"/>
      <c r="AL1711" s="121"/>
      <c r="AM1711" s="122"/>
      <c r="AN1711" s="121"/>
      <c r="AP1711" s="87"/>
    </row>
    <row r="1712" spans="1:42">
      <c r="A1712" s="3"/>
      <c r="B1712" s="3"/>
      <c r="C1712" s="3"/>
      <c r="D1712" s="3"/>
      <c r="E1712" s="3"/>
      <c r="F1712" s="3"/>
      <c r="G1712" s="3"/>
      <c r="H1712" s="3"/>
      <c r="I1712" s="100"/>
      <c r="J1712" s="101"/>
      <c r="K1712" s="101"/>
      <c r="L1712" s="101"/>
      <c r="M1712" s="101"/>
      <c r="N1712" s="101"/>
      <c r="O1712" s="101"/>
      <c r="P1712" s="101"/>
      <c r="Q1712" s="101"/>
      <c r="R1712" s="101"/>
      <c r="S1712" s="101"/>
      <c r="T1712" s="101"/>
      <c r="U1712" s="101"/>
      <c r="V1712" s="101"/>
      <c r="W1712" s="101"/>
      <c r="X1712" s="101"/>
      <c r="Y1712" s="101"/>
      <c r="Z1712" s="101"/>
      <c r="AA1712" s="101"/>
      <c r="AB1712" s="101"/>
      <c r="AC1712" s="119"/>
      <c r="AD1712" s="119"/>
      <c r="AE1712" s="120"/>
      <c r="AF1712" s="119"/>
      <c r="AG1712" s="119"/>
      <c r="AH1712" s="120"/>
      <c r="AI1712" s="121"/>
      <c r="AJ1712" s="121"/>
      <c r="AK1712" s="121"/>
      <c r="AL1712" s="121"/>
      <c r="AM1712" s="122"/>
      <c r="AN1712" s="121"/>
      <c r="AP1712" s="87"/>
    </row>
    <row r="1713" spans="1:42">
      <c r="A1713" s="3"/>
      <c r="B1713" s="3"/>
      <c r="C1713" s="3"/>
      <c r="D1713" s="3"/>
      <c r="E1713" s="3"/>
      <c r="F1713" s="3"/>
      <c r="G1713" s="3"/>
      <c r="H1713" s="3"/>
      <c r="I1713" s="100"/>
      <c r="J1713" s="101"/>
      <c r="K1713" s="101"/>
      <c r="L1713" s="101"/>
      <c r="M1713" s="101"/>
      <c r="N1713" s="101"/>
      <c r="O1713" s="101"/>
      <c r="P1713" s="101"/>
      <c r="Q1713" s="101"/>
      <c r="R1713" s="101"/>
      <c r="S1713" s="101"/>
      <c r="T1713" s="101"/>
      <c r="U1713" s="101"/>
      <c r="V1713" s="101"/>
      <c r="W1713" s="101"/>
      <c r="X1713" s="101"/>
      <c r="Y1713" s="101"/>
      <c r="Z1713" s="101"/>
      <c r="AA1713" s="101"/>
      <c r="AB1713" s="101"/>
      <c r="AC1713" s="119"/>
      <c r="AD1713" s="119"/>
      <c r="AE1713" s="120"/>
      <c r="AF1713" s="119"/>
      <c r="AG1713" s="119"/>
      <c r="AH1713" s="120"/>
      <c r="AI1713" s="121"/>
      <c r="AJ1713" s="121"/>
      <c r="AK1713" s="121"/>
      <c r="AL1713" s="121"/>
      <c r="AM1713" s="122"/>
      <c r="AN1713" s="121"/>
      <c r="AP1713" s="87"/>
    </row>
    <row r="1714" spans="1:42">
      <c r="A1714" s="3"/>
      <c r="B1714" s="3"/>
      <c r="C1714" s="3"/>
      <c r="D1714" s="3"/>
      <c r="E1714" s="3"/>
      <c r="F1714" s="3"/>
      <c r="G1714" s="3"/>
      <c r="H1714" s="3"/>
      <c r="I1714" s="100"/>
      <c r="J1714" s="101"/>
      <c r="K1714" s="101"/>
      <c r="L1714" s="101"/>
      <c r="M1714" s="101"/>
      <c r="N1714" s="101"/>
      <c r="O1714" s="101"/>
      <c r="P1714" s="101"/>
      <c r="Q1714" s="101"/>
      <c r="R1714" s="101"/>
      <c r="S1714" s="101"/>
      <c r="T1714" s="101"/>
      <c r="U1714" s="101"/>
      <c r="V1714" s="101"/>
      <c r="W1714" s="101"/>
      <c r="X1714" s="101"/>
      <c r="Y1714" s="101"/>
      <c r="Z1714" s="101"/>
      <c r="AA1714" s="101"/>
      <c r="AB1714" s="101"/>
      <c r="AC1714" s="119"/>
      <c r="AD1714" s="119"/>
      <c r="AE1714" s="120"/>
      <c r="AF1714" s="119"/>
      <c r="AG1714" s="119"/>
      <c r="AH1714" s="120"/>
      <c r="AI1714" s="121"/>
      <c r="AJ1714" s="121"/>
      <c r="AK1714" s="121"/>
      <c r="AL1714" s="121"/>
      <c r="AM1714" s="122"/>
      <c r="AN1714" s="121"/>
      <c r="AP1714" s="87"/>
    </row>
    <row r="1715" spans="1:42">
      <c r="A1715" s="3"/>
      <c r="B1715" s="3"/>
      <c r="C1715" s="3"/>
      <c r="D1715" s="3"/>
      <c r="E1715" s="3"/>
      <c r="F1715" s="3"/>
      <c r="G1715" s="3"/>
      <c r="H1715" s="3"/>
      <c r="I1715" s="100"/>
      <c r="J1715" s="101"/>
      <c r="K1715" s="101"/>
      <c r="L1715" s="101"/>
      <c r="M1715" s="101"/>
      <c r="N1715" s="101"/>
      <c r="O1715" s="101"/>
      <c r="P1715" s="101"/>
      <c r="Q1715" s="101"/>
      <c r="R1715" s="101"/>
      <c r="S1715" s="101"/>
      <c r="T1715" s="101"/>
      <c r="U1715" s="101"/>
      <c r="V1715" s="101"/>
      <c r="W1715" s="101"/>
      <c r="X1715" s="101"/>
      <c r="Y1715" s="101"/>
      <c r="Z1715" s="101"/>
      <c r="AA1715" s="101"/>
      <c r="AB1715" s="101"/>
      <c r="AC1715" s="119"/>
      <c r="AD1715" s="119"/>
      <c r="AE1715" s="120"/>
      <c r="AF1715" s="119"/>
      <c r="AG1715" s="119"/>
      <c r="AH1715" s="120"/>
      <c r="AI1715" s="121"/>
      <c r="AJ1715" s="121"/>
      <c r="AK1715" s="121"/>
      <c r="AL1715" s="121"/>
      <c r="AM1715" s="122"/>
      <c r="AN1715" s="121"/>
      <c r="AP1715" s="87"/>
    </row>
    <row r="1716" spans="1:42">
      <c r="A1716" s="3"/>
      <c r="B1716" s="3"/>
      <c r="C1716" s="3"/>
      <c r="D1716" s="3"/>
      <c r="E1716" s="3"/>
      <c r="F1716" s="3"/>
      <c r="G1716" s="3"/>
      <c r="H1716" s="3"/>
      <c r="I1716" s="100"/>
      <c r="J1716" s="101"/>
      <c r="K1716" s="101"/>
      <c r="L1716" s="101"/>
      <c r="M1716" s="101"/>
      <c r="N1716" s="101"/>
      <c r="O1716" s="101"/>
      <c r="P1716" s="101"/>
      <c r="Q1716" s="101"/>
      <c r="R1716" s="101"/>
      <c r="S1716" s="101"/>
      <c r="T1716" s="101"/>
      <c r="U1716" s="101"/>
      <c r="V1716" s="101"/>
      <c r="W1716" s="101"/>
      <c r="X1716" s="101"/>
      <c r="Y1716" s="101"/>
      <c r="Z1716" s="101"/>
      <c r="AA1716" s="101"/>
      <c r="AB1716" s="101"/>
      <c r="AC1716" s="119"/>
      <c r="AD1716" s="119"/>
      <c r="AE1716" s="120"/>
      <c r="AF1716" s="119"/>
      <c r="AG1716" s="119"/>
      <c r="AH1716" s="120"/>
      <c r="AI1716" s="121"/>
      <c r="AJ1716" s="121"/>
      <c r="AK1716" s="121"/>
      <c r="AL1716" s="121"/>
      <c r="AM1716" s="122"/>
      <c r="AN1716" s="121"/>
      <c r="AP1716" s="87"/>
    </row>
    <row r="1717" spans="1:42">
      <c r="A1717" s="3"/>
      <c r="B1717" s="3"/>
      <c r="C1717" s="3"/>
      <c r="D1717" s="3"/>
      <c r="E1717" s="3"/>
      <c r="F1717" s="3"/>
      <c r="G1717" s="3"/>
      <c r="H1717" s="3"/>
      <c r="I1717" s="100"/>
      <c r="J1717" s="101"/>
      <c r="K1717" s="101"/>
      <c r="L1717" s="101"/>
      <c r="M1717" s="101"/>
      <c r="N1717" s="101"/>
      <c r="O1717" s="101"/>
      <c r="P1717" s="101"/>
      <c r="Q1717" s="101"/>
      <c r="R1717" s="101"/>
      <c r="S1717" s="101"/>
      <c r="T1717" s="101"/>
      <c r="U1717" s="101"/>
      <c r="V1717" s="101"/>
      <c r="W1717" s="101"/>
      <c r="X1717" s="101"/>
      <c r="Y1717" s="101"/>
      <c r="Z1717" s="101"/>
      <c r="AA1717" s="101"/>
      <c r="AB1717" s="101"/>
      <c r="AC1717" s="119"/>
      <c r="AD1717" s="119"/>
      <c r="AE1717" s="120"/>
      <c r="AF1717" s="119"/>
      <c r="AG1717" s="119"/>
      <c r="AH1717" s="120"/>
      <c r="AI1717" s="121"/>
      <c r="AJ1717" s="121"/>
      <c r="AK1717" s="121"/>
      <c r="AL1717" s="121"/>
      <c r="AM1717" s="122"/>
      <c r="AN1717" s="121"/>
      <c r="AP1717" s="87"/>
    </row>
    <row r="1718" spans="1:42">
      <c r="A1718" s="3"/>
      <c r="B1718" s="3"/>
      <c r="C1718" s="3"/>
      <c r="D1718" s="3"/>
      <c r="E1718" s="3"/>
      <c r="F1718" s="3"/>
      <c r="G1718" s="3"/>
      <c r="H1718" s="3"/>
      <c r="I1718" s="100"/>
      <c r="J1718" s="101"/>
      <c r="K1718" s="101"/>
      <c r="L1718" s="101"/>
      <c r="M1718" s="101"/>
      <c r="N1718" s="101"/>
      <c r="O1718" s="101"/>
      <c r="P1718" s="101"/>
      <c r="Q1718" s="101"/>
      <c r="R1718" s="101"/>
      <c r="S1718" s="101"/>
      <c r="T1718" s="101"/>
      <c r="U1718" s="101"/>
      <c r="V1718" s="101"/>
      <c r="W1718" s="101"/>
      <c r="X1718" s="101"/>
      <c r="Y1718" s="101"/>
      <c r="Z1718" s="101"/>
      <c r="AA1718" s="101"/>
      <c r="AB1718" s="101"/>
      <c r="AC1718" s="119"/>
      <c r="AD1718" s="119"/>
      <c r="AE1718" s="120"/>
      <c r="AF1718" s="119"/>
      <c r="AG1718" s="119"/>
      <c r="AH1718" s="120"/>
      <c r="AI1718" s="121"/>
      <c r="AJ1718" s="121"/>
      <c r="AK1718" s="121"/>
      <c r="AL1718" s="121"/>
      <c r="AM1718" s="122"/>
      <c r="AN1718" s="121"/>
      <c r="AP1718" s="87"/>
    </row>
    <row r="1719" spans="1:42">
      <c r="A1719" s="3"/>
      <c r="B1719" s="3"/>
      <c r="C1719" s="3"/>
      <c r="D1719" s="3"/>
      <c r="E1719" s="3"/>
      <c r="F1719" s="3"/>
      <c r="G1719" s="3"/>
      <c r="H1719" s="3"/>
      <c r="I1719" s="100"/>
      <c r="J1719" s="101"/>
      <c r="K1719" s="101"/>
      <c r="L1719" s="101"/>
      <c r="M1719" s="101"/>
      <c r="N1719" s="101"/>
      <c r="O1719" s="101"/>
      <c r="P1719" s="101"/>
      <c r="Q1719" s="101"/>
      <c r="R1719" s="101"/>
      <c r="S1719" s="101"/>
      <c r="T1719" s="101"/>
      <c r="U1719" s="101"/>
      <c r="V1719" s="101"/>
      <c r="W1719" s="101"/>
      <c r="X1719" s="101"/>
      <c r="Y1719" s="101"/>
      <c r="Z1719" s="101"/>
      <c r="AA1719" s="101"/>
      <c r="AB1719" s="101"/>
      <c r="AC1719" s="119"/>
      <c r="AD1719" s="119"/>
      <c r="AE1719" s="120"/>
      <c r="AF1719" s="119"/>
      <c r="AG1719" s="119"/>
      <c r="AH1719" s="120"/>
      <c r="AI1719" s="121"/>
      <c r="AJ1719" s="121"/>
      <c r="AK1719" s="121"/>
      <c r="AL1719" s="121"/>
      <c r="AM1719" s="122"/>
      <c r="AN1719" s="121"/>
      <c r="AP1719" s="87"/>
    </row>
    <row r="1720" spans="1:42">
      <c r="A1720" s="3"/>
      <c r="B1720" s="3"/>
      <c r="C1720" s="3"/>
      <c r="D1720" s="3"/>
      <c r="E1720" s="3"/>
      <c r="F1720" s="3"/>
      <c r="G1720" s="3"/>
      <c r="H1720" s="3"/>
      <c r="I1720" s="100"/>
      <c r="J1720" s="101"/>
      <c r="K1720" s="101"/>
      <c r="L1720" s="101"/>
      <c r="M1720" s="101"/>
      <c r="N1720" s="101"/>
      <c r="O1720" s="101"/>
      <c r="P1720" s="101"/>
      <c r="Q1720" s="101"/>
      <c r="R1720" s="101"/>
      <c r="S1720" s="101"/>
      <c r="T1720" s="101"/>
      <c r="U1720" s="101"/>
      <c r="V1720" s="101"/>
      <c r="W1720" s="101"/>
      <c r="X1720" s="101"/>
      <c r="Y1720" s="101"/>
      <c r="Z1720" s="101"/>
      <c r="AA1720" s="101"/>
      <c r="AB1720" s="101"/>
      <c r="AC1720" s="119"/>
      <c r="AD1720" s="119"/>
      <c r="AE1720" s="120"/>
      <c r="AF1720" s="119"/>
      <c r="AG1720" s="119"/>
      <c r="AH1720" s="120"/>
      <c r="AI1720" s="121"/>
      <c r="AJ1720" s="121"/>
      <c r="AK1720" s="121"/>
      <c r="AL1720" s="121"/>
      <c r="AM1720" s="122"/>
      <c r="AN1720" s="121"/>
      <c r="AP1720" s="87"/>
    </row>
    <row r="1721" spans="1:42">
      <c r="A1721" s="3"/>
      <c r="B1721" s="3"/>
      <c r="C1721" s="3"/>
      <c r="D1721" s="3"/>
      <c r="E1721" s="3"/>
      <c r="F1721" s="3"/>
      <c r="G1721" s="3"/>
      <c r="H1721" s="3"/>
      <c r="I1721" s="100"/>
      <c r="J1721" s="101"/>
      <c r="K1721" s="101"/>
      <c r="L1721" s="101"/>
      <c r="M1721" s="101"/>
      <c r="N1721" s="101"/>
      <c r="O1721" s="101"/>
      <c r="P1721" s="101"/>
      <c r="Q1721" s="101"/>
      <c r="R1721" s="101"/>
      <c r="S1721" s="101"/>
      <c r="T1721" s="101"/>
      <c r="U1721" s="101"/>
      <c r="V1721" s="101"/>
      <c r="W1721" s="101"/>
      <c r="X1721" s="101"/>
      <c r="Y1721" s="101"/>
      <c r="Z1721" s="101"/>
      <c r="AA1721" s="101"/>
      <c r="AB1721" s="101"/>
      <c r="AC1721" s="119"/>
      <c r="AD1721" s="119"/>
      <c r="AE1721" s="120"/>
      <c r="AF1721" s="119"/>
      <c r="AG1721" s="119"/>
      <c r="AH1721" s="120"/>
      <c r="AI1721" s="121"/>
      <c r="AJ1721" s="121"/>
      <c r="AK1721" s="121"/>
      <c r="AL1721" s="121"/>
      <c r="AM1721" s="122"/>
      <c r="AN1721" s="121"/>
      <c r="AP1721" s="87"/>
    </row>
    <row r="1722" spans="1:42">
      <c r="A1722" s="3"/>
      <c r="B1722" s="3"/>
      <c r="C1722" s="3"/>
      <c r="D1722" s="3"/>
      <c r="E1722" s="3"/>
      <c r="F1722" s="3"/>
      <c r="G1722" s="3"/>
      <c r="H1722" s="3"/>
      <c r="I1722" s="100"/>
      <c r="J1722" s="101"/>
      <c r="K1722" s="101"/>
      <c r="L1722" s="101"/>
      <c r="M1722" s="101"/>
      <c r="N1722" s="101"/>
      <c r="O1722" s="101"/>
      <c r="P1722" s="101"/>
      <c r="Q1722" s="101"/>
      <c r="R1722" s="101"/>
      <c r="S1722" s="101"/>
      <c r="T1722" s="101"/>
      <c r="U1722" s="101"/>
      <c r="V1722" s="101"/>
      <c r="W1722" s="101"/>
      <c r="X1722" s="101"/>
      <c r="Y1722" s="101"/>
      <c r="Z1722" s="101"/>
      <c r="AA1722" s="101"/>
      <c r="AB1722" s="101"/>
      <c r="AC1722" s="119"/>
      <c r="AD1722" s="119"/>
      <c r="AE1722" s="120"/>
      <c r="AF1722" s="119"/>
      <c r="AG1722" s="119"/>
      <c r="AH1722" s="120"/>
      <c r="AI1722" s="121"/>
      <c r="AJ1722" s="121"/>
      <c r="AK1722" s="121"/>
      <c r="AL1722" s="121"/>
      <c r="AM1722" s="122"/>
      <c r="AN1722" s="121"/>
      <c r="AP1722" s="87"/>
    </row>
    <row r="1723" spans="1:42">
      <c r="A1723" s="3"/>
      <c r="B1723" s="3"/>
      <c r="C1723" s="3"/>
      <c r="D1723" s="3"/>
      <c r="E1723" s="3"/>
      <c r="F1723" s="3"/>
      <c r="G1723" s="3"/>
      <c r="H1723" s="3"/>
      <c r="I1723" s="100"/>
      <c r="J1723" s="101"/>
      <c r="K1723" s="101"/>
      <c r="L1723" s="101"/>
      <c r="M1723" s="101"/>
      <c r="N1723" s="101"/>
      <c r="O1723" s="101"/>
      <c r="P1723" s="101"/>
      <c r="Q1723" s="101"/>
      <c r="R1723" s="101"/>
      <c r="S1723" s="101"/>
      <c r="T1723" s="101"/>
      <c r="U1723" s="101"/>
      <c r="V1723" s="101"/>
      <c r="W1723" s="101"/>
      <c r="X1723" s="101"/>
      <c r="Y1723" s="101"/>
      <c r="Z1723" s="101"/>
      <c r="AA1723" s="101"/>
      <c r="AB1723" s="101"/>
      <c r="AC1723" s="119"/>
      <c r="AD1723" s="119"/>
      <c r="AE1723" s="120"/>
      <c r="AF1723" s="119"/>
      <c r="AG1723" s="119"/>
      <c r="AH1723" s="120"/>
      <c r="AI1723" s="121"/>
      <c r="AJ1723" s="121"/>
      <c r="AK1723" s="121"/>
      <c r="AL1723" s="121"/>
      <c r="AM1723" s="122"/>
      <c r="AN1723" s="121"/>
      <c r="AP1723" s="87"/>
    </row>
    <row r="1724" spans="1:42">
      <c r="A1724" s="3"/>
      <c r="B1724" s="3"/>
      <c r="C1724" s="3"/>
      <c r="D1724" s="3"/>
      <c r="E1724" s="3"/>
      <c r="F1724" s="3"/>
      <c r="G1724" s="3"/>
      <c r="H1724" s="3"/>
      <c r="I1724" s="100"/>
      <c r="J1724" s="101"/>
      <c r="K1724" s="101"/>
      <c r="L1724" s="101"/>
      <c r="M1724" s="101"/>
      <c r="N1724" s="101"/>
      <c r="O1724" s="101"/>
      <c r="P1724" s="101"/>
      <c r="Q1724" s="101"/>
      <c r="R1724" s="101"/>
      <c r="S1724" s="101"/>
      <c r="T1724" s="101"/>
      <c r="U1724" s="101"/>
      <c r="V1724" s="101"/>
      <c r="W1724" s="101"/>
      <c r="X1724" s="101"/>
      <c r="Y1724" s="101"/>
      <c r="Z1724" s="101"/>
      <c r="AA1724" s="101"/>
      <c r="AB1724" s="101"/>
      <c r="AC1724" s="119"/>
      <c r="AD1724" s="119"/>
      <c r="AE1724" s="120"/>
      <c r="AF1724" s="119"/>
      <c r="AG1724" s="119"/>
      <c r="AH1724" s="120"/>
      <c r="AI1724" s="121"/>
      <c r="AJ1724" s="121"/>
      <c r="AK1724" s="121"/>
      <c r="AL1724" s="121"/>
      <c r="AM1724" s="122"/>
      <c r="AN1724" s="121"/>
      <c r="AP1724" s="87"/>
    </row>
    <row r="1725" spans="1:42">
      <c r="A1725" s="3"/>
      <c r="B1725" s="3"/>
      <c r="C1725" s="3"/>
      <c r="D1725" s="3"/>
      <c r="E1725" s="3"/>
      <c r="F1725" s="3"/>
      <c r="G1725" s="3"/>
      <c r="H1725" s="3"/>
      <c r="I1725" s="100"/>
      <c r="J1725" s="101"/>
      <c r="K1725" s="101"/>
      <c r="L1725" s="101"/>
      <c r="M1725" s="101"/>
      <c r="N1725" s="101"/>
      <c r="O1725" s="101"/>
      <c r="P1725" s="101"/>
      <c r="Q1725" s="101"/>
      <c r="R1725" s="101"/>
      <c r="S1725" s="101"/>
      <c r="T1725" s="101"/>
      <c r="U1725" s="101"/>
      <c r="V1725" s="101"/>
      <c r="W1725" s="101"/>
      <c r="X1725" s="101"/>
      <c r="Y1725" s="101"/>
      <c r="Z1725" s="101"/>
      <c r="AA1725" s="101"/>
      <c r="AB1725" s="101"/>
      <c r="AC1725" s="119"/>
      <c r="AD1725" s="119"/>
      <c r="AE1725" s="120"/>
      <c r="AF1725" s="119"/>
      <c r="AG1725" s="119"/>
      <c r="AH1725" s="120"/>
      <c r="AI1725" s="121"/>
      <c r="AJ1725" s="121"/>
      <c r="AK1725" s="121"/>
      <c r="AL1725" s="121"/>
      <c r="AM1725" s="122"/>
      <c r="AN1725" s="121"/>
      <c r="AP1725" s="87"/>
    </row>
    <row r="1726" spans="1:42">
      <c r="A1726" s="3"/>
      <c r="B1726" s="3"/>
      <c r="C1726" s="3"/>
      <c r="D1726" s="3"/>
      <c r="E1726" s="3"/>
      <c r="F1726" s="3"/>
      <c r="G1726" s="3"/>
      <c r="H1726" s="3"/>
      <c r="I1726" s="100"/>
      <c r="J1726" s="101"/>
      <c r="K1726" s="101"/>
      <c r="L1726" s="101"/>
      <c r="M1726" s="101"/>
      <c r="N1726" s="101"/>
      <c r="O1726" s="101"/>
      <c r="P1726" s="101"/>
      <c r="Q1726" s="101"/>
      <c r="R1726" s="101"/>
      <c r="S1726" s="101"/>
      <c r="T1726" s="101"/>
      <c r="U1726" s="101"/>
      <c r="V1726" s="101"/>
      <c r="W1726" s="101"/>
      <c r="X1726" s="101"/>
      <c r="Y1726" s="101"/>
      <c r="Z1726" s="101"/>
      <c r="AA1726" s="101"/>
      <c r="AB1726" s="101"/>
      <c r="AC1726" s="119"/>
      <c r="AD1726" s="119"/>
      <c r="AE1726" s="120"/>
      <c r="AF1726" s="119"/>
      <c r="AG1726" s="119"/>
      <c r="AH1726" s="120"/>
      <c r="AI1726" s="121"/>
      <c r="AJ1726" s="121"/>
      <c r="AK1726" s="121"/>
      <c r="AL1726" s="121"/>
      <c r="AM1726" s="122"/>
      <c r="AN1726" s="121"/>
      <c r="AP1726" s="87"/>
    </row>
    <row r="1727" spans="1:42">
      <c r="A1727" s="3"/>
      <c r="B1727" s="3"/>
      <c r="C1727" s="3"/>
      <c r="D1727" s="3"/>
      <c r="E1727" s="3"/>
      <c r="F1727" s="3"/>
      <c r="G1727" s="3"/>
      <c r="H1727" s="3"/>
      <c r="I1727" s="100"/>
      <c r="J1727" s="101"/>
      <c r="K1727" s="101"/>
      <c r="L1727" s="101"/>
      <c r="M1727" s="101"/>
      <c r="N1727" s="101"/>
      <c r="O1727" s="101"/>
      <c r="P1727" s="101"/>
      <c r="Q1727" s="101"/>
      <c r="R1727" s="101"/>
      <c r="S1727" s="101"/>
      <c r="T1727" s="101"/>
      <c r="U1727" s="101"/>
      <c r="V1727" s="101"/>
      <c r="W1727" s="101"/>
      <c r="X1727" s="101"/>
      <c r="Y1727" s="101"/>
      <c r="Z1727" s="101"/>
      <c r="AA1727" s="101"/>
      <c r="AB1727" s="101"/>
      <c r="AC1727" s="119"/>
      <c r="AD1727" s="119"/>
      <c r="AE1727" s="120"/>
      <c r="AF1727" s="119"/>
      <c r="AG1727" s="119"/>
      <c r="AH1727" s="120"/>
      <c r="AI1727" s="121"/>
      <c r="AJ1727" s="121"/>
      <c r="AK1727" s="121"/>
      <c r="AL1727" s="121"/>
      <c r="AM1727" s="122"/>
      <c r="AN1727" s="121"/>
      <c r="AP1727" s="87"/>
    </row>
    <row r="1728" spans="1:42">
      <c r="A1728" s="3"/>
      <c r="B1728" s="3"/>
      <c r="C1728" s="3"/>
      <c r="D1728" s="3"/>
      <c r="E1728" s="3"/>
      <c r="F1728" s="3"/>
      <c r="G1728" s="3"/>
      <c r="H1728" s="3"/>
      <c r="I1728" s="100"/>
      <c r="J1728" s="101"/>
      <c r="K1728" s="101"/>
      <c r="L1728" s="101"/>
      <c r="M1728" s="101"/>
      <c r="N1728" s="101"/>
      <c r="O1728" s="101"/>
      <c r="P1728" s="101"/>
      <c r="Q1728" s="101"/>
      <c r="R1728" s="101"/>
      <c r="S1728" s="101"/>
      <c r="T1728" s="101"/>
      <c r="U1728" s="101"/>
      <c r="V1728" s="101"/>
      <c r="W1728" s="101"/>
      <c r="X1728" s="101"/>
      <c r="Y1728" s="101"/>
      <c r="Z1728" s="101"/>
      <c r="AA1728" s="101"/>
      <c r="AB1728" s="101"/>
      <c r="AC1728" s="119"/>
      <c r="AD1728" s="119"/>
      <c r="AE1728" s="120"/>
      <c r="AF1728" s="119"/>
      <c r="AG1728" s="119"/>
      <c r="AH1728" s="120"/>
      <c r="AI1728" s="121"/>
      <c r="AJ1728" s="121"/>
      <c r="AK1728" s="121"/>
      <c r="AL1728" s="121"/>
      <c r="AM1728" s="122"/>
      <c r="AN1728" s="121"/>
      <c r="AP1728" s="87"/>
    </row>
    <row r="1729" spans="1:42">
      <c r="A1729" s="3"/>
      <c r="B1729" s="3"/>
      <c r="C1729" s="3"/>
      <c r="D1729" s="3"/>
      <c r="E1729" s="3"/>
      <c r="F1729" s="3"/>
      <c r="G1729" s="3"/>
      <c r="H1729" s="3"/>
      <c r="I1729" s="100"/>
      <c r="J1729" s="101"/>
      <c r="K1729" s="101"/>
      <c r="L1729" s="101"/>
      <c r="M1729" s="101"/>
      <c r="N1729" s="101"/>
      <c r="O1729" s="101"/>
      <c r="P1729" s="101"/>
      <c r="Q1729" s="101"/>
      <c r="R1729" s="101"/>
      <c r="S1729" s="101"/>
      <c r="T1729" s="101"/>
      <c r="U1729" s="101"/>
      <c r="V1729" s="101"/>
      <c r="W1729" s="101"/>
      <c r="X1729" s="101"/>
      <c r="Y1729" s="101"/>
      <c r="Z1729" s="101"/>
      <c r="AA1729" s="101"/>
      <c r="AB1729" s="101"/>
      <c r="AC1729" s="119"/>
      <c r="AD1729" s="119"/>
      <c r="AE1729" s="120"/>
      <c r="AF1729" s="119"/>
      <c r="AG1729" s="119"/>
      <c r="AH1729" s="120"/>
      <c r="AI1729" s="121"/>
      <c r="AJ1729" s="121"/>
      <c r="AK1729" s="121"/>
      <c r="AL1729" s="121"/>
      <c r="AM1729" s="122"/>
      <c r="AN1729" s="121"/>
      <c r="AP1729" s="87"/>
    </row>
    <row r="1730" spans="1:42">
      <c r="A1730" s="3"/>
      <c r="B1730" s="3"/>
      <c r="C1730" s="3"/>
      <c r="D1730" s="3"/>
      <c r="E1730" s="3"/>
      <c r="F1730" s="3"/>
      <c r="G1730" s="3"/>
      <c r="H1730" s="3"/>
      <c r="I1730" s="100"/>
      <c r="J1730" s="101"/>
      <c r="K1730" s="101"/>
      <c r="L1730" s="101"/>
      <c r="M1730" s="101"/>
      <c r="N1730" s="101"/>
      <c r="O1730" s="101"/>
      <c r="P1730" s="101"/>
      <c r="Q1730" s="101"/>
      <c r="R1730" s="101"/>
      <c r="S1730" s="101"/>
      <c r="T1730" s="101"/>
      <c r="U1730" s="101"/>
      <c r="V1730" s="101"/>
      <c r="W1730" s="101"/>
      <c r="X1730" s="101"/>
      <c r="Y1730" s="101"/>
      <c r="Z1730" s="101"/>
      <c r="AA1730" s="101"/>
      <c r="AB1730" s="101"/>
      <c r="AC1730" s="119"/>
      <c r="AD1730" s="119"/>
      <c r="AE1730" s="120"/>
      <c r="AF1730" s="119"/>
      <c r="AG1730" s="119"/>
      <c r="AH1730" s="120"/>
      <c r="AI1730" s="121"/>
      <c r="AJ1730" s="121"/>
      <c r="AK1730" s="121"/>
      <c r="AL1730" s="121"/>
      <c r="AM1730" s="122"/>
      <c r="AN1730" s="121"/>
      <c r="AP1730" s="87"/>
    </row>
    <row r="1731" spans="1:42">
      <c r="A1731" s="3"/>
      <c r="B1731" s="3"/>
      <c r="C1731" s="3"/>
      <c r="D1731" s="3"/>
      <c r="E1731" s="3"/>
      <c r="F1731" s="3"/>
      <c r="G1731" s="3"/>
      <c r="H1731" s="3"/>
      <c r="I1731" s="100"/>
      <c r="J1731" s="101"/>
      <c r="K1731" s="101"/>
      <c r="L1731" s="101"/>
      <c r="M1731" s="101"/>
      <c r="N1731" s="101"/>
      <c r="O1731" s="101"/>
      <c r="P1731" s="101"/>
      <c r="Q1731" s="101"/>
      <c r="R1731" s="101"/>
      <c r="S1731" s="101"/>
      <c r="T1731" s="101"/>
      <c r="U1731" s="101"/>
      <c r="V1731" s="101"/>
      <c r="W1731" s="101"/>
      <c r="X1731" s="101"/>
      <c r="Y1731" s="101"/>
      <c r="Z1731" s="101"/>
      <c r="AA1731" s="101"/>
      <c r="AB1731" s="101"/>
      <c r="AC1731" s="119"/>
      <c r="AD1731" s="119"/>
      <c r="AE1731" s="120"/>
      <c r="AF1731" s="119"/>
      <c r="AG1731" s="119"/>
      <c r="AH1731" s="120"/>
      <c r="AI1731" s="121"/>
      <c r="AJ1731" s="121"/>
      <c r="AK1731" s="121"/>
      <c r="AL1731" s="121"/>
      <c r="AM1731" s="122"/>
      <c r="AN1731" s="121"/>
      <c r="AP1731" s="87"/>
    </row>
    <row r="1732" spans="1:42">
      <c r="A1732" s="3"/>
      <c r="B1732" s="3"/>
      <c r="C1732" s="3"/>
      <c r="D1732" s="3"/>
      <c r="E1732" s="3"/>
      <c r="F1732" s="3"/>
      <c r="G1732" s="3"/>
      <c r="H1732" s="3"/>
      <c r="I1732" s="100"/>
      <c r="J1732" s="101"/>
      <c r="K1732" s="101"/>
      <c r="L1732" s="101"/>
      <c r="M1732" s="101"/>
      <c r="N1732" s="101"/>
      <c r="O1732" s="101"/>
      <c r="P1732" s="101"/>
      <c r="Q1732" s="101"/>
      <c r="R1732" s="101"/>
      <c r="S1732" s="101"/>
      <c r="T1732" s="101"/>
      <c r="U1732" s="101"/>
      <c r="V1732" s="101"/>
      <c r="W1732" s="101"/>
      <c r="X1732" s="101"/>
      <c r="Y1732" s="101"/>
      <c r="Z1732" s="101"/>
      <c r="AA1732" s="101"/>
      <c r="AB1732" s="101"/>
      <c r="AC1732" s="119"/>
      <c r="AD1732" s="119"/>
      <c r="AE1732" s="120"/>
      <c r="AF1732" s="119"/>
      <c r="AG1732" s="119"/>
      <c r="AH1732" s="120"/>
      <c r="AI1732" s="121"/>
      <c r="AJ1732" s="121"/>
      <c r="AK1732" s="121"/>
      <c r="AL1732" s="121"/>
      <c r="AM1732" s="122"/>
      <c r="AN1732" s="121"/>
      <c r="AP1732" s="87"/>
    </row>
    <row r="1733" spans="1:42">
      <c r="A1733" s="3"/>
      <c r="B1733" s="3"/>
      <c r="C1733" s="3"/>
      <c r="D1733" s="3"/>
      <c r="E1733" s="3"/>
      <c r="F1733" s="3"/>
      <c r="G1733" s="3"/>
      <c r="H1733" s="3"/>
      <c r="I1733" s="100"/>
      <c r="J1733" s="101"/>
      <c r="K1733" s="101"/>
      <c r="L1733" s="101"/>
      <c r="M1733" s="101"/>
      <c r="N1733" s="101"/>
      <c r="O1733" s="101"/>
      <c r="P1733" s="101"/>
      <c r="Q1733" s="101"/>
      <c r="R1733" s="101"/>
      <c r="S1733" s="101"/>
      <c r="T1733" s="101"/>
      <c r="U1733" s="101"/>
      <c r="V1733" s="101"/>
      <c r="W1733" s="101"/>
      <c r="X1733" s="101"/>
      <c r="Y1733" s="101"/>
      <c r="Z1733" s="101"/>
      <c r="AA1733" s="101"/>
      <c r="AB1733" s="101"/>
      <c r="AC1733" s="119"/>
      <c r="AD1733" s="119"/>
      <c r="AE1733" s="120"/>
      <c r="AF1733" s="119"/>
      <c r="AG1733" s="119"/>
      <c r="AH1733" s="120"/>
      <c r="AI1733" s="121"/>
      <c r="AJ1733" s="121"/>
      <c r="AK1733" s="121"/>
      <c r="AL1733" s="121"/>
      <c r="AM1733" s="122"/>
      <c r="AN1733" s="121"/>
      <c r="AP1733" s="87"/>
    </row>
    <row r="1734" spans="1:42">
      <c r="A1734" s="3"/>
      <c r="B1734" s="3"/>
      <c r="C1734" s="3"/>
      <c r="D1734" s="3"/>
      <c r="E1734" s="3"/>
      <c r="F1734" s="3"/>
      <c r="G1734" s="3"/>
      <c r="H1734" s="3"/>
      <c r="I1734" s="100"/>
      <c r="J1734" s="101"/>
      <c r="K1734" s="101"/>
      <c r="L1734" s="101"/>
      <c r="M1734" s="101"/>
      <c r="N1734" s="101"/>
      <c r="O1734" s="101"/>
      <c r="P1734" s="101"/>
      <c r="Q1734" s="101"/>
      <c r="R1734" s="101"/>
      <c r="S1734" s="101"/>
      <c r="T1734" s="101"/>
      <c r="U1734" s="101"/>
      <c r="V1734" s="101"/>
      <c r="W1734" s="101"/>
      <c r="X1734" s="101"/>
      <c r="Y1734" s="101"/>
      <c r="Z1734" s="101"/>
      <c r="AA1734" s="101"/>
      <c r="AB1734" s="101"/>
      <c r="AC1734" s="119"/>
      <c r="AD1734" s="119"/>
      <c r="AE1734" s="120"/>
      <c r="AF1734" s="119"/>
      <c r="AG1734" s="119"/>
      <c r="AH1734" s="120"/>
      <c r="AI1734" s="121"/>
      <c r="AJ1734" s="121"/>
      <c r="AK1734" s="121"/>
      <c r="AL1734" s="121"/>
      <c r="AM1734" s="122"/>
      <c r="AN1734" s="121"/>
      <c r="AP1734" s="87"/>
    </row>
    <row r="1735" spans="1:42">
      <c r="A1735" s="3"/>
      <c r="B1735" s="3"/>
      <c r="C1735" s="3"/>
      <c r="D1735" s="3"/>
      <c r="E1735" s="3"/>
      <c r="F1735" s="3"/>
      <c r="G1735" s="3"/>
      <c r="H1735" s="3"/>
      <c r="I1735" s="100"/>
      <c r="J1735" s="101"/>
      <c r="K1735" s="101"/>
      <c r="L1735" s="101"/>
      <c r="M1735" s="101"/>
      <c r="N1735" s="101"/>
      <c r="O1735" s="101"/>
      <c r="P1735" s="101"/>
      <c r="Q1735" s="101"/>
      <c r="R1735" s="101"/>
      <c r="S1735" s="101"/>
      <c r="T1735" s="101"/>
      <c r="U1735" s="101"/>
      <c r="V1735" s="101"/>
      <c r="W1735" s="101"/>
      <c r="X1735" s="101"/>
      <c r="Y1735" s="101"/>
      <c r="Z1735" s="101"/>
      <c r="AA1735" s="101"/>
      <c r="AB1735" s="101"/>
      <c r="AC1735" s="119"/>
      <c r="AD1735" s="119"/>
      <c r="AE1735" s="120"/>
      <c r="AF1735" s="119"/>
      <c r="AG1735" s="119"/>
      <c r="AH1735" s="120"/>
      <c r="AI1735" s="121"/>
      <c r="AJ1735" s="121"/>
      <c r="AK1735" s="121"/>
      <c r="AL1735" s="121"/>
      <c r="AM1735" s="122"/>
      <c r="AN1735" s="121"/>
      <c r="AP1735" s="87"/>
    </row>
    <row r="1736" spans="1:42">
      <c r="A1736" s="3"/>
      <c r="B1736" s="3"/>
      <c r="C1736" s="3"/>
      <c r="D1736" s="3"/>
      <c r="E1736" s="3"/>
      <c r="F1736" s="3"/>
      <c r="G1736" s="3"/>
      <c r="H1736" s="3"/>
      <c r="I1736" s="100"/>
      <c r="J1736" s="101"/>
      <c r="K1736" s="101"/>
      <c r="L1736" s="101"/>
      <c r="M1736" s="101"/>
      <c r="N1736" s="101"/>
      <c r="O1736" s="101"/>
      <c r="P1736" s="101"/>
      <c r="Q1736" s="101"/>
      <c r="R1736" s="101"/>
      <c r="S1736" s="101"/>
      <c r="T1736" s="101"/>
      <c r="U1736" s="101"/>
      <c r="V1736" s="101"/>
      <c r="W1736" s="101"/>
      <c r="X1736" s="101"/>
      <c r="Y1736" s="101"/>
      <c r="Z1736" s="101"/>
      <c r="AA1736" s="101"/>
      <c r="AB1736" s="101"/>
      <c r="AC1736" s="119"/>
      <c r="AD1736" s="119"/>
      <c r="AE1736" s="120"/>
      <c r="AF1736" s="119"/>
      <c r="AG1736" s="119"/>
      <c r="AH1736" s="120"/>
      <c r="AI1736" s="121"/>
      <c r="AJ1736" s="121"/>
      <c r="AK1736" s="121"/>
      <c r="AL1736" s="121"/>
      <c r="AM1736" s="122"/>
      <c r="AN1736" s="121"/>
      <c r="AP1736" s="87"/>
    </row>
    <row r="1737" spans="1:42">
      <c r="A1737" s="3"/>
      <c r="B1737" s="3"/>
      <c r="C1737" s="3"/>
      <c r="D1737" s="3"/>
      <c r="E1737" s="3"/>
      <c r="F1737" s="3"/>
      <c r="G1737" s="3"/>
      <c r="H1737" s="3"/>
      <c r="I1737" s="100"/>
      <c r="J1737" s="101"/>
      <c r="K1737" s="101"/>
      <c r="L1737" s="101"/>
      <c r="M1737" s="101"/>
      <c r="N1737" s="101"/>
      <c r="O1737" s="101"/>
      <c r="P1737" s="101"/>
      <c r="Q1737" s="101"/>
      <c r="R1737" s="101"/>
      <c r="S1737" s="101"/>
      <c r="T1737" s="101"/>
      <c r="U1737" s="101"/>
      <c r="V1737" s="101"/>
      <c r="W1737" s="101"/>
      <c r="X1737" s="101"/>
      <c r="Y1737" s="101"/>
      <c r="Z1737" s="101"/>
      <c r="AA1737" s="101"/>
      <c r="AB1737" s="101"/>
      <c r="AC1737" s="119"/>
      <c r="AD1737" s="119"/>
      <c r="AE1737" s="120"/>
      <c r="AF1737" s="119"/>
      <c r="AG1737" s="119"/>
      <c r="AH1737" s="120"/>
      <c r="AI1737" s="121"/>
      <c r="AJ1737" s="121"/>
      <c r="AK1737" s="121"/>
      <c r="AL1737" s="121"/>
      <c r="AM1737" s="122"/>
      <c r="AN1737" s="121"/>
      <c r="AP1737" s="87"/>
    </row>
    <row r="1738" spans="1:42">
      <c r="A1738" s="3"/>
      <c r="B1738" s="3"/>
      <c r="C1738" s="3"/>
      <c r="D1738" s="3"/>
      <c r="E1738" s="3"/>
      <c r="F1738" s="3"/>
      <c r="G1738" s="3"/>
      <c r="H1738" s="3"/>
      <c r="I1738" s="100"/>
      <c r="J1738" s="101"/>
      <c r="K1738" s="101"/>
      <c r="L1738" s="101"/>
      <c r="M1738" s="101"/>
      <c r="N1738" s="101"/>
      <c r="O1738" s="101"/>
      <c r="P1738" s="101"/>
      <c r="Q1738" s="101"/>
      <c r="R1738" s="101"/>
      <c r="S1738" s="101"/>
      <c r="T1738" s="101"/>
      <c r="U1738" s="101"/>
      <c r="V1738" s="101"/>
      <c r="W1738" s="101"/>
      <c r="X1738" s="101"/>
      <c r="Y1738" s="101"/>
      <c r="Z1738" s="101"/>
      <c r="AA1738" s="101"/>
      <c r="AB1738" s="101"/>
      <c r="AC1738" s="119"/>
      <c r="AD1738" s="119"/>
      <c r="AE1738" s="120"/>
      <c r="AF1738" s="119"/>
      <c r="AG1738" s="119"/>
      <c r="AH1738" s="120"/>
      <c r="AI1738" s="121"/>
      <c r="AJ1738" s="121"/>
      <c r="AK1738" s="121"/>
      <c r="AL1738" s="121"/>
      <c r="AM1738" s="122"/>
      <c r="AN1738" s="121"/>
      <c r="AP1738" s="87"/>
    </row>
    <row r="1739" spans="1:42">
      <c r="A1739" s="3"/>
      <c r="B1739" s="3"/>
      <c r="C1739" s="3"/>
      <c r="D1739" s="3"/>
      <c r="E1739" s="3"/>
      <c r="F1739" s="3"/>
      <c r="G1739" s="3"/>
      <c r="H1739" s="3"/>
      <c r="I1739" s="100"/>
      <c r="J1739" s="101"/>
      <c r="K1739" s="101"/>
      <c r="L1739" s="101"/>
      <c r="M1739" s="101"/>
      <c r="N1739" s="101"/>
      <c r="O1739" s="101"/>
      <c r="P1739" s="101"/>
      <c r="Q1739" s="101"/>
      <c r="R1739" s="101"/>
      <c r="S1739" s="101"/>
      <c r="T1739" s="101"/>
      <c r="U1739" s="101"/>
      <c r="V1739" s="101"/>
      <c r="W1739" s="101"/>
      <c r="X1739" s="101"/>
      <c r="Y1739" s="101"/>
      <c r="Z1739" s="101"/>
      <c r="AA1739" s="101"/>
      <c r="AB1739" s="101"/>
      <c r="AC1739" s="119"/>
      <c r="AD1739" s="119"/>
      <c r="AE1739" s="120"/>
      <c r="AF1739" s="119"/>
      <c r="AG1739" s="119"/>
      <c r="AH1739" s="120"/>
      <c r="AI1739" s="121"/>
      <c r="AJ1739" s="121"/>
      <c r="AK1739" s="121"/>
      <c r="AL1739" s="121"/>
      <c r="AM1739" s="122"/>
      <c r="AN1739" s="121"/>
      <c r="AP1739" s="87"/>
    </row>
    <row r="1740" spans="1:42">
      <c r="A1740" s="3"/>
      <c r="B1740" s="3"/>
      <c r="C1740" s="3"/>
      <c r="D1740" s="3"/>
      <c r="E1740" s="3"/>
      <c r="F1740" s="3"/>
      <c r="G1740" s="3"/>
      <c r="H1740" s="3"/>
      <c r="I1740" s="100"/>
      <c r="J1740" s="101"/>
      <c r="K1740" s="101"/>
      <c r="L1740" s="101"/>
      <c r="M1740" s="101"/>
      <c r="N1740" s="101"/>
      <c r="O1740" s="101"/>
      <c r="P1740" s="101"/>
      <c r="Q1740" s="101"/>
      <c r="R1740" s="101"/>
      <c r="S1740" s="101"/>
      <c r="T1740" s="101"/>
      <c r="U1740" s="101"/>
      <c r="V1740" s="101"/>
      <c r="W1740" s="101"/>
      <c r="X1740" s="101"/>
      <c r="Y1740" s="101"/>
      <c r="Z1740" s="101"/>
      <c r="AA1740" s="101"/>
      <c r="AB1740" s="101"/>
      <c r="AC1740" s="119"/>
      <c r="AD1740" s="119"/>
      <c r="AE1740" s="120"/>
      <c r="AF1740" s="119"/>
      <c r="AG1740" s="119"/>
      <c r="AH1740" s="120"/>
      <c r="AI1740" s="121"/>
      <c r="AJ1740" s="121"/>
      <c r="AK1740" s="121"/>
      <c r="AL1740" s="121"/>
      <c r="AM1740" s="122"/>
      <c r="AN1740" s="121"/>
      <c r="AP1740" s="87"/>
    </row>
    <row r="1741" spans="1:42">
      <c r="A1741" s="3"/>
      <c r="B1741" s="3"/>
      <c r="C1741" s="3"/>
      <c r="D1741" s="3"/>
      <c r="E1741" s="3"/>
      <c r="F1741" s="3"/>
      <c r="G1741" s="3"/>
      <c r="H1741" s="3"/>
      <c r="I1741" s="100"/>
      <c r="J1741" s="101"/>
      <c r="K1741" s="101"/>
      <c r="L1741" s="101"/>
      <c r="M1741" s="101"/>
      <c r="N1741" s="101"/>
      <c r="O1741" s="101"/>
      <c r="P1741" s="101"/>
      <c r="Q1741" s="101"/>
      <c r="R1741" s="101"/>
      <c r="S1741" s="101"/>
      <c r="T1741" s="101"/>
      <c r="U1741" s="101"/>
      <c r="V1741" s="101"/>
      <c r="W1741" s="101"/>
      <c r="X1741" s="101"/>
      <c r="Y1741" s="101"/>
      <c r="Z1741" s="101"/>
      <c r="AA1741" s="101"/>
      <c r="AB1741" s="101"/>
      <c r="AC1741" s="119"/>
      <c r="AD1741" s="119"/>
      <c r="AE1741" s="120"/>
      <c r="AF1741" s="119"/>
      <c r="AG1741" s="119"/>
      <c r="AH1741" s="120"/>
      <c r="AI1741" s="121"/>
      <c r="AJ1741" s="121"/>
      <c r="AK1741" s="121"/>
      <c r="AL1741" s="121"/>
      <c r="AM1741" s="122"/>
      <c r="AN1741" s="121"/>
      <c r="AP1741" s="87"/>
    </row>
    <row r="1742" spans="1:42">
      <c r="A1742" s="3"/>
      <c r="B1742" s="3"/>
      <c r="C1742" s="3"/>
      <c r="D1742" s="3"/>
      <c r="E1742" s="3"/>
      <c r="F1742" s="3"/>
      <c r="G1742" s="3"/>
      <c r="H1742" s="3"/>
      <c r="I1742" s="100"/>
      <c r="J1742" s="101"/>
      <c r="K1742" s="101"/>
      <c r="L1742" s="101"/>
      <c r="M1742" s="101"/>
      <c r="N1742" s="101"/>
      <c r="O1742" s="101"/>
      <c r="P1742" s="101"/>
      <c r="Q1742" s="101"/>
      <c r="R1742" s="101"/>
      <c r="S1742" s="101"/>
      <c r="T1742" s="101"/>
      <c r="U1742" s="101"/>
      <c r="V1742" s="101"/>
      <c r="W1742" s="101"/>
      <c r="X1742" s="101"/>
      <c r="Y1742" s="101"/>
      <c r="Z1742" s="101"/>
      <c r="AA1742" s="101"/>
      <c r="AB1742" s="101"/>
      <c r="AC1742" s="119"/>
      <c r="AD1742" s="119"/>
      <c r="AE1742" s="120"/>
      <c r="AF1742" s="119"/>
      <c r="AG1742" s="119"/>
      <c r="AH1742" s="120"/>
      <c r="AI1742" s="121"/>
      <c r="AJ1742" s="121"/>
      <c r="AK1742" s="121"/>
      <c r="AL1742" s="121"/>
      <c r="AM1742" s="122"/>
      <c r="AN1742" s="121"/>
      <c r="AP1742" s="87"/>
    </row>
    <row r="1743" spans="1:42">
      <c r="A1743" s="3"/>
      <c r="B1743" s="3"/>
      <c r="C1743" s="3"/>
      <c r="D1743" s="3"/>
      <c r="E1743" s="3"/>
      <c r="F1743" s="3"/>
      <c r="G1743" s="3"/>
      <c r="H1743" s="3"/>
      <c r="I1743" s="100"/>
      <c r="J1743" s="101"/>
      <c r="K1743" s="101"/>
      <c r="L1743" s="101"/>
      <c r="M1743" s="101"/>
      <c r="N1743" s="101"/>
      <c r="O1743" s="101"/>
      <c r="P1743" s="101"/>
      <c r="Q1743" s="101"/>
      <c r="R1743" s="101"/>
      <c r="S1743" s="101"/>
      <c r="T1743" s="101"/>
      <c r="U1743" s="101"/>
      <c r="V1743" s="101"/>
      <c r="W1743" s="101"/>
      <c r="X1743" s="101"/>
      <c r="Y1743" s="101"/>
      <c r="Z1743" s="101"/>
      <c r="AA1743" s="101"/>
      <c r="AB1743" s="101"/>
      <c r="AC1743" s="119"/>
      <c r="AD1743" s="119"/>
      <c r="AE1743" s="120"/>
      <c r="AF1743" s="119"/>
      <c r="AG1743" s="119"/>
      <c r="AH1743" s="120"/>
      <c r="AI1743" s="121"/>
      <c r="AJ1743" s="121"/>
      <c r="AK1743" s="121"/>
      <c r="AL1743" s="121"/>
      <c r="AM1743" s="122"/>
      <c r="AN1743" s="121"/>
      <c r="AP1743" s="87"/>
    </row>
    <row r="1744" spans="1:42">
      <c r="A1744" s="3"/>
      <c r="B1744" s="3"/>
      <c r="C1744" s="3"/>
      <c r="D1744" s="3"/>
      <c r="E1744" s="3"/>
      <c r="F1744" s="3"/>
      <c r="G1744" s="3"/>
      <c r="H1744" s="3"/>
      <c r="I1744" s="100"/>
      <c r="J1744" s="101"/>
      <c r="K1744" s="101"/>
      <c r="L1744" s="101"/>
      <c r="M1744" s="101"/>
      <c r="N1744" s="101"/>
      <c r="O1744" s="101"/>
      <c r="P1744" s="101"/>
      <c r="Q1744" s="101"/>
      <c r="R1744" s="101"/>
      <c r="S1744" s="101"/>
      <c r="T1744" s="101"/>
      <c r="U1744" s="101"/>
      <c r="V1744" s="101"/>
      <c r="W1744" s="101"/>
      <c r="X1744" s="101"/>
      <c r="Y1744" s="101"/>
      <c r="Z1744" s="101"/>
      <c r="AA1744" s="101"/>
      <c r="AB1744" s="101"/>
      <c r="AC1744" s="119"/>
      <c r="AD1744" s="119"/>
      <c r="AE1744" s="120"/>
      <c r="AF1744" s="119"/>
      <c r="AG1744" s="119"/>
      <c r="AH1744" s="120"/>
      <c r="AI1744" s="121"/>
      <c r="AJ1744" s="121"/>
      <c r="AK1744" s="121"/>
      <c r="AL1744" s="121"/>
      <c r="AM1744" s="122"/>
      <c r="AN1744" s="121"/>
      <c r="AP1744" s="87"/>
    </row>
    <row r="1745" spans="1:42">
      <c r="A1745" s="3"/>
      <c r="B1745" s="3"/>
      <c r="C1745" s="3"/>
      <c r="D1745" s="3"/>
      <c r="E1745" s="3"/>
      <c r="F1745" s="3"/>
      <c r="G1745" s="3"/>
      <c r="H1745" s="3"/>
      <c r="I1745" s="100"/>
      <c r="J1745" s="101"/>
      <c r="K1745" s="101"/>
      <c r="L1745" s="101"/>
      <c r="M1745" s="101"/>
      <c r="N1745" s="101"/>
      <c r="O1745" s="101"/>
      <c r="P1745" s="101"/>
      <c r="Q1745" s="101"/>
      <c r="R1745" s="101"/>
      <c r="S1745" s="101"/>
      <c r="T1745" s="101"/>
      <c r="U1745" s="101"/>
      <c r="V1745" s="101"/>
      <c r="W1745" s="101"/>
      <c r="X1745" s="101"/>
      <c r="Y1745" s="101"/>
      <c r="Z1745" s="101"/>
      <c r="AA1745" s="101"/>
      <c r="AB1745" s="101"/>
      <c r="AC1745" s="119"/>
      <c r="AD1745" s="119"/>
      <c r="AE1745" s="120"/>
      <c r="AF1745" s="119"/>
      <c r="AG1745" s="119"/>
      <c r="AH1745" s="120"/>
      <c r="AI1745" s="121"/>
      <c r="AJ1745" s="121"/>
      <c r="AK1745" s="121"/>
      <c r="AL1745" s="121"/>
      <c r="AM1745" s="122"/>
      <c r="AN1745" s="121"/>
      <c r="AP1745" s="87"/>
    </row>
    <row r="1746" spans="1:42">
      <c r="A1746" s="3"/>
      <c r="B1746" s="3"/>
      <c r="C1746" s="3"/>
      <c r="D1746" s="3"/>
      <c r="E1746" s="3"/>
      <c r="F1746" s="3"/>
      <c r="G1746" s="3"/>
      <c r="H1746" s="3"/>
      <c r="I1746" s="100"/>
      <c r="J1746" s="101"/>
      <c r="K1746" s="101"/>
      <c r="L1746" s="101"/>
      <c r="M1746" s="101"/>
      <c r="N1746" s="101"/>
      <c r="O1746" s="101"/>
      <c r="P1746" s="101"/>
      <c r="Q1746" s="101"/>
      <c r="R1746" s="101"/>
      <c r="S1746" s="101"/>
      <c r="T1746" s="101"/>
      <c r="U1746" s="101"/>
      <c r="V1746" s="101"/>
      <c r="W1746" s="101"/>
      <c r="X1746" s="101"/>
      <c r="Y1746" s="101"/>
      <c r="Z1746" s="101"/>
      <c r="AA1746" s="101"/>
      <c r="AB1746" s="101"/>
      <c r="AC1746" s="119"/>
      <c r="AD1746" s="119"/>
      <c r="AE1746" s="120"/>
      <c r="AF1746" s="119"/>
      <c r="AG1746" s="119"/>
      <c r="AH1746" s="120"/>
      <c r="AI1746" s="121"/>
      <c r="AJ1746" s="121"/>
      <c r="AK1746" s="121"/>
      <c r="AL1746" s="121"/>
      <c r="AM1746" s="122"/>
      <c r="AN1746" s="121"/>
      <c r="AP1746" s="87"/>
    </row>
    <row r="1747" spans="1:42">
      <c r="A1747" s="3"/>
      <c r="B1747" s="3"/>
      <c r="C1747" s="3"/>
      <c r="D1747" s="3"/>
      <c r="E1747" s="3"/>
      <c r="F1747" s="3"/>
      <c r="G1747" s="3"/>
      <c r="H1747" s="3"/>
      <c r="I1747" s="100"/>
      <c r="J1747" s="101"/>
      <c r="K1747" s="101"/>
      <c r="L1747" s="101"/>
      <c r="M1747" s="101"/>
      <c r="N1747" s="101"/>
      <c r="O1747" s="101"/>
      <c r="P1747" s="101"/>
      <c r="Q1747" s="101"/>
      <c r="R1747" s="101"/>
      <c r="S1747" s="101"/>
      <c r="T1747" s="101"/>
      <c r="U1747" s="101"/>
      <c r="V1747" s="101"/>
      <c r="W1747" s="101"/>
      <c r="X1747" s="101"/>
      <c r="Y1747" s="101"/>
      <c r="Z1747" s="101"/>
      <c r="AA1747" s="101"/>
      <c r="AB1747" s="101"/>
      <c r="AC1747" s="119"/>
      <c r="AD1747" s="119"/>
      <c r="AE1747" s="120"/>
      <c r="AF1747" s="119"/>
      <c r="AG1747" s="119"/>
      <c r="AH1747" s="120"/>
      <c r="AI1747" s="121"/>
      <c r="AJ1747" s="121"/>
      <c r="AK1747" s="121"/>
      <c r="AL1747" s="121"/>
      <c r="AM1747" s="122"/>
      <c r="AN1747" s="121"/>
      <c r="AP1747" s="87"/>
    </row>
    <row r="1748" spans="1:42">
      <c r="A1748" s="3"/>
      <c r="B1748" s="3"/>
      <c r="C1748" s="3"/>
      <c r="D1748" s="3"/>
      <c r="E1748" s="3"/>
      <c r="F1748" s="3"/>
      <c r="G1748" s="3"/>
      <c r="H1748" s="3"/>
      <c r="I1748" s="100"/>
      <c r="J1748" s="101"/>
      <c r="K1748" s="101"/>
      <c r="L1748" s="101"/>
      <c r="M1748" s="101"/>
      <c r="N1748" s="101"/>
      <c r="O1748" s="101"/>
      <c r="P1748" s="101"/>
      <c r="Q1748" s="101"/>
      <c r="R1748" s="101"/>
      <c r="S1748" s="101"/>
      <c r="T1748" s="101"/>
      <c r="U1748" s="101"/>
      <c r="V1748" s="101"/>
      <c r="W1748" s="101"/>
      <c r="X1748" s="101"/>
      <c r="Y1748" s="101"/>
      <c r="Z1748" s="101"/>
      <c r="AA1748" s="101"/>
      <c r="AB1748" s="101"/>
      <c r="AC1748" s="119"/>
      <c r="AD1748" s="119"/>
      <c r="AE1748" s="120"/>
      <c r="AF1748" s="119"/>
      <c r="AG1748" s="119"/>
      <c r="AH1748" s="120"/>
      <c r="AI1748" s="121"/>
      <c r="AJ1748" s="121"/>
      <c r="AK1748" s="121"/>
      <c r="AL1748" s="121"/>
      <c r="AM1748" s="122"/>
      <c r="AN1748" s="121"/>
      <c r="AP1748" s="87"/>
    </row>
    <row r="1749" spans="1:42">
      <c r="A1749" s="3"/>
      <c r="B1749" s="3"/>
      <c r="C1749" s="3"/>
      <c r="D1749" s="3"/>
      <c r="E1749" s="3"/>
      <c r="F1749" s="3"/>
      <c r="G1749" s="3"/>
      <c r="H1749" s="3"/>
      <c r="I1749" s="100"/>
      <c r="J1749" s="101"/>
      <c r="K1749" s="101"/>
      <c r="L1749" s="101"/>
      <c r="M1749" s="101"/>
      <c r="N1749" s="101"/>
      <c r="O1749" s="101"/>
      <c r="P1749" s="101"/>
      <c r="Q1749" s="101"/>
      <c r="R1749" s="101"/>
      <c r="S1749" s="101"/>
      <c r="T1749" s="101"/>
      <c r="U1749" s="101"/>
      <c r="V1749" s="101"/>
      <c r="W1749" s="101"/>
      <c r="X1749" s="101"/>
      <c r="Y1749" s="101"/>
      <c r="Z1749" s="101"/>
      <c r="AA1749" s="101"/>
      <c r="AB1749" s="101"/>
      <c r="AC1749" s="119"/>
      <c r="AD1749" s="119"/>
      <c r="AE1749" s="120"/>
      <c r="AF1749" s="119"/>
      <c r="AG1749" s="119"/>
      <c r="AH1749" s="120"/>
      <c r="AI1749" s="121"/>
      <c r="AJ1749" s="121"/>
      <c r="AK1749" s="121"/>
      <c r="AL1749" s="121"/>
      <c r="AM1749" s="122"/>
      <c r="AN1749" s="121"/>
      <c r="AP1749" s="87"/>
    </row>
    <row r="1750" spans="1:42">
      <c r="A1750" s="3"/>
      <c r="B1750" s="3"/>
      <c r="C1750" s="3"/>
      <c r="D1750" s="3"/>
      <c r="E1750" s="3"/>
      <c r="F1750" s="3"/>
      <c r="G1750" s="3"/>
      <c r="H1750" s="3"/>
      <c r="I1750" s="100"/>
      <c r="J1750" s="101"/>
      <c r="K1750" s="101"/>
      <c r="L1750" s="101"/>
      <c r="M1750" s="101"/>
      <c r="N1750" s="101"/>
      <c r="O1750" s="101"/>
      <c r="P1750" s="101"/>
      <c r="Q1750" s="101"/>
      <c r="R1750" s="101"/>
      <c r="S1750" s="101"/>
      <c r="T1750" s="101"/>
      <c r="U1750" s="101"/>
      <c r="V1750" s="101"/>
      <c r="W1750" s="101"/>
      <c r="X1750" s="101"/>
      <c r="Y1750" s="101"/>
      <c r="Z1750" s="101"/>
      <c r="AA1750" s="101"/>
      <c r="AB1750" s="101"/>
      <c r="AC1750" s="119"/>
      <c r="AD1750" s="119"/>
      <c r="AE1750" s="120"/>
      <c r="AF1750" s="119"/>
      <c r="AG1750" s="119"/>
      <c r="AH1750" s="120"/>
      <c r="AI1750" s="121"/>
      <c r="AJ1750" s="121"/>
      <c r="AK1750" s="121"/>
      <c r="AL1750" s="121"/>
      <c r="AM1750" s="122"/>
      <c r="AN1750" s="121"/>
      <c r="AP1750" s="87"/>
    </row>
    <row r="1751" spans="1:42">
      <c r="A1751" s="3"/>
      <c r="B1751" s="3"/>
      <c r="C1751" s="3"/>
      <c r="D1751" s="3"/>
      <c r="E1751" s="3"/>
      <c r="F1751" s="3"/>
      <c r="G1751" s="3"/>
      <c r="H1751" s="3"/>
      <c r="I1751" s="100"/>
      <c r="J1751" s="101"/>
      <c r="K1751" s="101"/>
      <c r="L1751" s="101"/>
      <c r="M1751" s="101"/>
      <c r="N1751" s="101"/>
      <c r="O1751" s="101"/>
      <c r="P1751" s="101"/>
      <c r="Q1751" s="101"/>
      <c r="R1751" s="101"/>
      <c r="S1751" s="101"/>
      <c r="T1751" s="101"/>
      <c r="U1751" s="101"/>
      <c r="V1751" s="101"/>
      <c r="W1751" s="101"/>
      <c r="X1751" s="101"/>
      <c r="Y1751" s="101"/>
      <c r="Z1751" s="101"/>
      <c r="AA1751" s="101"/>
      <c r="AB1751" s="101"/>
      <c r="AC1751" s="119"/>
      <c r="AD1751" s="119"/>
      <c r="AE1751" s="120"/>
      <c r="AF1751" s="119"/>
      <c r="AG1751" s="119"/>
      <c r="AH1751" s="120"/>
      <c r="AI1751" s="121"/>
      <c r="AJ1751" s="121"/>
      <c r="AK1751" s="121"/>
      <c r="AL1751" s="121"/>
      <c r="AM1751" s="122"/>
      <c r="AN1751" s="121"/>
      <c r="AP1751" s="87"/>
    </row>
    <row r="1752" spans="1:42">
      <c r="A1752" s="3"/>
      <c r="B1752" s="3"/>
      <c r="C1752" s="3"/>
      <c r="D1752" s="3"/>
      <c r="E1752" s="3"/>
      <c r="F1752" s="3"/>
      <c r="G1752" s="3"/>
      <c r="H1752" s="3"/>
      <c r="I1752" s="100"/>
      <c r="J1752" s="101"/>
      <c r="K1752" s="101"/>
      <c r="L1752" s="101"/>
      <c r="M1752" s="101"/>
      <c r="N1752" s="101"/>
      <c r="O1752" s="101"/>
      <c r="P1752" s="101"/>
      <c r="Q1752" s="101"/>
      <c r="R1752" s="101"/>
      <c r="S1752" s="101"/>
      <c r="T1752" s="101"/>
      <c r="U1752" s="101"/>
      <c r="V1752" s="101"/>
      <c r="W1752" s="101"/>
      <c r="X1752" s="101"/>
      <c r="Y1752" s="101"/>
      <c r="Z1752" s="101"/>
      <c r="AA1752" s="101"/>
      <c r="AB1752" s="101"/>
      <c r="AC1752" s="119"/>
      <c r="AD1752" s="119"/>
      <c r="AE1752" s="120"/>
      <c r="AF1752" s="119"/>
      <c r="AG1752" s="119"/>
      <c r="AH1752" s="120"/>
      <c r="AI1752" s="121"/>
      <c r="AJ1752" s="121"/>
      <c r="AK1752" s="121"/>
      <c r="AL1752" s="121"/>
      <c r="AM1752" s="122"/>
      <c r="AN1752" s="121"/>
      <c r="AP1752" s="87"/>
    </row>
    <row r="1753" spans="1:42">
      <c r="A1753" s="3"/>
      <c r="B1753" s="3"/>
      <c r="C1753" s="3"/>
      <c r="D1753" s="3"/>
      <c r="E1753" s="3"/>
      <c r="F1753" s="3"/>
      <c r="G1753" s="3"/>
      <c r="H1753" s="3"/>
      <c r="I1753" s="100"/>
      <c r="J1753" s="101"/>
      <c r="K1753" s="101"/>
      <c r="L1753" s="101"/>
      <c r="M1753" s="101"/>
      <c r="N1753" s="101"/>
      <c r="O1753" s="101"/>
      <c r="P1753" s="101"/>
      <c r="Q1753" s="101"/>
      <c r="R1753" s="101"/>
      <c r="S1753" s="101"/>
      <c r="T1753" s="101"/>
      <c r="U1753" s="101"/>
      <c r="V1753" s="101"/>
      <c r="W1753" s="101"/>
      <c r="X1753" s="101"/>
      <c r="Y1753" s="101"/>
      <c r="Z1753" s="101"/>
      <c r="AA1753" s="101"/>
      <c r="AB1753" s="101"/>
      <c r="AC1753" s="119"/>
      <c r="AD1753" s="119"/>
      <c r="AE1753" s="120"/>
      <c r="AF1753" s="119"/>
      <c r="AG1753" s="119"/>
      <c r="AH1753" s="120"/>
      <c r="AI1753" s="121"/>
      <c r="AJ1753" s="121"/>
      <c r="AK1753" s="121"/>
      <c r="AL1753" s="121"/>
      <c r="AM1753" s="122"/>
      <c r="AN1753" s="121"/>
      <c r="AP1753" s="87"/>
    </row>
    <row r="1754" spans="1:42">
      <c r="A1754" s="3"/>
      <c r="B1754" s="3"/>
      <c r="C1754" s="3"/>
      <c r="D1754" s="3"/>
      <c r="E1754" s="3"/>
      <c r="F1754" s="3"/>
      <c r="G1754" s="3"/>
      <c r="H1754" s="3"/>
      <c r="I1754" s="100"/>
      <c r="J1754" s="101"/>
      <c r="K1754" s="101"/>
      <c r="L1754" s="101"/>
      <c r="M1754" s="101"/>
      <c r="N1754" s="101"/>
      <c r="O1754" s="101"/>
      <c r="P1754" s="101"/>
      <c r="Q1754" s="101"/>
      <c r="R1754" s="101"/>
      <c r="S1754" s="101"/>
      <c r="T1754" s="101"/>
      <c r="U1754" s="101"/>
      <c r="V1754" s="101"/>
      <c r="W1754" s="101"/>
      <c r="X1754" s="101"/>
      <c r="Y1754" s="101"/>
      <c r="Z1754" s="101"/>
      <c r="AA1754" s="101"/>
      <c r="AB1754" s="101"/>
      <c r="AC1754" s="119"/>
      <c r="AD1754" s="119"/>
      <c r="AE1754" s="120"/>
      <c r="AF1754" s="119"/>
      <c r="AG1754" s="119"/>
      <c r="AH1754" s="120"/>
      <c r="AI1754" s="121"/>
      <c r="AJ1754" s="121"/>
      <c r="AK1754" s="121"/>
      <c r="AL1754" s="121"/>
      <c r="AM1754" s="122"/>
      <c r="AN1754" s="121"/>
      <c r="AP1754" s="87"/>
    </row>
    <row r="1755" spans="1:42">
      <c r="A1755" s="3"/>
      <c r="B1755" s="3"/>
      <c r="C1755" s="3"/>
      <c r="D1755" s="3"/>
      <c r="E1755" s="3"/>
      <c r="F1755" s="3"/>
      <c r="G1755" s="3"/>
      <c r="H1755" s="3"/>
      <c r="I1755" s="100"/>
      <c r="J1755" s="101"/>
      <c r="K1755" s="101"/>
      <c r="L1755" s="101"/>
      <c r="M1755" s="101"/>
      <c r="N1755" s="101"/>
      <c r="O1755" s="101"/>
      <c r="P1755" s="101"/>
      <c r="Q1755" s="101"/>
      <c r="R1755" s="101"/>
      <c r="S1755" s="101"/>
      <c r="T1755" s="101"/>
      <c r="U1755" s="101"/>
      <c r="V1755" s="101"/>
      <c r="W1755" s="101"/>
      <c r="X1755" s="101"/>
      <c r="Y1755" s="101"/>
      <c r="Z1755" s="101"/>
      <c r="AA1755" s="101"/>
      <c r="AB1755" s="101"/>
      <c r="AC1755" s="119"/>
      <c r="AD1755" s="119"/>
      <c r="AE1755" s="120"/>
      <c r="AF1755" s="119"/>
      <c r="AG1755" s="119"/>
      <c r="AH1755" s="120"/>
      <c r="AI1755" s="121"/>
      <c r="AJ1755" s="121"/>
      <c r="AK1755" s="121"/>
      <c r="AL1755" s="121"/>
      <c r="AM1755" s="122"/>
      <c r="AN1755" s="121"/>
      <c r="AP1755" s="87"/>
    </row>
    <row r="1756" spans="1:42">
      <c r="A1756" s="3"/>
      <c r="B1756" s="3"/>
      <c r="C1756" s="3"/>
      <c r="D1756" s="3"/>
      <c r="E1756" s="3"/>
      <c r="F1756" s="3"/>
      <c r="G1756" s="3"/>
      <c r="H1756" s="3"/>
      <c r="I1756" s="100"/>
      <c r="J1756" s="101"/>
      <c r="K1756" s="101"/>
      <c r="L1756" s="101"/>
      <c r="M1756" s="101"/>
      <c r="N1756" s="101"/>
      <c r="O1756" s="101"/>
      <c r="P1756" s="101"/>
      <c r="Q1756" s="101"/>
      <c r="R1756" s="101"/>
      <c r="S1756" s="101"/>
      <c r="T1756" s="101"/>
      <c r="U1756" s="101"/>
      <c r="V1756" s="101"/>
      <c r="W1756" s="101"/>
      <c r="X1756" s="101"/>
      <c r="Y1756" s="101"/>
      <c r="Z1756" s="101"/>
      <c r="AA1756" s="101"/>
      <c r="AB1756" s="101"/>
      <c r="AC1756" s="119"/>
      <c r="AD1756" s="119"/>
      <c r="AE1756" s="120"/>
      <c r="AF1756" s="119"/>
      <c r="AG1756" s="119"/>
      <c r="AH1756" s="120"/>
      <c r="AI1756" s="121"/>
      <c r="AJ1756" s="121"/>
      <c r="AK1756" s="121"/>
      <c r="AL1756" s="121"/>
      <c r="AM1756" s="122"/>
      <c r="AN1756" s="121"/>
      <c r="AP1756" s="87"/>
    </row>
    <row r="1757" spans="1:42">
      <c r="A1757" s="3"/>
      <c r="B1757" s="3"/>
      <c r="C1757" s="3"/>
      <c r="D1757" s="3"/>
      <c r="E1757" s="3"/>
      <c r="F1757" s="3"/>
      <c r="G1757" s="3"/>
      <c r="H1757" s="3"/>
      <c r="I1757" s="100"/>
      <c r="J1757" s="101"/>
      <c r="K1757" s="101"/>
      <c r="L1757" s="101"/>
      <c r="M1757" s="101"/>
      <c r="N1757" s="101"/>
      <c r="O1757" s="101"/>
      <c r="P1757" s="101"/>
      <c r="Q1757" s="101"/>
      <c r="R1757" s="101"/>
      <c r="S1757" s="101"/>
      <c r="T1757" s="101"/>
      <c r="U1757" s="101"/>
      <c r="V1757" s="101"/>
      <c r="W1757" s="101"/>
      <c r="X1757" s="101"/>
      <c r="Y1757" s="101"/>
      <c r="Z1757" s="101"/>
      <c r="AA1757" s="101"/>
      <c r="AB1757" s="101"/>
      <c r="AC1757" s="119"/>
      <c r="AD1757" s="119"/>
      <c r="AE1757" s="120"/>
      <c r="AF1757" s="119"/>
      <c r="AG1757" s="119"/>
      <c r="AH1757" s="120"/>
      <c r="AI1757" s="121"/>
      <c r="AJ1757" s="121"/>
      <c r="AK1757" s="121"/>
      <c r="AL1757" s="121"/>
      <c r="AM1757" s="122"/>
      <c r="AN1757" s="121"/>
      <c r="AP1757" s="87"/>
    </row>
    <row r="1758" spans="1:42">
      <c r="A1758" s="3"/>
      <c r="B1758" s="3"/>
      <c r="C1758" s="3"/>
      <c r="D1758" s="3"/>
      <c r="E1758" s="3"/>
      <c r="F1758" s="3"/>
      <c r="G1758" s="3"/>
      <c r="H1758" s="3"/>
      <c r="I1758" s="100"/>
      <c r="J1758" s="101"/>
      <c r="K1758" s="101"/>
      <c r="L1758" s="101"/>
      <c r="M1758" s="101"/>
      <c r="N1758" s="101"/>
      <c r="O1758" s="101"/>
      <c r="P1758" s="101"/>
      <c r="Q1758" s="101"/>
      <c r="R1758" s="101"/>
      <c r="S1758" s="101"/>
      <c r="T1758" s="101"/>
      <c r="U1758" s="101"/>
      <c r="V1758" s="101"/>
      <c r="W1758" s="101"/>
      <c r="X1758" s="101"/>
      <c r="Y1758" s="101"/>
      <c r="Z1758" s="101"/>
      <c r="AA1758" s="101"/>
      <c r="AB1758" s="101"/>
      <c r="AC1758" s="119"/>
      <c r="AD1758" s="119"/>
      <c r="AE1758" s="120"/>
      <c r="AF1758" s="119"/>
      <c r="AG1758" s="119"/>
      <c r="AH1758" s="120"/>
      <c r="AI1758" s="121"/>
      <c r="AJ1758" s="121"/>
      <c r="AK1758" s="121"/>
      <c r="AL1758" s="121"/>
      <c r="AM1758" s="122"/>
      <c r="AN1758" s="121"/>
      <c r="AP1758" s="87"/>
    </row>
    <row r="1759" spans="1:42">
      <c r="A1759" s="3"/>
      <c r="B1759" s="3"/>
      <c r="C1759" s="3"/>
      <c r="D1759" s="3"/>
      <c r="E1759" s="3"/>
      <c r="F1759" s="3"/>
      <c r="G1759" s="3"/>
      <c r="H1759" s="3"/>
      <c r="I1759" s="100"/>
      <c r="J1759" s="101"/>
      <c r="K1759" s="101"/>
      <c r="L1759" s="101"/>
      <c r="M1759" s="101"/>
      <c r="N1759" s="101"/>
      <c r="O1759" s="101"/>
      <c r="P1759" s="101"/>
      <c r="Q1759" s="101"/>
      <c r="R1759" s="101"/>
      <c r="S1759" s="101"/>
      <c r="T1759" s="101"/>
      <c r="U1759" s="101"/>
      <c r="V1759" s="101"/>
      <c r="W1759" s="101"/>
      <c r="X1759" s="101"/>
      <c r="Y1759" s="101"/>
      <c r="Z1759" s="101"/>
      <c r="AA1759" s="101"/>
      <c r="AB1759" s="101"/>
      <c r="AC1759" s="119"/>
      <c r="AD1759" s="119"/>
      <c r="AE1759" s="120"/>
      <c r="AF1759" s="119"/>
      <c r="AG1759" s="119"/>
      <c r="AH1759" s="120"/>
      <c r="AI1759" s="121"/>
      <c r="AJ1759" s="121"/>
      <c r="AK1759" s="121"/>
      <c r="AL1759" s="121"/>
      <c r="AM1759" s="122"/>
      <c r="AN1759" s="121"/>
      <c r="AP1759" s="87"/>
    </row>
    <row r="1760" spans="1:42">
      <c r="A1760" s="3"/>
      <c r="B1760" s="3"/>
      <c r="C1760" s="3"/>
      <c r="D1760" s="3"/>
      <c r="E1760" s="3"/>
      <c r="F1760" s="3"/>
      <c r="G1760" s="3"/>
      <c r="H1760" s="3"/>
      <c r="I1760" s="100"/>
      <c r="J1760" s="101"/>
      <c r="K1760" s="101"/>
      <c r="L1760" s="101"/>
      <c r="M1760" s="101"/>
      <c r="N1760" s="101"/>
      <c r="O1760" s="101"/>
      <c r="P1760" s="101"/>
      <c r="Q1760" s="101"/>
      <c r="R1760" s="101"/>
      <c r="S1760" s="101"/>
      <c r="T1760" s="101"/>
      <c r="U1760" s="101"/>
      <c r="V1760" s="101"/>
      <c r="W1760" s="101"/>
      <c r="X1760" s="101"/>
      <c r="Y1760" s="101"/>
      <c r="Z1760" s="101"/>
      <c r="AA1760" s="101"/>
      <c r="AB1760" s="101"/>
      <c r="AC1760" s="119"/>
      <c r="AD1760" s="119"/>
      <c r="AE1760" s="120"/>
      <c r="AF1760" s="119"/>
      <c r="AG1760" s="119"/>
      <c r="AH1760" s="120"/>
      <c r="AI1760" s="121"/>
      <c r="AJ1760" s="121"/>
      <c r="AK1760" s="121"/>
      <c r="AL1760" s="121"/>
      <c r="AM1760" s="122"/>
      <c r="AN1760" s="121"/>
      <c r="AP1760" s="87"/>
    </row>
    <row r="1761" spans="1:42">
      <c r="A1761" s="3"/>
      <c r="B1761" s="3"/>
      <c r="C1761" s="3"/>
      <c r="D1761" s="3"/>
      <c r="E1761" s="3"/>
      <c r="F1761" s="3"/>
      <c r="G1761" s="3"/>
      <c r="H1761" s="3"/>
      <c r="I1761" s="100"/>
      <c r="J1761" s="101"/>
      <c r="K1761" s="101"/>
      <c r="L1761" s="101"/>
      <c r="M1761" s="101"/>
      <c r="N1761" s="101"/>
      <c r="O1761" s="101"/>
      <c r="P1761" s="101"/>
      <c r="Q1761" s="101"/>
      <c r="R1761" s="101"/>
      <c r="S1761" s="101"/>
      <c r="T1761" s="101"/>
      <c r="U1761" s="101"/>
      <c r="V1761" s="101"/>
      <c r="W1761" s="101"/>
      <c r="X1761" s="101"/>
      <c r="Y1761" s="101"/>
      <c r="Z1761" s="101"/>
      <c r="AA1761" s="101"/>
      <c r="AB1761" s="101"/>
      <c r="AC1761" s="119"/>
      <c r="AD1761" s="119"/>
      <c r="AE1761" s="120"/>
      <c r="AF1761" s="119"/>
      <c r="AG1761" s="119"/>
      <c r="AH1761" s="120"/>
      <c r="AI1761" s="121"/>
      <c r="AJ1761" s="121"/>
      <c r="AK1761" s="121"/>
      <c r="AL1761" s="121"/>
      <c r="AM1761" s="122"/>
      <c r="AN1761" s="121"/>
      <c r="AP1761" s="87"/>
    </row>
    <row r="1762" spans="1:42">
      <c r="A1762" s="3"/>
      <c r="B1762" s="3"/>
      <c r="C1762" s="3"/>
      <c r="D1762" s="3"/>
      <c r="E1762" s="3"/>
      <c r="F1762" s="3"/>
      <c r="G1762" s="3"/>
      <c r="H1762" s="3"/>
      <c r="I1762" s="100"/>
      <c r="J1762" s="101"/>
      <c r="K1762" s="101"/>
      <c r="L1762" s="101"/>
      <c r="M1762" s="101"/>
      <c r="N1762" s="101"/>
      <c r="O1762" s="101"/>
      <c r="P1762" s="101"/>
      <c r="Q1762" s="101"/>
      <c r="R1762" s="101"/>
      <c r="S1762" s="101"/>
      <c r="T1762" s="101"/>
      <c r="U1762" s="101"/>
      <c r="V1762" s="101"/>
      <c r="W1762" s="101"/>
      <c r="X1762" s="101"/>
      <c r="Y1762" s="101"/>
      <c r="Z1762" s="101"/>
      <c r="AA1762" s="101"/>
      <c r="AB1762" s="101"/>
      <c r="AC1762" s="119"/>
      <c r="AD1762" s="119"/>
      <c r="AE1762" s="120"/>
      <c r="AF1762" s="119"/>
      <c r="AG1762" s="119"/>
      <c r="AH1762" s="120"/>
      <c r="AI1762" s="121"/>
      <c r="AJ1762" s="121"/>
      <c r="AK1762" s="121"/>
      <c r="AL1762" s="121"/>
      <c r="AM1762" s="122"/>
      <c r="AN1762" s="121"/>
      <c r="AP1762" s="87"/>
    </row>
    <row r="1763" spans="1:42">
      <c r="A1763" s="3"/>
      <c r="B1763" s="3"/>
      <c r="C1763" s="3"/>
      <c r="D1763" s="3"/>
      <c r="E1763" s="3"/>
      <c r="F1763" s="3"/>
      <c r="G1763" s="3"/>
      <c r="H1763" s="3"/>
      <c r="I1763" s="100"/>
      <c r="J1763" s="101"/>
      <c r="K1763" s="101"/>
      <c r="L1763" s="101"/>
      <c r="M1763" s="101"/>
      <c r="N1763" s="101"/>
      <c r="O1763" s="101"/>
      <c r="P1763" s="101"/>
      <c r="Q1763" s="101"/>
      <c r="R1763" s="101"/>
      <c r="S1763" s="101"/>
      <c r="T1763" s="101"/>
      <c r="U1763" s="101"/>
      <c r="V1763" s="101"/>
      <c r="W1763" s="101"/>
      <c r="X1763" s="101"/>
      <c r="Y1763" s="101"/>
      <c r="Z1763" s="101"/>
      <c r="AA1763" s="101"/>
      <c r="AB1763" s="101"/>
      <c r="AC1763" s="119"/>
      <c r="AD1763" s="119"/>
      <c r="AE1763" s="120"/>
      <c r="AF1763" s="119"/>
      <c r="AG1763" s="119"/>
      <c r="AH1763" s="120"/>
      <c r="AI1763" s="121"/>
      <c r="AJ1763" s="121"/>
      <c r="AK1763" s="121"/>
      <c r="AL1763" s="121"/>
      <c r="AM1763" s="122"/>
      <c r="AN1763" s="121"/>
      <c r="AP1763" s="87"/>
    </row>
    <row r="1764" spans="1:42">
      <c r="A1764" s="3"/>
      <c r="B1764" s="3"/>
      <c r="C1764" s="3"/>
      <c r="D1764" s="3"/>
      <c r="E1764" s="3"/>
      <c r="F1764" s="3"/>
      <c r="G1764" s="3"/>
      <c r="H1764" s="3"/>
      <c r="I1764" s="100"/>
      <c r="J1764" s="101"/>
      <c r="K1764" s="101"/>
      <c r="L1764" s="101"/>
      <c r="M1764" s="101"/>
      <c r="N1764" s="101"/>
      <c r="O1764" s="101"/>
      <c r="P1764" s="101"/>
      <c r="Q1764" s="101"/>
      <c r="R1764" s="101"/>
      <c r="S1764" s="101"/>
      <c r="T1764" s="101"/>
      <c r="U1764" s="101"/>
      <c r="V1764" s="101"/>
      <c r="W1764" s="101"/>
      <c r="X1764" s="101"/>
      <c r="Y1764" s="101"/>
      <c r="Z1764" s="101"/>
      <c r="AA1764" s="101"/>
      <c r="AB1764" s="101"/>
      <c r="AC1764" s="119"/>
      <c r="AD1764" s="119"/>
      <c r="AE1764" s="120"/>
      <c r="AF1764" s="119"/>
      <c r="AG1764" s="119"/>
      <c r="AH1764" s="120"/>
      <c r="AI1764" s="121"/>
      <c r="AJ1764" s="121"/>
      <c r="AK1764" s="121"/>
      <c r="AL1764" s="121"/>
      <c r="AM1764" s="122"/>
      <c r="AN1764" s="121"/>
      <c r="AP1764" s="87"/>
    </row>
    <row r="1765" spans="1:42">
      <c r="A1765" s="3"/>
      <c r="B1765" s="3"/>
      <c r="C1765" s="3"/>
      <c r="D1765" s="3"/>
      <c r="E1765" s="3"/>
      <c r="F1765" s="3"/>
      <c r="G1765" s="3"/>
      <c r="H1765" s="3"/>
      <c r="I1765" s="100"/>
      <c r="J1765" s="101"/>
      <c r="K1765" s="101"/>
      <c r="L1765" s="101"/>
      <c r="M1765" s="101"/>
      <c r="N1765" s="101"/>
      <c r="O1765" s="101"/>
      <c r="P1765" s="101"/>
      <c r="Q1765" s="101"/>
      <c r="R1765" s="101"/>
      <c r="S1765" s="101"/>
      <c r="T1765" s="101"/>
      <c r="U1765" s="101"/>
      <c r="V1765" s="101"/>
      <c r="W1765" s="101"/>
      <c r="X1765" s="101"/>
      <c r="Y1765" s="101"/>
      <c r="Z1765" s="101"/>
      <c r="AA1765" s="101"/>
      <c r="AB1765" s="101"/>
      <c r="AC1765" s="119"/>
      <c r="AD1765" s="119"/>
      <c r="AE1765" s="120"/>
      <c r="AF1765" s="119"/>
      <c r="AG1765" s="119"/>
      <c r="AH1765" s="120"/>
      <c r="AI1765" s="121"/>
      <c r="AJ1765" s="121"/>
      <c r="AK1765" s="121"/>
      <c r="AL1765" s="121"/>
      <c r="AM1765" s="122"/>
      <c r="AN1765" s="121"/>
      <c r="AP1765" s="87"/>
    </row>
    <row r="1766" spans="1:42">
      <c r="A1766" s="3"/>
      <c r="B1766" s="3"/>
      <c r="C1766" s="3"/>
      <c r="D1766" s="3"/>
      <c r="E1766" s="3"/>
      <c r="F1766" s="3"/>
      <c r="G1766" s="3"/>
      <c r="H1766" s="3"/>
      <c r="I1766" s="100"/>
      <c r="J1766" s="101"/>
      <c r="K1766" s="101"/>
      <c r="L1766" s="101"/>
      <c r="M1766" s="101"/>
      <c r="N1766" s="101"/>
      <c r="O1766" s="101"/>
      <c r="P1766" s="101"/>
      <c r="Q1766" s="101"/>
      <c r="R1766" s="101"/>
      <c r="S1766" s="101"/>
      <c r="T1766" s="101"/>
      <c r="U1766" s="101"/>
      <c r="V1766" s="101"/>
      <c r="W1766" s="101"/>
      <c r="X1766" s="101"/>
      <c r="Y1766" s="101"/>
      <c r="Z1766" s="101"/>
      <c r="AA1766" s="101"/>
      <c r="AB1766" s="101"/>
      <c r="AC1766" s="119"/>
      <c r="AD1766" s="119"/>
      <c r="AE1766" s="120"/>
      <c r="AF1766" s="119"/>
      <c r="AG1766" s="119"/>
      <c r="AH1766" s="120"/>
      <c r="AI1766" s="121"/>
      <c r="AJ1766" s="121"/>
      <c r="AK1766" s="121"/>
      <c r="AL1766" s="121"/>
      <c r="AM1766" s="122"/>
      <c r="AN1766" s="121"/>
      <c r="AP1766" s="87"/>
    </row>
    <row r="1767" spans="1:42">
      <c r="A1767" s="3"/>
      <c r="B1767" s="3"/>
      <c r="C1767" s="3"/>
      <c r="D1767" s="3"/>
      <c r="E1767" s="3"/>
      <c r="F1767" s="3"/>
      <c r="G1767" s="3"/>
      <c r="H1767" s="3"/>
      <c r="I1767" s="100"/>
      <c r="J1767" s="101"/>
      <c r="K1767" s="101"/>
      <c r="L1767" s="101"/>
      <c r="M1767" s="101"/>
      <c r="N1767" s="101"/>
      <c r="O1767" s="101"/>
      <c r="P1767" s="101"/>
      <c r="Q1767" s="101"/>
      <c r="R1767" s="101"/>
      <c r="S1767" s="101"/>
      <c r="T1767" s="101"/>
      <c r="U1767" s="101"/>
      <c r="V1767" s="101"/>
      <c r="W1767" s="101"/>
      <c r="X1767" s="101"/>
      <c r="Y1767" s="101"/>
      <c r="Z1767" s="101"/>
      <c r="AA1767" s="101"/>
      <c r="AB1767" s="101"/>
      <c r="AC1767" s="119"/>
      <c r="AD1767" s="119"/>
      <c r="AE1767" s="120"/>
      <c r="AF1767" s="119"/>
      <c r="AG1767" s="119"/>
      <c r="AH1767" s="120"/>
      <c r="AI1767" s="121"/>
      <c r="AJ1767" s="121"/>
      <c r="AK1767" s="121"/>
      <c r="AL1767" s="121"/>
      <c r="AM1767" s="122"/>
      <c r="AN1767" s="121"/>
      <c r="AP1767" s="87"/>
    </row>
    <row r="1768" spans="1:42">
      <c r="A1768" s="3"/>
      <c r="B1768" s="3"/>
      <c r="C1768" s="3"/>
      <c r="D1768" s="3"/>
      <c r="E1768" s="3"/>
      <c r="F1768" s="3"/>
      <c r="G1768" s="3"/>
      <c r="H1768" s="3"/>
      <c r="I1768" s="100"/>
      <c r="J1768" s="101"/>
      <c r="K1768" s="101"/>
      <c r="L1768" s="101"/>
      <c r="M1768" s="101"/>
      <c r="N1768" s="101"/>
      <c r="O1768" s="101"/>
      <c r="P1768" s="101"/>
      <c r="Q1768" s="101"/>
      <c r="R1768" s="101"/>
      <c r="S1768" s="101"/>
      <c r="T1768" s="101"/>
      <c r="U1768" s="101"/>
      <c r="V1768" s="101"/>
      <c r="W1768" s="101"/>
      <c r="X1768" s="101"/>
      <c r="Y1768" s="101"/>
      <c r="Z1768" s="101"/>
      <c r="AA1768" s="101"/>
      <c r="AB1768" s="101"/>
      <c r="AC1768" s="119"/>
      <c r="AD1768" s="119"/>
      <c r="AE1768" s="120"/>
      <c r="AF1768" s="119"/>
      <c r="AG1768" s="119"/>
      <c r="AH1768" s="120"/>
      <c r="AI1768" s="121"/>
      <c r="AJ1768" s="121"/>
      <c r="AK1768" s="121"/>
      <c r="AL1768" s="121"/>
      <c r="AM1768" s="122"/>
      <c r="AN1768" s="121"/>
      <c r="AP1768" s="87"/>
    </row>
    <row r="1769" spans="1:42">
      <c r="A1769" s="3"/>
      <c r="B1769" s="3"/>
      <c r="C1769" s="3"/>
      <c r="D1769" s="3"/>
      <c r="E1769" s="3"/>
      <c r="F1769" s="3"/>
      <c r="G1769" s="3"/>
      <c r="H1769" s="3"/>
      <c r="I1769" s="100"/>
      <c r="J1769" s="101"/>
      <c r="K1769" s="101"/>
      <c r="L1769" s="101"/>
      <c r="M1769" s="101"/>
      <c r="N1769" s="101"/>
      <c r="O1769" s="101"/>
      <c r="P1769" s="101"/>
      <c r="Q1769" s="101"/>
      <c r="R1769" s="101"/>
      <c r="S1769" s="101"/>
      <c r="T1769" s="101"/>
      <c r="U1769" s="101"/>
      <c r="V1769" s="101"/>
      <c r="W1769" s="101"/>
      <c r="X1769" s="101"/>
      <c r="Y1769" s="101"/>
      <c r="Z1769" s="101"/>
      <c r="AA1769" s="101"/>
      <c r="AB1769" s="101"/>
      <c r="AC1769" s="119"/>
      <c r="AD1769" s="119"/>
      <c r="AE1769" s="120"/>
      <c r="AF1769" s="119"/>
      <c r="AG1769" s="119"/>
      <c r="AH1769" s="120"/>
      <c r="AI1769" s="121"/>
      <c r="AJ1769" s="121"/>
      <c r="AK1769" s="121"/>
      <c r="AL1769" s="121"/>
      <c r="AM1769" s="122"/>
      <c r="AN1769" s="121"/>
      <c r="AP1769" s="87"/>
    </row>
    <row r="1770" spans="1:42">
      <c r="A1770" s="3"/>
      <c r="B1770" s="3"/>
      <c r="C1770" s="3"/>
      <c r="D1770" s="3"/>
      <c r="E1770" s="3"/>
      <c r="F1770" s="3"/>
      <c r="G1770" s="3"/>
      <c r="H1770" s="3"/>
      <c r="I1770" s="100"/>
      <c r="J1770" s="101"/>
      <c r="K1770" s="101"/>
      <c r="L1770" s="101"/>
      <c r="M1770" s="101"/>
      <c r="N1770" s="101"/>
      <c r="O1770" s="101"/>
      <c r="P1770" s="101"/>
      <c r="Q1770" s="101"/>
      <c r="R1770" s="101"/>
      <c r="S1770" s="101"/>
      <c r="T1770" s="101"/>
      <c r="U1770" s="101"/>
      <c r="V1770" s="101"/>
      <c r="W1770" s="101"/>
      <c r="X1770" s="101"/>
      <c r="Y1770" s="101"/>
      <c r="Z1770" s="101"/>
      <c r="AA1770" s="101"/>
      <c r="AB1770" s="101"/>
      <c r="AC1770" s="119"/>
      <c r="AD1770" s="119"/>
      <c r="AE1770" s="120"/>
      <c r="AF1770" s="119"/>
      <c r="AG1770" s="119"/>
      <c r="AH1770" s="120"/>
      <c r="AI1770" s="121"/>
      <c r="AJ1770" s="121"/>
      <c r="AK1770" s="121"/>
      <c r="AL1770" s="121"/>
      <c r="AM1770" s="122"/>
      <c r="AN1770" s="121"/>
      <c r="AP1770" s="87"/>
    </row>
    <row r="1771" spans="1:42">
      <c r="A1771" s="3"/>
      <c r="B1771" s="3"/>
      <c r="C1771" s="3"/>
      <c r="D1771" s="3"/>
      <c r="E1771" s="3"/>
      <c r="F1771" s="3"/>
      <c r="G1771" s="3"/>
      <c r="H1771" s="3"/>
      <c r="I1771" s="100"/>
      <c r="J1771" s="101"/>
      <c r="K1771" s="101"/>
      <c r="L1771" s="101"/>
      <c r="M1771" s="101"/>
      <c r="N1771" s="101"/>
      <c r="O1771" s="101"/>
      <c r="P1771" s="101"/>
      <c r="Q1771" s="101"/>
      <c r="R1771" s="101"/>
      <c r="S1771" s="101"/>
      <c r="T1771" s="101"/>
      <c r="U1771" s="101"/>
      <c r="V1771" s="101"/>
      <c r="W1771" s="101"/>
      <c r="X1771" s="101"/>
      <c r="Y1771" s="101"/>
      <c r="Z1771" s="101"/>
      <c r="AA1771" s="101"/>
      <c r="AB1771" s="101"/>
      <c r="AC1771" s="119"/>
      <c r="AD1771" s="119"/>
      <c r="AE1771" s="120"/>
      <c r="AF1771" s="119"/>
      <c r="AG1771" s="119"/>
      <c r="AH1771" s="120"/>
      <c r="AI1771" s="121"/>
      <c r="AJ1771" s="121"/>
      <c r="AK1771" s="121"/>
      <c r="AL1771" s="121"/>
      <c r="AM1771" s="122"/>
      <c r="AN1771" s="121"/>
      <c r="AP1771" s="87"/>
    </row>
    <row r="1772" spans="1:42">
      <c r="A1772" s="3"/>
      <c r="B1772" s="3"/>
      <c r="C1772" s="3"/>
      <c r="D1772" s="3"/>
      <c r="E1772" s="3"/>
      <c r="F1772" s="3"/>
      <c r="G1772" s="3"/>
      <c r="H1772" s="3"/>
      <c r="I1772" s="100"/>
      <c r="J1772" s="101"/>
      <c r="K1772" s="101"/>
      <c r="L1772" s="101"/>
      <c r="M1772" s="101"/>
      <c r="N1772" s="101"/>
      <c r="O1772" s="101"/>
      <c r="P1772" s="101"/>
      <c r="Q1772" s="101"/>
      <c r="R1772" s="101"/>
      <c r="S1772" s="101"/>
      <c r="T1772" s="101"/>
      <c r="U1772" s="101"/>
      <c r="V1772" s="101"/>
      <c r="W1772" s="101"/>
      <c r="X1772" s="101"/>
      <c r="Y1772" s="101"/>
      <c r="Z1772" s="101"/>
      <c r="AA1772" s="101"/>
      <c r="AB1772" s="101"/>
      <c r="AC1772" s="119"/>
      <c r="AD1772" s="119"/>
      <c r="AE1772" s="120"/>
      <c r="AF1772" s="119"/>
      <c r="AG1772" s="119"/>
      <c r="AH1772" s="120"/>
      <c r="AI1772" s="121"/>
      <c r="AJ1772" s="121"/>
      <c r="AK1772" s="121"/>
      <c r="AL1772" s="121"/>
      <c r="AM1772" s="122"/>
      <c r="AN1772" s="121"/>
      <c r="AP1772" s="87"/>
    </row>
    <row r="1773" spans="1:42">
      <c r="A1773" s="3"/>
      <c r="B1773" s="3"/>
      <c r="C1773" s="3"/>
      <c r="D1773" s="3"/>
      <c r="E1773" s="3"/>
      <c r="F1773" s="3"/>
      <c r="G1773" s="3"/>
      <c r="H1773" s="3"/>
      <c r="I1773" s="100"/>
      <c r="J1773" s="101"/>
      <c r="K1773" s="101"/>
      <c r="L1773" s="101"/>
      <c r="M1773" s="101"/>
      <c r="N1773" s="101"/>
      <c r="O1773" s="101"/>
      <c r="P1773" s="101"/>
      <c r="Q1773" s="101"/>
      <c r="R1773" s="101"/>
      <c r="S1773" s="101"/>
      <c r="T1773" s="101"/>
      <c r="U1773" s="101"/>
      <c r="V1773" s="101"/>
      <c r="W1773" s="101"/>
      <c r="X1773" s="101"/>
      <c r="Y1773" s="101"/>
      <c r="Z1773" s="101"/>
      <c r="AA1773" s="101"/>
      <c r="AB1773" s="101"/>
      <c r="AC1773" s="119"/>
      <c r="AD1773" s="119"/>
      <c r="AE1773" s="120"/>
      <c r="AF1773" s="119"/>
      <c r="AG1773" s="119"/>
      <c r="AH1773" s="120"/>
      <c r="AI1773" s="121"/>
      <c r="AJ1773" s="121"/>
      <c r="AK1773" s="121"/>
      <c r="AL1773" s="121"/>
      <c r="AM1773" s="122"/>
      <c r="AN1773" s="121"/>
      <c r="AP1773" s="87"/>
    </row>
    <row r="1774" spans="1:42">
      <c r="A1774" s="3"/>
      <c r="B1774" s="3"/>
      <c r="C1774" s="3"/>
      <c r="D1774" s="3"/>
      <c r="E1774" s="3"/>
      <c r="F1774" s="3"/>
      <c r="G1774" s="3"/>
      <c r="H1774" s="3"/>
      <c r="I1774" s="100"/>
      <c r="J1774" s="101"/>
      <c r="K1774" s="101"/>
      <c r="L1774" s="101"/>
      <c r="M1774" s="101"/>
      <c r="N1774" s="101"/>
      <c r="O1774" s="101"/>
      <c r="P1774" s="101"/>
      <c r="Q1774" s="101"/>
      <c r="R1774" s="101"/>
      <c r="S1774" s="101"/>
      <c r="T1774" s="101"/>
      <c r="U1774" s="101"/>
      <c r="V1774" s="101"/>
      <c r="W1774" s="101"/>
      <c r="X1774" s="101"/>
      <c r="Y1774" s="101"/>
      <c r="Z1774" s="101"/>
      <c r="AA1774" s="101"/>
      <c r="AB1774" s="101"/>
      <c r="AC1774" s="119"/>
      <c r="AD1774" s="119"/>
      <c r="AE1774" s="120"/>
      <c r="AF1774" s="119"/>
      <c r="AG1774" s="119"/>
      <c r="AH1774" s="120"/>
      <c r="AI1774" s="121"/>
      <c r="AJ1774" s="121"/>
      <c r="AK1774" s="121"/>
      <c r="AL1774" s="121"/>
      <c r="AM1774" s="122"/>
      <c r="AN1774" s="121"/>
      <c r="AP1774" s="87"/>
    </row>
    <row r="1775" spans="1:42">
      <c r="A1775" s="3"/>
      <c r="B1775" s="3"/>
      <c r="C1775" s="3"/>
      <c r="D1775" s="3"/>
      <c r="E1775" s="3"/>
      <c r="F1775" s="3"/>
      <c r="G1775" s="3"/>
      <c r="H1775" s="3"/>
      <c r="I1775" s="100"/>
      <c r="J1775" s="101"/>
      <c r="K1775" s="101"/>
      <c r="L1775" s="101"/>
      <c r="M1775" s="101"/>
      <c r="N1775" s="101"/>
      <c r="O1775" s="101"/>
      <c r="P1775" s="101"/>
      <c r="Q1775" s="101"/>
      <c r="R1775" s="101"/>
      <c r="S1775" s="101"/>
      <c r="T1775" s="101"/>
      <c r="U1775" s="101"/>
      <c r="V1775" s="101"/>
      <c r="W1775" s="101"/>
      <c r="X1775" s="101"/>
      <c r="Y1775" s="101"/>
      <c r="Z1775" s="101"/>
      <c r="AA1775" s="101"/>
      <c r="AB1775" s="101"/>
      <c r="AC1775" s="119"/>
      <c r="AD1775" s="119"/>
      <c r="AE1775" s="120"/>
      <c r="AF1775" s="119"/>
      <c r="AG1775" s="119"/>
      <c r="AH1775" s="120"/>
      <c r="AI1775" s="121"/>
      <c r="AJ1775" s="121"/>
      <c r="AK1775" s="121"/>
      <c r="AL1775" s="121"/>
      <c r="AM1775" s="122"/>
      <c r="AN1775" s="121"/>
      <c r="AP1775" s="87"/>
    </row>
    <row r="1776" spans="1:42">
      <c r="A1776" s="3"/>
      <c r="B1776" s="3"/>
      <c r="C1776" s="3"/>
      <c r="D1776" s="3"/>
      <c r="E1776" s="3"/>
      <c r="F1776" s="3"/>
      <c r="G1776" s="3"/>
      <c r="H1776" s="3"/>
      <c r="I1776" s="100"/>
      <c r="J1776" s="101"/>
      <c r="K1776" s="101"/>
      <c r="L1776" s="101"/>
      <c r="M1776" s="101"/>
      <c r="N1776" s="101"/>
      <c r="O1776" s="101"/>
      <c r="P1776" s="101"/>
      <c r="Q1776" s="101"/>
      <c r="R1776" s="101"/>
      <c r="S1776" s="101"/>
      <c r="T1776" s="101"/>
      <c r="U1776" s="101"/>
      <c r="V1776" s="101"/>
      <c r="W1776" s="101"/>
      <c r="X1776" s="101"/>
      <c r="Y1776" s="101"/>
      <c r="Z1776" s="101"/>
      <c r="AA1776" s="101"/>
      <c r="AB1776" s="101"/>
      <c r="AC1776" s="119"/>
      <c r="AD1776" s="119"/>
      <c r="AE1776" s="120"/>
      <c r="AF1776" s="119"/>
      <c r="AG1776" s="119"/>
      <c r="AH1776" s="120"/>
      <c r="AI1776" s="121"/>
      <c r="AJ1776" s="121"/>
      <c r="AK1776" s="121"/>
      <c r="AL1776" s="121"/>
      <c r="AM1776" s="122"/>
      <c r="AN1776" s="121"/>
      <c r="AP1776" s="87"/>
    </row>
    <row r="1777" spans="1:42">
      <c r="A1777" s="3"/>
      <c r="B1777" s="3"/>
      <c r="C1777" s="3"/>
      <c r="D1777" s="3"/>
      <c r="E1777" s="3"/>
      <c r="F1777" s="3"/>
      <c r="G1777" s="3"/>
      <c r="H1777" s="3"/>
      <c r="I1777" s="100"/>
      <c r="J1777" s="101"/>
      <c r="K1777" s="101"/>
      <c r="L1777" s="101"/>
      <c r="M1777" s="101"/>
      <c r="N1777" s="101"/>
      <c r="O1777" s="101"/>
      <c r="P1777" s="101"/>
      <c r="Q1777" s="101"/>
      <c r="R1777" s="101"/>
      <c r="S1777" s="101"/>
      <c r="T1777" s="101"/>
      <c r="U1777" s="101"/>
      <c r="V1777" s="101"/>
      <c r="W1777" s="101"/>
      <c r="X1777" s="101"/>
      <c r="Y1777" s="101"/>
      <c r="Z1777" s="101"/>
      <c r="AA1777" s="101"/>
      <c r="AB1777" s="101"/>
      <c r="AC1777" s="119"/>
      <c r="AD1777" s="119"/>
      <c r="AE1777" s="120"/>
      <c r="AF1777" s="119"/>
      <c r="AG1777" s="119"/>
      <c r="AH1777" s="120"/>
      <c r="AI1777" s="121"/>
      <c r="AJ1777" s="121"/>
      <c r="AK1777" s="121"/>
      <c r="AL1777" s="121"/>
      <c r="AM1777" s="122"/>
      <c r="AN1777" s="121"/>
      <c r="AP1777" s="87"/>
    </row>
    <row r="1778" spans="1:42">
      <c r="A1778" s="3"/>
      <c r="B1778" s="3"/>
      <c r="C1778" s="3"/>
      <c r="D1778" s="3"/>
      <c r="E1778" s="3"/>
      <c r="F1778" s="3"/>
      <c r="G1778" s="3"/>
      <c r="H1778" s="3"/>
      <c r="I1778" s="100"/>
      <c r="J1778" s="101"/>
      <c r="K1778" s="101"/>
      <c r="L1778" s="101"/>
      <c r="M1778" s="101"/>
      <c r="N1778" s="101"/>
      <c r="O1778" s="101"/>
      <c r="P1778" s="101"/>
      <c r="Q1778" s="101"/>
      <c r="R1778" s="101"/>
      <c r="S1778" s="101"/>
      <c r="T1778" s="101"/>
      <c r="U1778" s="101"/>
      <c r="V1778" s="101"/>
      <c r="W1778" s="101"/>
      <c r="X1778" s="101"/>
      <c r="Y1778" s="101"/>
      <c r="Z1778" s="101"/>
      <c r="AA1778" s="101"/>
      <c r="AB1778" s="101"/>
      <c r="AC1778" s="119"/>
      <c r="AD1778" s="119"/>
      <c r="AE1778" s="120"/>
      <c r="AF1778" s="119"/>
      <c r="AG1778" s="119"/>
      <c r="AH1778" s="120"/>
      <c r="AI1778" s="121"/>
      <c r="AJ1778" s="121"/>
      <c r="AK1778" s="121"/>
      <c r="AL1778" s="121"/>
      <c r="AM1778" s="122"/>
      <c r="AN1778" s="121"/>
      <c r="AP1778" s="87"/>
    </row>
    <row r="1779" spans="1:42">
      <c r="A1779" s="3"/>
      <c r="B1779" s="3"/>
      <c r="C1779" s="3"/>
      <c r="D1779" s="3"/>
      <c r="E1779" s="3"/>
      <c r="F1779" s="3"/>
      <c r="G1779" s="3"/>
      <c r="H1779" s="3"/>
      <c r="I1779" s="100"/>
      <c r="J1779" s="101"/>
      <c r="K1779" s="101"/>
      <c r="L1779" s="101"/>
      <c r="M1779" s="101"/>
      <c r="N1779" s="101"/>
      <c r="O1779" s="101"/>
      <c r="P1779" s="101"/>
      <c r="Q1779" s="101"/>
      <c r="R1779" s="101"/>
      <c r="S1779" s="101"/>
      <c r="T1779" s="101"/>
      <c r="U1779" s="101"/>
      <c r="V1779" s="101"/>
      <c r="W1779" s="101"/>
      <c r="X1779" s="101"/>
      <c r="Y1779" s="101"/>
      <c r="Z1779" s="101"/>
      <c r="AA1779" s="101"/>
      <c r="AB1779" s="101"/>
      <c r="AC1779" s="119"/>
      <c r="AD1779" s="119"/>
      <c r="AE1779" s="120"/>
      <c r="AF1779" s="119"/>
      <c r="AG1779" s="119"/>
      <c r="AH1779" s="120"/>
      <c r="AI1779" s="121"/>
      <c r="AJ1779" s="121"/>
      <c r="AK1779" s="121"/>
      <c r="AL1779" s="121"/>
      <c r="AM1779" s="122"/>
      <c r="AN1779" s="121"/>
      <c r="AP1779" s="87"/>
    </row>
    <row r="1780" spans="1:42">
      <c r="A1780" s="3"/>
      <c r="B1780" s="3"/>
      <c r="C1780" s="3"/>
      <c r="D1780" s="3"/>
      <c r="E1780" s="3"/>
      <c r="F1780" s="3"/>
      <c r="G1780" s="3"/>
      <c r="H1780" s="3"/>
      <c r="I1780" s="100"/>
      <c r="J1780" s="101"/>
      <c r="K1780" s="101"/>
      <c r="L1780" s="101"/>
      <c r="M1780" s="101"/>
      <c r="N1780" s="101"/>
      <c r="O1780" s="101"/>
      <c r="P1780" s="101"/>
      <c r="Q1780" s="101"/>
      <c r="R1780" s="101"/>
      <c r="S1780" s="101"/>
      <c r="T1780" s="101"/>
      <c r="U1780" s="101"/>
      <c r="V1780" s="101"/>
      <c r="W1780" s="101"/>
      <c r="X1780" s="101"/>
      <c r="Y1780" s="101"/>
      <c r="Z1780" s="101"/>
      <c r="AA1780" s="101"/>
      <c r="AB1780" s="101"/>
      <c r="AC1780" s="119"/>
      <c r="AD1780" s="119"/>
      <c r="AE1780" s="120"/>
      <c r="AF1780" s="119"/>
      <c r="AG1780" s="119"/>
      <c r="AH1780" s="120"/>
      <c r="AI1780" s="121"/>
      <c r="AJ1780" s="121"/>
      <c r="AK1780" s="121"/>
      <c r="AL1780" s="121"/>
      <c r="AM1780" s="122"/>
      <c r="AN1780" s="121"/>
      <c r="AP1780" s="87"/>
    </row>
    <row r="1781" spans="1:42">
      <c r="A1781" s="3"/>
      <c r="B1781" s="3"/>
      <c r="C1781" s="3"/>
      <c r="D1781" s="3"/>
      <c r="E1781" s="3"/>
      <c r="F1781" s="3"/>
      <c r="G1781" s="3"/>
      <c r="H1781" s="3"/>
      <c r="I1781" s="100"/>
      <c r="J1781" s="101"/>
      <c r="K1781" s="101"/>
      <c r="L1781" s="101"/>
      <c r="M1781" s="101"/>
      <c r="N1781" s="101"/>
      <c r="O1781" s="101"/>
      <c r="P1781" s="101"/>
      <c r="Q1781" s="101"/>
      <c r="R1781" s="101"/>
      <c r="S1781" s="101"/>
      <c r="T1781" s="101"/>
      <c r="U1781" s="101"/>
      <c r="V1781" s="101"/>
      <c r="W1781" s="101"/>
      <c r="X1781" s="101"/>
      <c r="Y1781" s="101"/>
      <c r="Z1781" s="101"/>
      <c r="AA1781" s="101"/>
      <c r="AB1781" s="101"/>
      <c r="AC1781" s="119"/>
      <c r="AD1781" s="119"/>
      <c r="AE1781" s="120"/>
      <c r="AF1781" s="119"/>
      <c r="AG1781" s="119"/>
      <c r="AH1781" s="120"/>
      <c r="AI1781" s="121"/>
      <c r="AJ1781" s="121"/>
      <c r="AK1781" s="121"/>
      <c r="AL1781" s="121"/>
      <c r="AM1781" s="122"/>
      <c r="AN1781" s="121"/>
      <c r="AP1781" s="87"/>
    </row>
    <row r="1782" spans="1:42">
      <c r="A1782" s="3"/>
      <c r="B1782" s="3"/>
      <c r="C1782" s="3"/>
      <c r="D1782" s="3"/>
      <c r="E1782" s="3"/>
      <c r="F1782" s="3"/>
      <c r="G1782" s="3"/>
      <c r="H1782" s="3"/>
      <c r="I1782" s="100"/>
      <c r="J1782" s="101"/>
      <c r="K1782" s="101"/>
      <c r="L1782" s="101"/>
      <c r="M1782" s="101"/>
      <c r="N1782" s="101"/>
      <c r="O1782" s="101"/>
      <c r="P1782" s="101"/>
      <c r="Q1782" s="101"/>
      <c r="R1782" s="101"/>
      <c r="S1782" s="101"/>
      <c r="T1782" s="101"/>
      <c r="U1782" s="101"/>
      <c r="V1782" s="101"/>
      <c r="W1782" s="101"/>
      <c r="X1782" s="101"/>
      <c r="Y1782" s="101"/>
      <c r="Z1782" s="101"/>
      <c r="AA1782" s="101"/>
      <c r="AB1782" s="101"/>
      <c r="AC1782" s="119"/>
      <c r="AD1782" s="119"/>
      <c r="AE1782" s="120"/>
      <c r="AF1782" s="119"/>
      <c r="AG1782" s="119"/>
      <c r="AH1782" s="120"/>
      <c r="AI1782" s="121"/>
      <c r="AJ1782" s="121"/>
      <c r="AK1782" s="121"/>
      <c r="AL1782" s="121"/>
      <c r="AM1782" s="122"/>
      <c r="AN1782" s="121"/>
      <c r="AP1782" s="87"/>
    </row>
    <row r="1783" spans="1:42">
      <c r="A1783" s="3"/>
      <c r="B1783" s="3"/>
      <c r="C1783" s="3"/>
      <c r="D1783" s="3"/>
      <c r="E1783" s="3"/>
      <c r="F1783" s="3"/>
      <c r="G1783" s="3"/>
      <c r="H1783" s="3"/>
      <c r="I1783" s="100"/>
      <c r="J1783" s="101"/>
      <c r="K1783" s="101"/>
      <c r="L1783" s="101"/>
      <c r="M1783" s="101"/>
      <c r="N1783" s="101"/>
      <c r="O1783" s="101"/>
      <c r="P1783" s="101"/>
      <c r="Q1783" s="101"/>
      <c r="R1783" s="101"/>
      <c r="S1783" s="101"/>
      <c r="T1783" s="101"/>
      <c r="U1783" s="101"/>
      <c r="V1783" s="101"/>
      <c r="W1783" s="101"/>
      <c r="X1783" s="101"/>
      <c r="Y1783" s="101"/>
      <c r="Z1783" s="101"/>
      <c r="AA1783" s="101"/>
      <c r="AB1783" s="101"/>
      <c r="AC1783" s="119"/>
      <c r="AD1783" s="119"/>
      <c r="AE1783" s="120"/>
      <c r="AF1783" s="119"/>
      <c r="AG1783" s="119"/>
      <c r="AH1783" s="120"/>
      <c r="AI1783" s="121"/>
      <c r="AJ1783" s="121"/>
      <c r="AK1783" s="121"/>
      <c r="AL1783" s="121"/>
      <c r="AM1783" s="122"/>
      <c r="AN1783" s="121"/>
      <c r="AP1783" s="87"/>
    </row>
    <row r="1784" spans="1:42">
      <c r="A1784" s="3"/>
      <c r="B1784" s="3"/>
      <c r="C1784" s="3"/>
      <c r="D1784" s="3"/>
      <c r="E1784" s="3"/>
      <c r="F1784" s="3"/>
      <c r="G1784" s="3"/>
      <c r="H1784" s="3"/>
      <c r="I1784" s="100"/>
      <c r="J1784" s="101"/>
      <c r="K1784" s="101"/>
      <c r="L1784" s="101"/>
      <c r="M1784" s="101"/>
      <c r="N1784" s="101"/>
      <c r="O1784" s="101"/>
      <c r="P1784" s="101"/>
      <c r="Q1784" s="101"/>
      <c r="R1784" s="101"/>
      <c r="S1784" s="101"/>
      <c r="T1784" s="101"/>
      <c r="U1784" s="101"/>
      <c r="V1784" s="101"/>
      <c r="W1784" s="101"/>
      <c r="X1784" s="101"/>
      <c r="Y1784" s="101"/>
      <c r="Z1784" s="101"/>
      <c r="AA1784" s="101"/>
      <c r="AB1784" s="101"/>
      <c r="AC1784" s="119"/>
      <c r="AD1784" s="119"/>
      <c r="AE1784" s="120"/>
      <c r="AF1784" s="119"/>
      <c r="AG1784" s="119"/>
      <c r="AH1784" s="120"/>
      <c r="AI1784" s="121"/>
      <c r="AJ1784" s="121"/>
      <c r="AK1784" s="121"/>
      <c r="AL1784" s="121"/>
      <c r="AM1784" s="122"/>
      <c r="AN1784" s="121"/>
      <c r="AP1784" s="87"/>
    </row>
    <row r="1785" spans="1:42">
      <c r="A1785" s="3"/>
      <c r="B1785" s="3"/>
      <c r="C1785" s="3"/>
      <c r="D1785" s="3"/>
      <c r="E1785" s="3"/>
      <c r="F1785" s="3"/>
      <c r="G1785" s="3"/>
      <c r="H1785" s="3"/>
      <c r="I1785" s="100"/>
      <c r="J1785" s="101"/>
      <c r="K1785" s="101"/>
      <c r="L1785" s="101"/>
      <c r="M1785" s="101"/>
      <c r="N1785" s="101"/>
      <c r="O1785" s="101"/>
      <c r="P1785" s="101"/>
      <c r="Q1785" s="101"/>
      <c r="R1785" s="101"/>
      <c r="S1785" s="101"/>
      <c r="T1785" s="101"/>
      <c r="U1785" s="101"/>
      <c r="V1785" s="101"/>
      <c r="W1785" s="101"/>
      <c r="X1785" s="101"/>
      <c r="Y1785" s="101"/>
      <c r="Z1785" s="101"/>
      <c r="AA1785" s="101"/>
      <c r="AB1785" s="101"/>
      <c r="AC1785" s="119"/>
      <c r="AD1785" s="119"/>
      <c r="AE1785" s="120"/>
      <c r="AF1785" s="119"/>
      <c r="AG1785" s="119"/>
      <c r="AH1785" s="120"/>
      <c r="AI1785" s="121"/>
      <c r="AJ1785" s="121"/>
      <c r="AK1785" s="121"/>
      <c r="AL1785" s="121"/>
      <c r="AM1785" s="122"/>
      <c r="AN1785" s="121"/>
      <c r="AP1785" s="87"/>
    </row>
    <row r="1786" spans="1:42">
      <c r="A1786" s="3"/>
      <c r="B1786" s="3"/>
      <c r="C1786" s="3"/>
      <c r="D1786" s="3"/>
      <c r="E1786" s="3"/>
      <c r="F1786" s="3"/>
      <c r="G1786" s="3"/>
      <c r="H1786" s="3"/>
      <c r="I1786" s="100"/>
      <c r="J1786" s="101"/>
      <c r="K1786" s="101"/>
      <c r="L1786" s="101"/>
      <c r="M1786" s="101"/>
      <c r="N1786" s="101"/>
      <c r="O1786" s="101"/>
      <c r="P1786" s="101"/>
      <c r="Q1786" s="101"/>
      <c r="R1786" s="101"/>
      <c r="S1786" s="101"/>
      <c r="T1786" s="101"/>
      <c r="U1786" s="101"/>
      <c r="V1786" s="101"/>
      <c r="W1786" s="101"/>
      <c r="X1786" s="101"/>
      <c r="Y1786" s="101"/>
      <c r="Z1786" s="101"/>
      <c r="AA1786" s="101"/>
      <c r="AB1786" s="101"/>
      <c r="AC1786" s="119"/>
      <c r="AD1786" s="119"/>
      <c r="AE1786" s="120"/>
      <c r="AF1786" s="119"/>
      <c r="AG1786" s="119"/>
      <c r="AH1786" s="120"/>
      <c r="AI1786" s="121"/>
      <c r="AJ1786" s="121"/>
      <c r="AK1786" s="121"/>
      <c r="AL1786" s="121"/>
      <c r="AM1786" s="122"/>
      <c r="AN1786" s="121"/>
      <c r="AP1786" s="87"/>
    </row>
    <row r="1787" spans="1:42">
      <c r="A1787" s="3"/>
      <c r="B1787" s="3"/>
      <c r="C1787" s="3"/>
      <c r="D1787" s="3"/>
      <c r="E1787" s="3"/>
      <c r="F1787" s="3"/>
      <c r="G1787" s="3"/>
      <c r="H1787" s="3"/>
      <c r="I1787" s="100"/>
      <c r="J1787" s="101"/>
      <c r="K1787" s="101"/>
      <c r="L1787" s="101"/>
      <c r="M1787" s="101"/>
      <c r="N1787" s="101"/>
      <c r="O1787" s="101"/>
      <c r="P1787" s="101"/>
      <c r="Q1787" s="101"/>
      <c r="R1787" s="101"/>
      <c r="S1787" s="101"/>
      <c r="T1787" s="101"/>
      <c r="U1787" s="101"/>
      <c r="V1787" s="101"/>
      <c r="W1787" s="101"/>
      <c r="X1787" s="101"/>
      <c r="Y1787" s="101"/>
      <c r="Z1787" s="101"/>
      <c r="AA1787" s="101"/>
      <c r="AB1787" s="101"/>
      <c r="AC1787" s="119"/>
      <c r="AD1787" s="119"/>
      <c r="AE1787" s="120"/>
      <c r="AF1787" s="119"/>
      <c r="AG1787" s="119"/>
      <c r="AH1787" s="120"/>
      <c r="AI1787" s="121"/>
      <c r="AJ1787" s="121"/>
      <c r="AK1787" s="121"/>
      <c r="AL1787" s="121"/>
      <c r="AM1787" s="122"/>
      <c r="AN1787" s="121"/>
      <c r="AP1787" s="87"/>
    </row>
    <row r="1788" spans="1:42">
      <c r="A1788" s="3"/>
      <c r="B1788" s="3"/>
      <c r="C1788" s="3"/>
      <c r="D1788" s="3"/>
      <c r="E1788" s="3"/>
      <c r="F1788" s="3"/>
      <c r="G1788" s="3"/>
      <c r="H1788" s="3"/>
      <c r="I1788" s="100"/>
      <c r="J1788" s="101"/>
      <c r="K1788" s="101"/>
      <c r="L1788" s="101"/>
      <c r="M1788" s="101"/>
      <c r="N1788" s="101"/>
      <c r="O1788" s="101"/>
      <c r="P1788" s="101"/>
      <c r="Q1788" s="101"/>
      <c r="R1788" s="101"/>
      <c r="S1788" s="101"/>
      <c r="T1788" s="101"/>
      <c r="U1788" s="101"/>
      <c r="V1788" s="101"/>
      <c r="W1788" s="101"/>
      <c r="X1788" s="101"/>
      <c r="Y1788" s="101"/>
      <c r="Z1788" s="101"/>
      <c r="AA1788" s="101"/>
      <c r="AB1788" s="101"/>
      <c r="AC1788" s="119"/>
      <c r="AD1788" s="119"/>
      <c r="AE1788" s="120"/>
      <c r="AF1788" s="119"/>
      <c r="AG1788" s="119"/>
      <c r="AH1788" s="120"/>
      <c r="AI1788" s="121"/>
      <c r="AJ1788" s="121"/>
      <c r="AK1788" s="121"/>
      <c r="AL1788" s="121"/>
      <c r="AM1788" s="122"/>
      <c r="AN1788" s="121"/>
      <c r="AP1788" s="87"/>
    </row>
    <row r="1789" spans="1:42">
      <c r="A1789" s="3"/>
      <c r="B1789" s="3"/>
      <c r="C1789" s="3"/>
      <c r="D1789" s="3"/>
      <c r="E1789" s="3"/>
      <c r="F1789" s="3"/>
      <c r="G1789" s="3"/>
      <c r="H1789" s="3"/>
      <c r="I1789" s="100"/>
      <c r="J1789" s="101"/>
      <c r="K1789" s="101"/>
      <c r="L1789" s="101"/>
      <c r="M1789" s="101"/>
      <c r="N1789" s="101"/>
      <c r="O1789" s="101"/>
      <c r="P1789" s="101"/>
      <c r="Q1789" s="101"/>
      <c r="R1789" s="101"/>
      <c r="S1789" s="101"/>
      <c r="T1789" s="101"/>
      <c r="U1789" s="101"/>
      <c r="V1789" s="101"/>
      <c r="W1789" s="101"/>
      <c r="X1789" s="101"/>
      <c r="Y1789" s="101"/>
      <c r="Z1789" s="101"/>
      <c r="AA1789" s="101"/>
      <c r="AB1789" s="101"/>
      <c r="AC1789" s="119"/>
      <c r="AD1789" s="119"/>
      <c r="AE1789" s="120"/>
      <c r="AF1789" s="119"/>
      <c r="AG1789" s="119"/>
      <c r="AH1789" s="120"/>
      <c r="AI1789" s="121"/>
      <c r="AJ1789" s="121"/>
      <c r="AK1789" s="121"/>
      <c r="AL1789" s="121"/>
      <c r="AM1789" s="122"/>
      <c r="AN1789" s="121"/>
      <c r="AP1789" s="87"/>
    </row>
    <row r="1790" spans="1:42">
      <c r="A1790" s="3"/>
      <c r="B1790" s="3"/>
      <c r="C1790" s="3"/>
      <c r="D1790" s="3"/>
      <c r="E1790" s="3"/>
      <c r="F1790" s="3"/>
      <c r="G1790" s="3"/>
      <c r="H1790" s="3"/>
      <c r="I1790" s="100"/>
      <c r="J1790" s="101"/>
      <c r="K1790" s="101"/>
      <c r="L1790" s="101"/>
      <c r="M1790" s="101"/>
      <c r="N1790" s="101"/>
      <c r="O1790" s="101"/>
      <c r="P1790" s="101"/>
      <c r="Q1790" s="101"/>
      <c r="R1790" s="101"/>
      <c r="S1790" s="101"/>
      <c r="T1790" s="101"/>
      <c r="U1790" s="101"/>
      <c r="V1790" s="101"/>
      <c r="W1790" s="101"/>
      <c r="X1790" s="101"/>
      <c r="Y1790" s="101"/>
      <c r="Z1790" s="101"/>
      <c r="AA1790" s="101"/>
      <c r="AB1790" s="101"/>
      <c r="AC1790" s="119"/>
      <c r="AD1790" s="119"/>
      <c r="AE1790" s="120"/>
      <c r="AF1790" s="119"/>
      <c r="AG1790" s="119"/>
      <c r="AH1790" s="120"/>
      <c r="AI1790" s="121"/>
      <c r="AJ1790" s="121"/>
      <c r="AK1790" s="121"/>
      <c r="AL1790" s="121"/>
      <c r="AM1790" s="122"/>
      <c r="AN1790" s="121"/>
      <c r="AP1790" s="87"/>
    </row>
    <row r="1791" spans="1:42">
      <c r="A1791" s="3"/>
      <c r="B1791" s="3"/>
      <c r="C1791" s="3"/>
      <c r="D1791" s="3"/>
      <c r="E1791" s="3"/>
      <c r="F1791" s="3"/>
      <c r="G1791" s="3"/>
      <c r="H1791" s="3"/>
      <c r="I1791" s="100"/>
      <c r="J1791" s="101"/>
      <c r="K1791" s="101"/>
      <c r="L1791" s="101"/>
      <c r="M1791" s="101"/>
      <c r="N1791" s="101"/>
      <c r="O1791" s="101"/>
      <c r="P1791" s="101"/>
      <c r="Q1791" s="101"/>
      <c r="R1791" s="101"/>
      <c r="S1791" s="101"/>
      <c r="T1791" s="101"/>
      <c r="U1791" s="101"/>
      <c r="V1791" s="101"/>
      <c r="W1791" s="101"/>
      <c r="X1791" s="101"/>
      <c r="Y1791" s="101"/>
      <c r="Z1791" s="101"/>
      <c r="AA1791" s="101"/>
      <c r="AB1791" s="101"/>
      <c r="AC1791" s="119"/>
      <c r="AD1791" s="119"/>
      <c r="AE1791" s="120"/>
      <c r="AF1791" s="119"/>
      <c r="AG1791" s="119"/>
      <c r="AH1791" s="120"/>
      <c r="AI1791" s="121"/>
      <c r="AJ1791" s="121"/>
      <c r="AK1791" s="121"/>
      <c r="AL1791" s="121"/>
      <c r="AM1791" s="122"/>
      <c r="AN1791" s="121"/>
      <c r="AP1791" s="87"/>
    </row>
    <row r="1792" spans="1:42">
      <c r="A1792" s="3"/>
      <c r="B1792" s="3"/>
      <c r="C1792" s="3"/>
      <c r="D1792" s="3"/>
      <c r="E1792" s="3"/>
      <c r="F1792" s="3"/>
      <c r="G1792" s="3"/>
      <c r="H1792" s="3"/>
      <c r="I1792" s="100"/>
      <c r="J1792" s="101"/>
      <c r="K1792" s="101"/>
      <c r="L1792" s="101"/>
      <c r="M1792" s="101"/>
      <c r="N1792" s="101"/>
      <c r="O1792" s="101"/>
      <c r="P1792" s="101"/>
      <c r="Q1792" s="101"/>
      <c r="R1792" s="101"/>
      <c r="S1792" s="101"/>
      <c r="T1792" s="101"/>
      <c r="U1792" s="101"/>
      <c r="V1792" s="101"/>
      <c r="W1792" s="101"/>
      <c r="X1792" s="101"/>
      <c r="Y1792" s="101"/>
      <c r="Z1792" s="101"/>
      <c r="AA1792" s="101"/>
      <c r="AB1792" s="101"/>
      <c r="AC1792" s="119"/>
      <c r="AD1792" s="119"/>
      <c r="AE1792" s="120"/>
      <c r="AF1792" s="119"/>
      <c r="AG1792" s="119"/>
      <c r="AH1792" s="120"/>
      <c r="AI1792" s="121"/>
      <c r="AJ1792" s="121"/>
      <c r="AK1792" s="121"/>
      <c r="AL1792" s="121"/>
      <c r="AM1792" s="122"/>
      <c r="AN1792" s="121"/>
      <c r="AP1792" s="87"/>
    </row>
    <row r="1793" spans="1:42">
      <c r="A1793" s="3"/>
      <c r="B1793" s="3"/>
      <c r="C1793" s="3"/>
      <c r="D1793" s="3"/>
      <c r="E1793" s="3"/>
      <c r="F1793" s="3"/>
      <c r="G1793" s="3"/>
      <c r="H1793" s="3"/>
      <c r="I1793" s="100"/>
      <c r="J1793" s="101"/>
      <c r="K1793" s="101"/>
      <c r="L1793" s="101"/>
      <c r="M1793" s="101"/>
      <c r="N1793" s="101"/>
      <c r="O1793" s="101"/>
      <c r="P1793" s="101"/>
      <c r="Q1793" s="101"/>
      <c r="R1793" s="101"/>
      <c r="S1793" s="101"/>
      <c r="T1793" s="101"/>
      <c r="U1793" s="101"/>
      <c r="V1793" s="101"/>
      <c r="W1793" s="101"/>
      <c r="X1793" s="101"/>
      <c r="Y1793" s="101"/>
      <c r="Z1793" s="101"/>
      <c r="AA1793" s="101"/>
      <c r="AB1793" s="101"/>
      <c r="AC1793" s="119"/>
      <c r="AD1793" s="119"/>
      <c r="AE1793" s="120"/>
      <c r="AF1793" s="119"/>
      <c r="AG1793" s="119"/>
      <c r="AH1793" s="120"/>
      <c r="AI1793" s="121"/>
      <c r="AJ1793" s="121"/>
      <c r="AK1793" s="121"/>
      <c r="AL1793" s="121"/>
      <c r="AM1793" s="122"/>
      <c r="AN1793" s="121"/>
      <c r="AP1793" s="87"/>
    </row>
    <row r="1794" spans="1:42">
      <c r="A1794" s="3"/>
      <c r="B1794" s="3"/>
      <c r="C1794" s="3"/>
      <c r="D1794" s="3"/>
      <c r="E1794" s="3"/>
      <c r="F1794" s="3"/>
      <c r="G1794" s="3"/>
      <c r="H1794" s="3"/>
      <c r="I1794" s="100"/>
      <c r="J1794" s="101"/>
      <c r="K1794" s="101"/>
      <c r="L1794" s="101"/>
      <c r="M1794" s="101"/>
      <c r="N1794" s="101"/>
      <c r="O1794" s="101"/>
      <c r="P1794" s="101"/>
      <c r="Q1794" s="101"/>
      <c r="R1794" s="101"/>
      <c r="S1794" s="101"/>
      <c r="T1794" s="101"/>
      <c r="U1794" s="101"/>
      <c r="V1794" s="101"/>
      <c r="W1794" s="101"/>
      <c r="X1794" s="101"/>
      <c r="Y1794" s="101"/>
      <c r="Z1794" s="101"/>
      <c r="AA1794" s="101"/>
      <c r="AB1794" s="101"/>
      <c r="AC1794" s="119"/>
      <c r="AD1794" s="119"/>
      <c r="AE1794" s="120"/>
      <c r="AF1794" s="119"/>
      <c r="AG1794" s="119"/>
      <c r="AH1794" s="120"/>
      <c r="AI1794" s="121"/>
      <c r="AJ1794" s="121"/>
      <c r="AK1794" s="121"/>
      <c r="AL1794" s="121"/>
      <c r="AM1794" s="122"/>
      <c r="AN1794" s="121"/>
      <c r="AP1794" s="87"/>
    </row>
    <row r="1795" spans="1:42">
      <c r="A1795" s="3"/>
      <c r="B1795" s="3"/>
      <c r="C1795" s="3"/>
      <c r="D1795" s="3"/>
      <c r="E1795" s="3"/>
      <c r="F1795" s="3"/>
      <c r="G1795" s="3"/>
      <c r="H1795" s="3"/>
      <c r="I1795" s="100"/>
      <c r="J1795" s="101"/>
      <c r="K1795" s="101"/>
      <c r="L1795" s="101"/>
      <c r="M1795" s="101"/>
      <c r="N1795" s="101"/>
      <c r="O1795" s="101"/>
      <c r="P1795" s="101"/>
      <c r="Q1795" s="101"/>
      <c r="R1795" s="101"/>
      <c r="S1795" s="101"/>
      <c r="T1795" s="101"/>
      <c r="U1795" s="101"/>
      <c r="V1795" s="101"/>
      <c r="W1795" s="101"/>
      <c r="X1795" s="101"/>
      <c r="Y1795" s="101"/>
      <c r="Z1795" s="101"/>
      <c r="AA1795" s="101"/>
      <c r="AB1795" s="101"/>
      <c r="AC1795" s="119"/>
      <c r="AD1795" s="119"/>
      <c r="AE1795" s="120"/>
      <c r="AF1795" s="119"/>
      <c r="AG1795" s="119"/>
      <c r="AH1795" s="120"/>
      <c r="AI1795" s="121"/>
      <c r="AJ1795" s="121"/>
      <c r="AK1795" s="121"/>
      <c r="AL1795" s="121"/>
      <c r="AM1795" s="122"/>
      <c r="AN1795" s="121"/>
      <c r="AP1795" s="87"/>
    </row>
    <row r="1796" spans="1:42">
      <c r="A1796" s="3"/>
      <c r="B1796" s="3"/>
      <c r="C1796" s="3"/>
      <c r="D1796" s="3"/>
      <c r="E1796" s="3"/>
      <c r="F1796" s="3"/>
      <c r="G1796" s="3"/>
      <c r="H1796" s="3"/>
      <c r="I1796" s="100"/>
      <c r="J1796" s="101"/>
      <c r="K1796" s="101"/>
      <c r="L1796" s="101"/>
      <c r="M1796" s="101"/>
      <c r="N1796" s="101"/>
      <c r="O1796" s="101"/>
      <c r="P1796" s="101"/>
      <c r="Q1796" s="101"/>
      <c r="R1796" s="101"/>
      <c r="S1796" s="101"/>
      <c r="T1796" s="101"/>
      <c r="U1796" s="101"/>
      <c r="V1796" s="101"/>
      <c r="W1796" s="101"/>
      <c r="X1796" s="101"/>
      <c r="Y1796" s="101"/>
      <c r="Z1796" s="101"/>
      <c r="AA1796" s="101"/>
      <c r="AB1796" s="101"/>
      <c r="AC1796" s="119"/>
      <c r="AD1796" s="119"/>
      <c r="AE1796" s="120"/>
      <c r="AF1796" s="119"/>
      <c r="AG1796" s="119"/>
      <c r="AH1796" s="120"/>
      <c r="AI1796" s="121"/>
      <c r="AJ1796" s="121"/>
      <c r="AK1796" s="121"/>
      <c r="AL1796" s="121"/>
      <c r="AM1796" s="122"/>
      <c r="AN1796" s="121"/>
      <c r="AP1796" s="87"/>
    </row>
    <row r="1797" spans="1:42">
      <c r="A1797" s="3"/>
      <c r="B1797" s="3"/>
      <c r="C1797" s="3"/>
      <c r="D1797" s="3"/>
      <c r="E1797" s="3"/>
      <c r="F1797" s="3"/>
      <c r="G1797" s="3"/>
      <c r="H1797" s="3"/>
      <c r="I1797" s="100"/>
      <c r="J1797" s="101"/>
      <c r="K1797" s="101"/>
      <c r="L1797" s="101"/>
      <c r="M1797" s="101"/>
      <c r="N1797" s="101"/>
      <c r="O1797" s="101"/>
      <c r="P1797" s="101"/>
      <c r="Q1797" s="101"/>
      <c r="R1797" s="101"/>
      <c r="S1797" s="101"/>
      <c r="T1797" s="101"/>
      <c r="U1797" s="101"/>
      <c r="V1797" s="101"/>
      <c r="W1797" s="101"/>
      <c r="X1797" s="101"/>
      <c r="Y1797" s="101"/>
      <c r="Z1797" s="101"/>
      <c r="AA1797" s="101"/>
      <c r="AB1797" s="101"/>
      <c r="AC1797" s="119"/>
      <c r="AD1797" s="119"/>
      <c r="AE1797" s="120"/>
      <c r="AF1797" s="119"/>
      <c r="AG1797" s="119"/>
      <c r="AH1797" s="120"/>
      <c r="AI1797" s="121"/>
      <c r="AJ1797" s="121"/>
      <c r="AK1797" s="121"/>
      <c r="AL1797" s="121"/>
      <c r="AM1797" s="122"/>
      <c r="AN1797" s="121"/>
      <c r="AP1797" s="87"/>
    </row>
    <row r="1798" spans="1:42">
      <c r="A1798" s="3"/>
      <c r="B1798" s="3"/>
      <c r="C1798" s="3"/>
      <c r="D1798" s="3"/>
      <c r="E1798" s="3"/>
      <c r="F1798" s="3"/>
      <c r="G1798" s="3"/>
      <c r="H1798" s="3"/>
      <c r="I1798" s="100"/>
      <c r="J1798" s="101"/>
      <c r="K1798" s="101"/>
      <c r="L1798" s="101"/>
      <c r="M1798" s="101"/>
      <c r="N1798" s="101"/>
      <c r="O1798" s="101"/>
      <c r="P1798" s="101"/>
      <c r="Q1798" s="101"/>
      <c r="R1798" s="101"/>
      <c r="S1798" s="101"/>
      <c r="T1798" s="101"/>
      <c r="U1798" s="101"/>
      <c r="V1798" s="101"/>
      <c r="W1798" s="101"/>
      <c r="X1798" s="101"/>
      <c r="Y1798" s="101"/>
      <c r="Z1798" s="101"/>
      <c r="AA1798" s="101"/>
      <c r="AB1798" s="101"/>
      <c r="AC1798" s="119"/>
      <c r="AD1798" s="119"/>
      <c r="AE1798" s="120"/>
      <c r="AF1798" s="119"/>
      <c r="AG1798" s="119"/>
      <c r="AH1798" s="120"/>
      <c r="AI1798" s="121"/>
      <c r="AJ1798" s="121"/>
      <c r="AK1798" s="121"/>
      <c r="AL1798" s="121"/>
      <c r="AM1798" s="122"/>
      <c r="AN1798" s="121"/>
      <c r="AP1798" s="87"/>
    </row>
    <row r="1799" spans="1:42">
      <c r="A1799" s="3"/>
      <c r="B1799" s="3"/>
      <c r="C1799" s="3"/>
      <c r="D1799" s="3"/>
      <c r="E1799" s="3"/>
      <c r="F1799" s="3"/>
      <c r="G1799" s="3"/>
      <c r="H1799" s="3"/>
      <c r="I1799" s="100"/>
      <c r="J1799" s="101"/>
      <c r="K1799" s="101"/>
      <c r="L1799" s="101"/>
      <c r="M1799" s="101"/>
      <c r="N1799" s="101"/>
      <c r="O1799" s="101"/>
      <c r="P1799" s="101"/>
      <c r="Q1799" s="101"/>
      <c r="R1799" s="101"/>
      <c r="S1799" s="101"/>
      <c r="T1799" s="101"/>
      <c r="U1799" s="101"/>
      <c r="V1799" s="101"/>
      <c r="W1799" s="101"/>
      <c r="X1799" s="101"/>
      <c r="Y1799" s="101"/>
      <c r="Z1799" s="101"/>
      <c r="AA1799" s="101"/>
      <c r="AB1799" s="101"/>
      <c r="AC1799" s="119"/>
      <c r="AD1799" s="119"/>
      <c r="AE1799" s="120"/>
      <c r="AF1799" s="119"/>
      <c r="AG1799" s="119"/>
      <c r="AH1799" s="120"/>
      <c r="AI1799" s="121"/>
      <c r="AJ1799" s="121"/>
      <c r="AK1799" s="121"/>
      <c r="AL1799" s="121"/>
      <c r="AM1799" s="122"/>
      <c r="AN1799" s="121"/>
      <c r="AP1799" s="87"/>
    </row>
    <row r="1800" spans="1:42">
      <c r="A1800" s="3"/>
      <c r="B1800" s="3"/>
      <c r="C1800" s="3"/>
      <c r="D1800" s="3"/>
      <c r="E1800" s="3"/>
      <c r="F1800" s="3"/>
      <c r="G1800" s="3"/>
      <c r="H1800" s="3"/>
      <c r="I1800" s="100"/>
      <c r="J1800" s="101"/>
      <c r="K1800" s="101"/>
      <c r="L1800" s="101"/>
      <c r="M1800" s="101"/>
      <c r="N1800" s="101"/>
      <c r="O1800" s="101"/>
      <c r="P1800" s="101"/>
      <c r="Q1800" s="101"/>
      <c r="R1800" s="101"/>
      <c r="S1800" s="101"/>
      <c r="T1800" s="101"/>
      <c r="U1800" s="101"/>
      <c r="V1800" s="101"/>
      <c r="W1800" s="101"/>
      <c r="X1800" s="101"/>
      <c r="Y1800" s="101"/>
      <c r="Z1800" s="101"/>
      <c r="AA1800" s="101"/>
      <c r="AB1800" s="101"/>
      <c r="AC1800" s="119"/>
      <c r="AD1800" s="119"/>
      <c r="AE1800" s="120"/>
      <c r="AF1800" s="119"/>
      <c r="AG1800" s="119"/>
      <c r="AH1800" s="120"/>
      <c r="AI1800" s="121"/>
      <c r="AJ1800" s="121"/>
      <c r="AK1800" s="121"/>
      <c r="AL1800" s="121"/>
      <c r="AM1800" s="122"/>
      <c r="AN1800" s="121"/>
      <c r="AP1800" s="87"/>
    </row>
    <row r="1801" spans="1:42">
      <c r="A1801" s="3"/>
      <c r="B1801" s="3"/>
      <c r="C1801" s="3"/>
      <c r="D1801" s="3"/>
      <c r="E1801" s="3"/>
      <c r="F1801" s="3"/>
      <c r="G1801" s="3"/>
      <c r="H1801" s="3"/>
      <c r="I1801" s="100"/>
      <c r="J1801" s="101"/>
      <c r="K1801" s="101"/>
      <c r="L1801" s="101"/>
      <c r="M1801" s="101"/>
      <c r="N1801" s="101"/>
      <c r="O1801" s="101"/>
      <c r="P1801" s="101"/>
      <c r="Q1801" s="101"/>
      <c r="R1801" s="101"/>
      <c r="S1801" s="101"/>
      <c r="T1801" s="101"/>
      <c r="U1801" s="101"/>
      <c r="V1801" s="101"/>
      <c r="W1801" s="101"/>
      <c r="X1801" s="101"/>
      <c r="Y1801" s="101"/>
      <c r="Z1801" s="101"/>
      <c r="AA1801" s="101"/>
      <c r="AB1801" s="101"/>
      <c r="AC1801" s="119"/>
      <c r="AD1801" s="119"/>
      <c r="AE1801" s="120"/>
      <c r="AF1801" s="119"/>
      <c r="AG1801" s="119"/>
      <c r="AH1801" s="120"/>
      <c r="AI1801" s="121"/>
      <c r="AJ1801" s="121"/>
      <c r="AK1801" s="121"/>
      <c r="AL1801" s="121"/>
      <c r="AM1801" s="122"/>
      <c r="AN1801" s="121"/>
      <c r="AP1801" s="87"/>
    </row>
    <row r="1802" spans="1:42">
      <c r="A1802" s="3"/>
      <c r="B1802" s="3"/>
      <c r="C1802" s="3"/>
      <c r="D1802" s="3"/>
      <c r="E1802" s="3"/>
      <c r="F1802" s="3"/>
      <c r="G1802" s="3"/>
      <c r="H1802" s="3"/>
      <c r="I1802" s="100"/>
      <c r="J1802" s="101"/>
      <c r="K1802" s="101"/>
      <c r="L1802" s="101"/>
      <c r="M1802" s="101"/>
      <c r="N1802" s="101"/>
      <c r="O1802" s="101"/>
      <c r="P1802" s="101"/>
      <c r="Q1802" s="101"/>
      <c r="R1802" s="101"/>
      <c r="S1802" s="101"/>
      <c r="T1802" s="101"/>
      <c r="U1802" s="101"/>
      <c r="V1802" s="101"/>
      <c r="W1802" s="101"/>
      <c r="X1802" s="101"/>
      <c r="Y1802" s="101"/>
      <c r="Z1802" s="101"/>
      <c r="AA1802" s="101"/>
      <c r="AB1802" s="101"/>
      <c r="AC1802" s="119"/>
      <c r="AD1802" s="119"/>
      <c r="AE1802" s="120"/>
      <c r="AF1802" s="119"/>
      <c r="AG1802" s="119"/>
      <c r="AH1802" s="120"/>
      <c r="AI1802" s="121"/>
      <c r="AJ1802" s="121"/>
      <c r="AK1802" s="121"/>
      <c r="AL1802" s="121"/>
      <c r="AM1802" s="122"/>
      <c r="AN1802" s="121"/>
      <c r="AP1802" s="87"/>
    </row>
    <row r="1803" spans="1:42">
      <c r="A1803" s="3"/>
      <c r="B1803" s="3"/>
      <c r="C1803" s="3"/>
      <c r="D1803" s="3"/>
      <c r="E1803" s="3"/>
      <c r="F1803" s="3"/>
      <c r="G1803" s="3"/>
      <c r="H1803" s="3"/>
      <c r="I1803" s="100"/>
      <c r="J1803" s="101"/>
      <c r="K1803" s="101"/>
      <c r="L1803" s="101"/>
      <c r="M1803" s="101"/>
      <c r="N1803" s="101"/>
      <c r="O1803" s="101"/>
      <c r="P1803" s="101"/>
      <c r="Q1803" s="101"/>
      <c r="R1803" s="101"/>
      <c r="S1803" s="101"/>
      <c r="T1803" s="101"/>
      <c r="U1803" s="101"/>
      <c r="V1803" s="101"/>
      <c r="W1803" s="101"/>
      <c r="X1803" s="101"/>
      <c r="Y1803" s="101"/>
      <c r="Z1803" s="101"/>
      <c r="AA1803" s="101"/>
      <c r="AB1803" s="101"/>
      <c r="AC1803" s="119"/>
      <c r="AD1803" s="119"/>
      <c r="AE1803" s="120"/>
      <c r="AF1803" s="119"/>
      <c r="AG1803" s="119"/>
      <c r="AH1803" s="120"/>
      <c r="AI1803" s="121"/>
      <c r="AJ1803" s="121"/>
      <c r="AK1803" s="121"/>
      <c r="AL1803" s="121"/>
      <c r="AM1803" s="122"/>
      <c r="AN1803" s="121"/>
      <c r="AP1803" s="87"/>
    </row>
    <row r="1804" spans="1:42">
      <c r="A1804" s="3"/>
      <c r="B1804" s="3"/>
      <c r="C1804" s="3"/>
      <c r="D1804" s="3"/>
      <c r="E1804" s="3"/>
      <c r="F1804" s="3"/>
      <c r="G1804" s="3"/>
      <c r="H1804" s="3"/>
      <c r="I1804" s="100"/>
      <c r="J1804" s="101"/>
      <c r="K1804" s="101"/>
      <c r="L1804" s="101"/>
      <c r="M1804" s="101"/>
      <c r="N1804" s="101"/>
      <c r="O1804" s="101"/>
      <c r="P1804" s="101"/>
      <c r="Q1804" s="101"/>
      <c r="R1804" s="101"/>
      <c r="S1804" s="101"/>
      <c r="T1804" s="101"/>
      <c r="U1804" s="101"/>
      <c r="V1804" s="101"/>
      <c r="W1804" s="101"/>
      <c r="X1804" s="101"/>
      <c r="Y1804" s="101"/>
      <c r="Z1804" s="101"/>
      <c r="AA1804" s="101"/>
      <c r="AB1804" s="101"/>
      <c r="AC1804" s="119"/>
      <c r="AD1804" s="119"/>
      <c r="AE1804" s="120"/>
      <c r="AF1804" s="119"/>
      <c r="AG1804" s="119"/>
      <c r="AH1804" s="120"/>
      <c r="AI1804" s="121"/>
      <c r="AJ1804" s="121"/>
      <c r="AK1804" s="121"/>
      <c r="AL1804" s="121"/>
      <c r="AM1804" s="122"/>
      <c r="AN1804" s="121"/>
      <c r="AP1804" s="87"/>
    </row>
    <row r="1805" spans="1:42">
      <c r="A1805" s="3"/>
      <c r="B1805" s="3"/>
      <c r="C1805" s="3"/>
      <c r="D1805" s="3"/>
      <c r="E1805" s="3"/>
      <c r="F1805" s="3"/>
      <c r="G1805" s="3"/>
      <c r="H1805" s="3"/>
      <c r="I1805" s="100"/>
      <c r="J1805" s="101"/>
      <c r="K1805" s="101"/>
      <c r="L1805" s="101"/>
      <c r="M1805" s="101"/>
      <c r="N1805" s="101"/>
      <c r="O1805" s="101"/>
      <c r="P1805" s="101"/>
      <c r="Q1805" s="101"/>
      <c r="R1805" s="101"/>
      <c r="S1805" s="101"/>
      <c r="T1805" s="101"/>
      <c r="U1805" s="101"/>
      <c r="V1805" s="101"/>
      <c r="W1805" s="101"/>
      <c r="X1805" s="101"/>
      <c r="Y1805" s="101"/>
      <c r="Z1805" s="101"/>
      <c r="AA1805" s="101"/>
      <c r="AB1805" s="101"/>
      <c r="AC1805" s="119"/>
      <c r="AD1805" s="119"/>
      <c r="AE1805" s="120"/>
      <c r="AF1805" s="119"/>
      <c r="AG1805" s="119"/>
      <c r="AH1805" s="120"/>
      <c r="AI1805" s="121"/>
      <c r="AJ1805" s="121"/>
      <c r="AK1805" s="121"/>
      <c r="AL1805" s="121"/>
      <c r="AM1805" s="122"/>
      <c r="AN1805" s="121"/>
      <c r="AP1805" s="87"/>
    </row>
    <row r="1806" spans="1:42">
      <c r="A1806" s="3"/>
      <c r="B1806" s="3"/>
      <c r="C1806" s="3"/>
      <c r="D1806" s="3"/>
      <c r="E1806" s="3"/>
      <c r="F1806" s="3"/>
      <c r="G1806" s="3"/>
      <c r="H1806" s="3"/>
      <c r="I1806" s="100"/>
      <c r="J1806" s="101"/>
      <c r="K1806" s="101"/>
      <c r="L1806" s="101"/>
      <c r="M1806" s="101"/>
      <c r="N1806" s="101"/>
      <c r="O1806" s="101"/>
      <c r="P1806" s="101"/>
      <c r="Q1806" s="101"/>
      <c r="R1806" s="101"/>
      <c r="S1806" s="101"/>
      <c r="T1806" s="101"/>
      <c r="U1806" s="101"/>
      <c r="V1806" s="101"/>
      <c r="W1806" s="101"/>
      <c r="X1806" s="101"/>
      <c r="Y1806" s="101"/>
      <c r="Z1806" s="101"/>
      <c r="AA1806" s="101"/>
      <c r="AB1806" s="101"/>
      <c r="AC1806" s="119"/>
      <c r="AD1806" s="119"/>
      <c r="AE1806" s="120"/>
      <c r="AF1806" s="119"/>
      <c r="AG1806" s="119"/>
      <c r="AH1806" s="120"/>
      <c r="AI1806" s="121"/>
      <c r="AJ1806" s="121"/>
      <c r="AK1806" s="121"/>
      <c r="AL1806" s="121"/>
      <c r="AM1806" s="122"/>
      <c r="AN1806" s="121"/>
      <c r="AP1806" s="87"/>
    </row>
    <row r="1807" spans="1:42">
      <c r="A1807" s="3"/>
      <c r="B1807" s="3"/>
      <c r="C1807" s="3"/>
      <c r="D1807" s="3"/>
      <c r="E1807" s="3"/>
      <c r="F1807" s="3"/>
      <c r="G1807" s="3"/>
      <c r="H1807" s="3"/>
      <c r="I1807" s="100"/>
      <c r="J1807" s="101"/>
      <c r="K1807" s="101"/>
      <c r="L1807" s="101"/>
      <c r="M1807" s="101"/>
      <c r="N1807" s="101"/>
      <c r="O1807" s="101"/>
      <c r="P1807" s="101"/>
      <c r="Q1807" s="101"/>
      <c r="R1807" s="101"/>
      <c r="S1807" s="101"/>
      <c r="T1807" s="101"/>
      <c r="U1807" s="101"/>
      <c r="V1807" s="101"/>
      <c r="W1807" s="101"/>
      <c r="X1807" s="101"/>
      <c r="Y1807" s="101"/>
      <c r="Z1807" s="101"/>
      <c r="AA1807" s="101"/>
      <c r="AB1807" s="101"/>
      <c r="AC1807" s="119"/>
      <c r="AD1807" s="119"/>
      <c r="AE1807" s="120"/>
      <c r="AF1807" s="119"/>
      <c r="AG1807" s="119"/>
      <c r="AH1807" s="120"/>
      <c r="AI1807" s="121"/>
      <c r="AJ1807" s="121"/>
      <c r="AK1807" s="121"/>
      <c r="AL1807" s="121"/>
      <c r="AM1807" s="122"/>
      <c r="AN1807" s="121"/>
      <c r="AP1807" s="87"/>
    </row>
    <row r="1808" spans="1:42">
      <c r="A1808" s="3"/>
      <c r="B1808" s="3"/>
      <c r="C1808" s="3"/>
      <c r="D1808" s="3"/>
      <c r="E1808" s="3"/>
      <c r="F1808" s="3"/>
      <c r="G1808" s="3"/>
      <c r="H1808" s="3"/>
      <c r="I1808" s="100"/>
      <c r="J1808" s="101"/>
      <c r="K1808" s="101"/>
      <c r="L1808" s="101"/>
      <c r="M1808" s="101"/>
      <c r="N1808" s="101"/>
      <c r="O1808" s="101"/>
      <c r="P1808" s="101"/>
      <c r="Q1808" s="101"/>
      <c r="R1808" s="101"/>
      <c r="S1808" s="101"/>
      <c r="T1808" s="101"/>
      <c r="U1808" s="101"/>
      <c r="V1808" s="101"/>
      <c r="W1808" s="101"/>
      <c r="X1808" s="101"/>
      <c r="Y1808" s="101"/>
      <c r="Z1808" s="101"/>
      <c r="AA1808" s="101"/>
      <c r="AB1808" s="101"/>
      <c r="AC1808" s="119"/>
      <c r="AD1808" s="119"/>
      <c r="AE1808" s="120"/>
      <c r="AF1808" s="119"/>
      <c r="AG1808" s="119"/>
      <c r="AH1808" s="120"/>
      <c r="AI1808" s="121"/>
      <c r="AJ1808" s="121"/>
      <c r="AK1808" s="121"/>
      <c r="AL1808" s="121"/>
      <c r="AM1808" s="122"/>
      <c r="AN1808" s="121"/>
      <c r="AP1808" s="87"/>
    </row>
    <row r="1809" spans="1:42">
      <c r="A1809" s="3"/>
      <c r="B1809" s="3"/>
      <c r="C1809" s="3"/>
      <c r="D1809" s="3"/>
      <c r="E1809" s="3"/>
      <c r="F1809" s="3"/>
      <c r="G1809" s="3"/>
      <c r="H1809" s="3"/>
      <c r="I1809" s="100"/>
      <c r="J1809" s="101"/>
      <c r="K1809" s="101"/>
      <c r="L1809" s="101"/>
      <c r="M1809" s="101"/>
      <c r="N1809" s="101"/>
      <c r="O1809" s="101"/>
      <c r="P1809" s="101"/>
      <c r="Q1809" s="101"/>
      <c r="R1809" s="101"/>
      <c r="S1809" s="101"/>
      <c r="T1809" s="101"/>
      <c r="U1809" s="101"/>
      <c r="V1809" s="101"/>
      <c r="W1809" s="101"/>
      <c r="X1809" s="101"/>
      <c r="Y1809" s="101"/>
      <c r="Z1809" s="101"/>
      <c r="AA1809" s="101"/>
      <c r="AB1809" s="101"/>
      <c r="AC1809" s="119"/>
      <c r="AD1809" s="119"/>
      <c r="AE1809" s="120"/>
      <c r="AF1809" s="119"/>
      <c r="AG1809" s="119"/>
      <c r="AH1809" s="120"/>
      <c r="AI1809" s="121"/>
      <c r="AJ1809" s="121"/>
      <c r="AK1809" s="121"/>
      <c r="AL1809" s="121"/>
      <c r="AM1809" s="122"/>
      <c r="AN1809" s="121"/>
      <c r="AP1809" s="87"/>
    </row>
    <row r="1810" spans="1:42">
      <c r="A1810" s="3"/>
      <c r="B1810" s="3"/>
      <c r="C1810" s="3"/>
      <c r="D1810" s="3"/>
      <c r="E1810" s="3"/>
      <c r="F1810" s="3"/>
      <c r="G1810" s="3"/>
      <c r="H1810" s="3"/>
      <c r="I1810" s="100"/>
      <c r="J1810" s="101"/>
      <c r="K1810" s="101"/>
      <c r="L1810" s="101"/>
      <c r="M1810" s="101"/>
      <c r="N1810" s="101"/>
      <c r="O1810" s="101"/>
      <c r="P1810" s="101"/>
      <c r="Q1810" s="101"/>
      <c r="R1810" s="101"/>
      <c r="S1810" s="101"/>
      <c r="T1810" s="101"/>
      <c r="U1810" s="101"/>
      <c r="V1810" s="101"/>
      <c r="W1810" s="101"/>
      <c r="X1810" s="101"/>
      <c r="Y1810" s="101"/>
      <c r="Z1810" s="101"/>
      <c r="AA1810" s="101"/>
      <c r="AB1810" s="101"/>
      <c r="AC1810" s="119"/>
      <c r="AD1810" s="119"/>
      <c r="AE1810" s="120"/>
      <c r="AF1810" s="119"/>
      <c r="AG1810" s="119"/>
      <c r="AH1810" s="120"/>
      <c r="AI1810" s="121"/>
      <c r="AJ1810" s="121"/>
      <c r="AK1810" s="121"/>
      <c r="AL1810" s="121"/>
      <c r="AM1810" s="122"/>
      <c r="AN1810" s="121"/>
      <c r="AP1810" s="87"/>
    </row>
    <row r="1811" spans="1:42">
      <c r="A1811" s="3"/>
      <c r="B1811" s="3"/>
      <c r="C1811" s="3"/>
      <c r="D1811" s="3"/>
      <c r="E1811" s="3"/>
      <c r="F1811" s="3"/>
      <c r="G1811" s="3"/>
      <c r="H1811" s="3"/>
      <c r="I1811" s="100"/>
      <c r="J1811" s="101"/>
      <c r="K1811" s="101"/>
      <c r="L1811" s="101"/>
      <c r="M1811" s="101"/>
      <c r="N1811" s="101"/>
      <c r="O1811" s="101"/>
      <c r="P1811" s="101"/>
      <c r="Q1811" s="101"/>
      <c r="R1811" s="101"/>
      <c r="S1811" s="101"/>
      <c r="T1811" s="101"/>
      <c r="U1811" s="101"/>
      <c r="V1811" s="101"/>
      <c r="W1811" s="101"/>
      <c r="X1811" s="101"/>
      <c r="Y1811" s="101"/>
      <c r="Z1811" s="101"/>
      <c r="AA1811" s="101"/>
      <c r="AB1811" s="101"/>
      <c r="AC1811" s="119"/>
      <c r="AD1811" s="119"/>
      <c r="AE1811" s="120"/>
      <c r="AF1811" s="119"/>
      <c r="AG1811" s="119"/>
      <c r="AH1811" s="120"/>
      <c r="AI1811" s="121"/>
      <c r="AJ1811" s="121"/>
      <c r="AK1811" s="121"/>
      <c r="AL1811" s="121"/>
      <c r="AM1811" s="122"/>
      <c r="AN1811" s="121"/>
      <c r="AP1811" s="87"/>
    </row>
    <row r="1812" spans="1:42">
      <c r="A1812" s="3"/>
      <c r="B1812" s="3"/>
      <c r="C1812" s="3"/>
      <c r="D1812" s="3"/>
      <c r="E1812" s="3"/>
      <c r="F1812" s="3"/>
      <c r="G1812" s="3"/>
      <c r="H1812" s="3"/>
      <c r="I1812" s="100"/>
      <c r="J1812" s="101"/>
      <c r="K1812" s="101"/>
      <c r="L1812" s="101"/>
      <c r="M1812" s="101"/>
      <c r="N1812" s="101"/>
      <c r="O1812" s="101"/>
      <c r="P1812" s="101"/>
      <c r="Q1812" s="101"/>
      <c r="R1812" s="101"/>
      <c r="S1812" s="101"/>
      <c r="T1812" s="101"/>
      <c r="U1812" s="101"/>
      <c r="V1812" s="101"/>
      <c r="W1812" s="101"/>
      <c r="X1812" s="101"/>
      <c r="Y1812" s="101"/>
      <c r="Z1812" s="101"/>
      <c r="AA1812" s="101"/>
      <c r="AB1812" s="101"/>
      <c r="AC1812" s="119"/>
      <c r="AD1812" s="119"/>
      <c r="AE1812" s="120"/>
      <c r="AF1812" s="119"/>
      <c r="AG1812" s="119"/>
      <c r="AH1812" s="120"/>
      <c r="AI1812" s="121"/>
      <c r="AJ1812" s="121"/>
      <c r="AK1812" s="121"/>
      <c r="AL1812" s="121"/>
      <c r="AM1812" s="122"/>
      <c r="AN1812" s="121"/>
      <c r="AP1812" s="87"/>
    </row>
    <row r="1813" spans="1:42">
      <c r="A1813" s="3"/>
      <c r="B1813" s="3"/>
      <c r="C1813" s="3"/>
      <c r="D1813" s="3"/>
      <c r="E1813" s="3"/>
      <c r="F1813" s="3"/>
      <c r="G1813" s="3"/>
      <c r="H1813" s="3"/>
      <c r="I1813" s="100"/>
      <c r="J1813" s="101"/>
      <c r="K1813" s="101"/>
      <c r="L1813" s="101"/>
      <c r="M1813" s="101"/>
      <c r="N1813" s="101"/>
      <c r="O1813" s="101"/>
      <c r="P1813" s="101"/>
      <c r="Q1813" s="101"/>
      <c r="R1813" s="101"/>
      <c r="S1813" s="101"/>
      <c r="T1813" s="101"/>
      <c r="U1813" s="101"/>
      <c r="V1813" s="101"/>
      <c r="W1813" s="101"/>
      <c r="X1813" s="101"/>
      <c r="Y1813" s="101"/>
      <c r="Z1813" s="101"/>
      <c r="AA1813" s="101"/>
      <c r="AB1813" s="101"/>
      <c r="AC1813" s="119"/>
      <c r="AD1813" s="119"/>
      <c r="AE1813" s="120"/>
      <c r="AF1813" s="119"/>
      <c r="AG1813" s="119"/>
      <c r="AH1813" s="120"/>
      <c r="AI1813" s="121"/>
      <c r="AJ1813" s="121"/>
      <c r="AK1813" s="121"/>
      <c r="AL1813" s="121"/>
      <c r="AM1813" s="122"/>
      <c r="AN1813" s="121"/>
      <c r="AP1813" s="87"/>
    </row>
    <row r="1814" spans="1:42">
      <c r="A1814" s="3"/>
      <c r="B1814" s="3"/>
      <c r="C1814" s="3"/>
      <c r="D1814" s="3"/>
      <c r="E1814" s="3"/>
      <c r="F1814" s="3"/>
      <c r="G1814" s="3"/>
      <c r="H1814" s="3"/>
      <c r="I1814" s="100"/>
      <c r="J1814" s="101"/>
      <c r="K1814" s="101"/>
      <c r="L1814" s="101"/>
      <c r="M1814" s="101"/>
      <c r="N1814" s="101"/>
      <c r="O1814" s="101"/>
      <c r="P1814" s="101"/>
      <c r="Q1814" s="101"/>
      <c r="R1814" s="101"/>
      <c r="S1814" s="101"/>
      <c r="T1814" s="101"/>
      <c r="U1814" s="101"/>
      <c r="V1814" s="101"/>
      <c r="W1814" s="101"/>
      <c r="X1814" s="101"/>
      <c r="Y1814" s="101"/>
      <c r="Z1814" s="101"/>
      <c r="AA1814" s="101"/>
      <c r="AB1814" s="101"/>
      <c r="AC1814" s="119"/>
      <c r="AD1814" s="119"/>
      <c r="AE1814" s="120"/>
      <c r="AF1814" s="119"/>
      <c r="AG1814" s="119"/>
      <c r="AH1814" s="120"/>
      <c r="AI1814" s="121"/>
      <c r="AJ1814" s="121"/>
      <c r="AK1814" s="121"/>
      <c r="AL1814" s="121"/>
      <c r="AM1814" s="122"/>
      <c r="AN1814" s="121"/>
      <c r="AP1814" s="87"/>
    </row>
    <row r="1815" spans="1:42">
      <c r="A1815" s="3"/>
      <c r="B1815" s="3"/>
      <c r="C1815" s="3"/>
      <c r="D1815" s="3"/>
      <c r="E1815" s="3"/>
      <c r="F1815" s="3"/>
      <c r="G1815" s="3"/>
      <c r="H1815" s="3"/>
      <c r="I1815" s="100"/>
      <c r="J1815" s="101"/>
      <c r="K1815" s="101"/>
      <c r="L1815" s="101"/>
      <c r="M1815" s="101"/>
      <c r="N1815" s="101"/>
      <c r="O1815" s="101"/>
      <c r="P1815" s="101"/>
      <c r="Q1815" s="101"/>
      <c r="R1815" s="101"/>
      <c r="S1815" s="101"/>
      <c r="T1815" s="101"/>
      <c r="U1815" s="101"/>
      <c r="V1815" s="101"/>
      <c r="W1815" s="101"/>
      <c r="X1815" s="101"/>
      <c r="Y1815" s="101"/>
      <c r="Z1815" s="101"/>
      <c r="AA1815" s="101"/>
      <c r="AB1815" s="101"/>
      <c r="AC1815" s="119"/>
      <c r="AD1815" s="119"/>
      <c r="AE1815" s="120"/>
      <c r="AF1815" s="119"/>
      <c r="AG1815" s="119"/>
      <c r="AH1815" s="120"/>
      <c r="AI1815" s="121"/>
      <c r="AJ1815" s="121"/>
      <c r="AK1815" s="121"/>
      <c r="AL1815" s="121"/>
      <c r="AM1815" s="122"/>
      <c r="AN1815" s="121"/>
      <c r="AP1815" s="87"/>
    </row>
    <row r="1816" spans="1:42">
      <c r="A1816" s="3"/>
      <c r="B1816" s="3"/>
      <c r="C1816" s="3"/>
      <c r="D1816" s="3"/>
      <c r="E1816" s="3"/>
      <c r="F1816" s="3"/>
      <c r="G1816" s="3"/>
      <c r="H1816" s="3"/>
      <c r="I1816" s="100"/>
      <c r="J1816" s="101"/>
      <c r="K1816" s="101"/>
      <c r="L1816" s="101"/>
      <c r="M1816" s="101"/>
      <c r="N1816" s="101"/>
      <c r="O1816" s="101"/>
      <c r="P1816" s="101"/>
      <c r="Q1816" s="101"/>
      <c r="R1816" s="101"/>
      <c r="S1816" s="101"/>
      <c r="T1816" s="101"/>
      <c r="U1816" s="101"/>
      <c r="V1816" s="101"/>
      <c r="W1816" s="101"/>
      <c r="X1816" s="101"/>
      <c r="Y1816" s="101"/>
      <c r="Z1816" s="101"/>
      <c r="AA1816" s="101"/>
      <c r="AB1816" s="101"/>
      <c r="AC1816" s="119"/>
      <c r="AD1816" s="119"/>
      <c r="AE1816" s="120"/>
      <c r="AF1816" s="119"/>
      <c r="AG1816" s="119"/>
      <c r="AH1816" s="120"/>
      <c r="AI1816" s="121"/>
      <c r="AJ1816" s="121"/>
      <c r="AK1816" s="121"/>
      <c r="AL1816" s="121"/>
      <c r="AM1816" s="122"/>
      <c r="AN1816" s="121"/>
      <c r="AP1816" s="87"/>
    </row>
    <row r="1817" spans="1:42">
      <c r="A1817" s="3"/>
      <c r="B1817" s="3"/>
      <c r="C1817" s="3"/>
      <c r="D1817" s="3"/>
      <c r="E1817" s="3"/>
      <c r="F1817" s="3"/>
      <c r="G1817" s="3"/>
      <c r="H1817" s="3"/>
      <c r="I1817" s="100"/>
      <c r="J1817" s="101"/>
      <c r="K1817" s="101"/>
      <c r="L1817" s="101"/>
      <c r="M1817" s="101"/>
      <c r="N1817" s="101"/>
      <c r="O1817" s="101"/>
      <c r="P1817" s="101"/>
      <c r="Q1817" s="101"/>
      <c r="R1817" s="101"/>
      <c r="S1817" s="101"/>
      <c r="T1817" s="101"/>
      <c r="U1817" s="101"/>
      <c r="V1817" s="101"/>
      <c r="W1817" s="101"/>
      <c r="X1817" s="101"/>
      <c r="Y1817" s="101"/>
      <c r="Z1817" s="101"/>
      <c r="AA1817" s="101"/>
      <c r="AB1817" s="101"/>
      <c r="AC1817" s="119"/>
      <c r="AD1817" s="119"/>
      <c r="AE1817" s="120"/>
      <c r="AF1817" s="119"/>
      <c r="AG1817" s="119"/>
      <c r="AH1817" s="120"/>
      <c r="AI1817" s="121"/>
      <c r="AJ1817" s="121"/>
      <c r="AK1817" s="121"/>
      <c r="AL1817" s="121"/>
      <c r="AM1817" s="122"/>
      <c r="AN1817" s="121"/>
      <c r="AP1817" s="87"/>
    </row>
    <row r="1818" spans="1:42">
      <c r="A1818" s="3"/>
      <c r="B1818" s="3"/>
      <c r="C1818" s="3"/>
      <c r="D1818" s="3"/>
      <c r="E1818" s="3"/>
      <c r="F1818" s="3"/>
      <c r="G1818" s="3"/>
      <c r="H1818" s="3"/>
      <c r="I1818" s="100"/>
      <c r="J1818" s="101"/>
      <c r="K1818" s="101"/>
      <c r="L1818" s="101"/>
      <c r="M1818" s="101"/>
      <c r="N1818" s="101"/>
      <c r="O1818" s="101"/>
      <c r="P1818" s="101"/>
      <c r="Q1818" s="101"/>
      <c r="R1818" s="101"/>
      <c r="S1818" s="101"/>
      <c r="T1818" s="101"/>
      <c r="U1818" s="101"/>
      <c r="V1818" s="101"/>
      <c r="W1818" s="101"/>
      <c r="X1818" s="101"/>
      <c r="Y1818" s="101"/>
      <c r="Z1818" s="101"/>
      <c r="AA1818" s="101"/>
      <c r="AB1818" s="101"/>
      <c r="AC1818" s="119"/>
      <c r="AD1818" s="119"/>
      <c r="AE1818" s="120"/>
      <c r="AF1818" s="119"/>
      <c r="AG1818" s="119"/>
      <c r="AH1818" s="120"/>
      <c r="AI1818" s="121"/>
      <c r="AJ1818" s="121"/>
      <c r="AK1818" s="121"/>
      <c r="AL1818" s="121"/>
      <c r="AM1818" s="122"/>
      <c r="AN1818" s="121"/>
      <c r="AP1818" s="87"/>
    </row>
    <row r="1819" spans="1:42">
      <c r="A1819" s="3"/>
      <c r="B1819" s="3"/>
      <c r="C1819" s="3"/>
      <c r="D1819" s="3"/>
      <c r="E1819" s="3"/>
      <c r="F1819" s="3"/>
      <c r="G1819" s="3"/>
      <c r="H1819" s="3"/>
      <c r="I1819" s="100"/>
      <c r="J1819" s="101"/>
      <c r="K1819" s="101"/>
      <c r="L1819" s="101"/>
      <c r="M1819" s="101"/>
      <c r="N1819" s="101"/>
      <c r="O1819" s="101"/>
      <c r="P1819" s="101"/>
      <c r="Q1819" s="101"/>
      <c r="R1819" s="101"/>
      <c r="S1819" s="101"/>
      <c r="T1819" s="101"/>
      <c r="U1819" s="101"/>
      <c r="V1819" s="101"/>
      <c r="W1819" s="101"/>
      <c r="X1819" s="101"/>
      <c r="Y1819" s="101"/>
      <c r="Z1819" s="101"/>
      <c r="AA1819" s="101"/>
      <c r="AB1819" s="101"/>
      <c r="AC1819" s="119"/>
      <c r="AD1819" s="119"/>
      <c r="AE1819" s="120"/>
      <c r="AF1819" s="119"/>
      <c r="AG1819" s="119"/>
      <c r="AH1819" s="120"/>
      <c r="AI1819" s="121"/>
      <c r="AJ1819" s="121"/>
      <c r="AK1819" s="121"/>
      <c r="AL1819" s="121"/>
      <c r="AM1819" s="122"/>
      <c r="AN1819" s="121"/>
      <c r="AP1819" s="87"/>
    </row>
    <row r="1820" spans="1:42">
      <c r="A1820" s="3"/>
      <c r="B1820" s="3"/>
      <c r="C1820" s="3"/>
      <c r="D1820" s="3"/>
      <c r="E1820" s="3"/>
      <c r="F1820" s="3"/>
      <c r="G1820" s="3"/>
      <c r="H1820" s="3"/>
      <c r="I1820" s="100"/>
      <c r="J1820" s="101"/>
      <c r="K1820" s="101"/>
      <c r="L1820" s="101"/>
      <c r="M1820" s="101"/>
      <c r="N1820" s="101"/>
      <c r="O1820" s="101"/>
      <c r="P1820" s="101"/>
      <c r="Q1820" s="101"/>
      <c r="R1820" s="101"/>
      <c r="S1820" s="101"/>
      <c r="T1820" s="101"/>
      <c r="U1820" s="101"/>
      <c r="V1820" s="101"/>
      <c r="W1820" s="101"/>
      <c r="X1820" s="101"/>
      <c r="Y1820" s="101"/>
      <c r="Z1820" s="101"/>
      <c r="AA1820" s="101"/>
      <c r="AB1820" s="101"/>
      <c r="AC1820" s="119"/>
      <c r="AD1820" s="119"/>
      <c r="AE1820" s="120"/>
      <c r="AF1820" s="119"/>
      <c r="AG1820" s="119"/>
      <c r="AH1820" s="120"/>
      <c r="AI1820" s="121"/>
      <c r="AJ1820" s="121"/>
      <c r="AK1820" s="121"/>
      <c r="AL1820" s="121"/>
      <c r="AM1820" s="122"/>
      <c r="AN1820" s="121"/>
      <c r="AP1820" s="87"/>
    </row>
    <row r="1821" spans="1:42">
      <c r="A1821" s="3"/>
      <c r="B1821" s="3"/>
      <c r="C1821" s="3"/>
      <c r="D1821" s="3"/>
      <c r="E1821" s="3"/>
      <c r="F1821" s="3"/>
      <c r="G1821" s="3"/>
      <c r="H1821" s="3"/>
      <c r="I1821" s="100"/>
      <c r="J1821" s="101"/>
      <c r="K1821" s="101"/>
      <c r="L1821" s="101"/>
      <c r="M1821" s="101"/>
      <c r="N1821" s="101"/>
      <c r="O1821" s="101"/>
      <c r="P1821" s="101"/>
      <c r="Q1821" s="101"/>
      <c r="R1821" s="101"/>
      <c r="S1821" s="101"/>
      <c r="T1821" s="101"/>
      <c r="U1821" s="101"/>
      <c r="V1821" s="101"/>
      <c r="W1821" s="101"/>
      <c r="X1821" s="101"/>
      <c r="Y1821" s="101"/>
      <c r="Z1821" s="101"/>
      <c r="AA1821" s="101"/>
      <c r="AB1821" s="101"/>
      <c r="AC1821" s="119"/>
      <c r="AD1821" s="119"/>
      <c r="AE1821" s="120"/>
      <c r="AF1821" s="119"/>
      <c r="AG1821" s="119"/>
      <c r="AH1821" s="120"/>
      <c r="AI1821" s="121"/>
      <c r="AJ1821" s="121"/>
      <c r="AK1821" s="121"/>
      <c r="AL1821" s="121"/>
      <c r="AM1821" s="122"/>
      <c r="AN1821" s="121"/>
      <c r="AP1821" s="87"/>
    </row>
    <row r="1822" spans="1:42">
      <c r="A1822" s="3"/>
      <c r="B1822" s="3"/>
      <c r="C1822" s="3"/>
      <c r="D1822" s="3"/>
      <c r="E1822" s="3"/>
      <c r="F1822" s="3"/>
      <c r="G1822" s="3"/>
      <c r="H1822" s="3"/>
      <c r="I1822" s="100"/>
      <c r="J1822" s="101"/>
      <c r="K1822" s="101"/>
      <c r="L1822" s="101"/>
      <c r="M1822" s="101"/>
      <c r="N1822" s="101"/>
      <c r="O1822" s="101"/>
      <c r="P1822" s="101"/>
      <c r="Q1822" s="101"/>
      <c r="R1822" s="101"/>
      <c r="S1822" s="101"/>
      <c r="T1822" s="101"/>
      <c r="U1822" s="101"/>
      <c r="V1822" s="101"/>
      <c r="W1822" s="101"/>
      <c r="X1822" s="101"/>
      <c r="Y1822" s="101"/>
      <c r="Z1822" s="101"/>
      <c r="AA1822" s="101"/>
      <c r="AB1822" s="101"/>
      <c r="AC1822" s="119"/>
      <c r="AD1822" s="119"/>
      <c r="AE1822" s="120"/>
      <c r="AF1822" s="119"/>
      <c r="AG1822" s="119"/>
      <c r="AH1822" s="120"/>
      <c r="AI1822" s="121"/>
      <c r="AJ1822" s="121"/>
      <c r="AK1822" s="121"/>
      <c r="AL1822" s="121"/>
      <c r="AM1822" s="122"/>
      <c r="AN1822" s="121"/>
      <c r="AP1822" s="87"/>
    </row>
    <row r="1823" spans="1:42">
      <c r="A1823" s="3"/>
      <c r="B1823" s="3"/>
      <c r="C1823" s="3"/>
      <c r="D1823" s="3"/>
      <c r="E1823" s="3"/>
      <c r="F1823" s="3"/>
      <c r="G1823" s="3"/>
      <c r="H1823" s="3"/>
      <c r="I1823" s="100"/>
      <c r="J1823" s="101"/>
      <c r="K1823" s="101"/>
      <c r="L1823" s="101"/>
      <c r="M1823" s="101"/>
      <c r="N1823" s="101"/>
      <c r="O1823" s="101"/>
      <c r="P1823" s="101"/>
      <c r="Q1823" s="101"/>
      <c r="R1823" s="101"/>
      <c r="S1823" s="101"/>
      <c r="T1823" s="101"/>
      <c r="U1823" s="101"/>
      <c r="V1823" s="101"/>
      <c r="W1823" s="101"/>
      <c r="X1823" s="101"/>
      <c r="Y1823" s="101"/>
      <c r="Z1823" s="101"/>
      <c r="AA1823" s="101"/>
      <c r="AB1823" s="101"/>
      <c r="AC1823" s="119"/>
      <c r="AD1823" s="119"/>
      <c r="AE1823" s="120"/>
      <c r="AF1823" s="119"/>
      <c r="AG1823" s="119"/>
      <c r="AH1823" s="120"/>
      <c r="AI1823" s="121"/>
      <c r="AJ1823" s="121"/>
      <c r="AK1823" s="121"/>
      <c r="AL1823" s="121"/>
      <c r="AM1823" s="122"/>
      <c r="AN1823" s="121"/>
      <c r="AP1823" s="87"/>
    </row>
    <row r="1824" spans="1:42">
      <c r="A1824" s="3"/>
      <c r="B1824" s="3"/>
      <c r="C1824" s="3"/>
      <c r="D1824" s="3"/>
      <c r="E1824" s="3"/>
      <c r="F1824" s="3"/>
      <c r="G1824" s="3"/>
      <c r="H1824" s="3"/>
      <c r="I1824" s="100"/>
      <c r="J1824" s="101"/>
      <c r="K1824" s="101"/>
      <c r="L1824" s="101"/>
      <c r="M1824" s="101"/>
      <c r="N1824" s="101"/>
      <c r="O1824" s="101"/>
      <c r="P1824" s="101"/>
      <c r="Q1824" s="101"/>
      <c r="R1824" s="101"/>
      <c r="S1824" s="101"/>
      <c r="T1824" s="101"/>
      <c r="U1824" s="101"/>
      <c r="V1824" s="101"/>
      <c r="W1824" s="101"/>
      <c r="X1824" s="101"/>
      <c r="Y1824" s="101"/>
      <c r="Z1824" s="101"/>
      <c r="AA1824" s="101"/>
      <c r="AB1824" s="101"/>
      <c r="AC1824" s="119"/>
      <c r="AD1824" s="119"/>
      <c r="AE1824" s="120"/>
      <c r="AF1824" s="119"/>
      <c r="AG1824" s="119"/>
      <c r="AH1824" s="120"/>
      <c r="AI1824" s="121"/>
      <c r="AJ1824" s="121"/>
      <c r="AK1824" s="121"/>
      <c r="AL1824" s="121"/>
      <c r="AM1824" s="122"/>
      <c r="AN1824" s="121"/>
      <c r="AP1824" s="87"/>
    </row>
    <row r="1825" spans="1:42">
      <c r="A1825" s="3"/>
      <c r="B1825" s="3"/>
      <c r="C1825" s="3"/>
      <c r="D1825" s="3"/>
      <c r="E1825" s="3"/>
      <c r="F1825" s="3"/>
      <c r="G1825" s="3"/>
      <c r="H1825" s="3"/>
      <c r="I1825" s="100"/>
      <c r="J1825" s="101"/>
      <c r="K1825" s="101"/>
      <c r="L1825" s="101"/>
      <c r="M1825" s="101"/>
      <c r="N1825" s="101"/>
      <c r="O1825" s="101"/>
      <c r="P1825" s="101"/>
      <c r="Q1825" s="101"/>
      <c r="R1825" s="101"/>
      <c r="S1825" s="101"/>
      <c r="T1825" s="101"/>
      <c r="U1825" s="101"/>
      <c r="V1825" s="101"/>
      <c r="W1825" s="101"/>
      <c r="X1825" s="101"/>
      <c r="Y1825" s="101"/>
      <c r="Z1825" s="101"/>
      <c r="AA1825" s="101"/>
      <c r="AB1825" s="101"/>
      <c r="AC1825" s="119"/>
      <c r="AD1825" s="119"/>
      <c r="AE1825" s="120"/>
      <c r="AF1825" s="119"/>
      <c r="AG1825" s="119"/>
      <c r="AH1825" s="120"/>
      <c r="AI1825" s="121"/>
      <c r="AJ1825" s="121"/>
      <c r="AK1825" s="121"/>
      <c r="AL1825" s="121"/>
      <c r="AM1825" s="122"/>
      <c r="AN1825" s="121"/>
      <c r="AP1825" s="87"/>
    </row>
    <row r="1826" spans="1:42">
      <c r="A1826" s="3"/>
      <c r="B1826" s="3"/>
      <c r="C1826" s="3"/>
      <c r="D1826" s="3"/>
      <c r="E1826" s="3"/>
      <c r="F1826" s="3"/>
      <c r="G1826" s="3"/>
      <c r="H1826" s="3"/>
      <c r="I1826" s="100"/>
      <c r="J1826" s="101"/>
      <c r="K1826" s="101"/>
      <c r="L1826" s="101"/>
      <c r="M1826" s="101"/>
      <c r="N1826" s="101"/>
      <c r="O1826" s="101"/>
      <c r="P1826" s="101"/>
      <c r="Q1826" s="101"/>
      <c r="R1826" s="101"/>
      <c r="S1826" s="101"/>
      <c r="T1826" s="101"/>
      <c r="U1826" s="101"/>
      <c r="V1826" s="101"/>
      <c r="W1826" s="101"/>
      <c r="X1826" s="101"/>
      <c r="Y1826" s="101"/>
      <c r="Z1826" s="101"/>
      <c r="AA1826" s="101"/>
      <c r="AB1826" s="101"/>
      <c r="AC1826" s="119"/>
      <c r="AD1826" s="119"/>
      <c r="AE1826" s="120"/>
      <c r="AF1826" s="119"/>
      <c r="AG1826" s="119"/>
      <c r="AH1826" s="120"/>
      <c r="AI1826" s="121"/>
      <c r="AJ1826" s="121"/>
      <c r="AK1826" s="121"/>
      <c r="AL1826" s="121"/>
      <c r="AM1826" s="122"/>
      <c r="AN1826" s="121"/>
      <c r="AP1826" s="87"/>
    </row>
    <row r="1827" spans="1:42">
      <c r="A1827" s="3"/>
      <c r="B1827" s="3"/>
      <c r="C1827" s="3"/>
      <c r="D1827" s="3"/>
      <c r="E1827" s="3"/>
      <c r="F1827" s="3"/>
      <c r="G1827" s="3"/>
      <c r="H1827" s="3"/>
      <c r="I1827" s="100"/>
      <c r="J1827" s="101"/>
      <c r="K1827" s="101"/>
      <c r="L1827" s="101"/>
      <c r="M1827" s="101"/>
      <c r="N1827" s="101"/>
      <c r="O1827" s="101"/>
      <c r="P1827" s="101"/>
      <c r="Q1827" s="101"/>
      <c r="R1827" s="101"/>
      <c r="S1827" s="101"/>
      <c r="T1827" s="101"/>
      <c r="U1827" s="101"/>
      <c r="V1827" s="101"/>
      <c r="W1827" s="101"/>
      <c r="X1827" s="101"/>
      <c r="Y1827" s="101"/>
      <c r="Z1827" s="101"/>
      <c r="AA1827" s="101"/>
      <c r="AB1827" s="101"/>
      <c r="AC1827" s="119"/>
      <c r="AD1827" s="119"/>
      <c r="AE1827" s="120"/>
      <c r="AF1827" s="119"/>
      <c r="AG1827" s="119"/>
      <c r="AH1827" s="120"/>
      <c r="AI1827" s="121"/>
      <c r="AJ1827" s="121"/>
      <c r="AK1827" s="121"/>
      <c r="AL1827" s="121"/>
      <c r="AM1827" s="122"/>
      <c r="AN1827" s="121"/>
      <c r="AP1827" s="87"/>
    </row>
    <row r="1828" spans="1:42">
      <c r="A1828" s="3"/>
      <c r="B1828" s="3"/>
      <c r="C1828" s="3"/>
      <c r="D1828" s="3"/>
      <c r="E1828" s="3"/>
      <c r="F1828" s="3"/>
      <c r="G1828" s="3"/>
      <c r="H1828" s="3"/>
      <c r="I1828" s="100"/>
      <c r="J1828" s="101"/>
      <c r="K1828" s="101"/>
      <c r="L1828" s="101"/>
      <c r="M1828" s="101"/>
      <c r="N1828" s="101"/>
      <c r="O1828" s="101"/>
      <c r="P1828" s="101"/>
      <c r="Q1828" s="101"/>
      <c r="R1828" s="101"/>
      <c r="S1828" s="101"/>
      <c r="T1828" s="101"/>
      <c r="U1828" s="101"/>
      <c r="V1828" s="101"/>
      <c r="W1828" s="101"/>
      <c r="X1828" s="101"/>
      <c r="Y1828" s="101"/>
      <c r="Z1828" s="101"/>
      <c r="AA1828" s="101"/>
      <c r="AB1828" s="101"/>
      <c r="AC1828" s="119"/>
      <c r="AD1828" s="119"/>
      <c r="AE1828" s="120"/>
      <c r="AF1828" s="119"/>
      <c r="AG1828" s="119"/>
      <c r="AH1828" s="120"/>
      <c r="AI1828" s="121"/>
      <c r="AJ1828" s="121"/>
      <c r="AK1828" s="121"/>
      <c r="AL1828" s="121"/>
      <c r="AM1828" s="122"/>
      <c r="AN1828" s="121"/>
      <c r="AP1828" s="87"/>
    </row>
    <row r="1829" spans="1:42">
      <c r="A1829" s="3"/>
      <c r="B1829" s="3"/>
      <c r="C1829" s="3"/>
      <c r="D1829" s="3"/>
      <c r="E1829" s="3"/>
      <c r="F1829" s="3"/>
      <c r="G1829" s="3"/>
      <c r="H1829" s="3"/>
      <c r="I1829" s="100"/>
      <c r="J1829" s="101"/>
      <c r="K1829" s="101"/>
      <c r="L1829" s="101"/>
      <c r="M1829" s="101"/>
      <c r="N1829" s="101"/>
      <c r="O1829" s="101"/>
      <c r="P1829" s="101"/>
      <c r="Q1829" s="101"/>
      <c r="R1829" s="101"/>
      <c r="S1829" s="101"/>
      <c r="T1829" s="101"/>
      <c r="U1829" s="101"/>
      <c r="V1829" s="101"/>
      <c r="W1829" s="101"/>
      <c r="X1829" s="101"/>
      <c r="Y1829" s="101"/>
      <c r="Z1829" s="101"/>
      <c r="AA1829" s="101"/>
      <c r="AB1829" s="101"/>
      <c r="AC1829" s="119"/>
      <c r="AD1829" s="119"/>
      <c r="AE1829" s="120"/>
      <c r="AF1829" s="119"/>
      <c r="AG1829" s="119"/>
      <c r="AH1829" s="120"/>
      <c r="AI1829" s="121"/>
      <c r="AJ1829" s="121"/>
      <c r="AK1829" s="121"/>
      <c r="AL1829" s="121"/>
      <c r="AM1829" s="122"/>
      <c r="AN1829" s="121"/>
      <c r="AP1829" s="87"/>
    </row>
    <row r="1830" spans="1:42">
      <c r="A1830" s="3"/>
      <c r="B1830" s="3"/>
      <c r="C1830" s="3"/>
      <c r="D1830" s="3"/>
      <c r="E1830" s="3"/>
      <c r="F1830" s="3"/>
      <c r="G1830" s="3"/>
      <c r="H1830" s="3"/>
      <c r="I1830" s="100"/>
      <c r="J1830" s="101"/>
      <c r="K1830" s="101"/>
      <c r="L1830" s="101"/>
      <c r="M1830" s="101"/>
      <c r="N1830" s="101"/>
      <c r="O1830" s="101"/>
      <c r="P1830" s="101"/>
      <c r="Q1830" s="101"/>
      <c r="R1830" s="101"/>
      <c r="S1830" s="101"/>
      <c r="T1830" s="101"/>
      <c r="U1830" s="101"/>
      <c r="V1830" s="101"/>
      <c r="W1830" s="101"/>
      <c r="X1830" s="101"/>
      <c r="Y1830" s="101"/>
      <c r="Z1830" s="101"/>
      <c r="AA1830" s="101"/>
      <c r="AB1830" s="101"/>
      <c r="AC1830" s="119"/>
      <c r="AD1830" s="119"/>
      <c r="AE1830" s="120"/>
      <c r="AF1830" s="119"/>
      <c r="AG1830" s="119"/>
      <c r="AH1830" s="120"/>
      <c r="AI1830" s="121"/>
      <c r="AJ1830" s="121"/>
      <c r="AK1830" s="121"/>
      <c r="AL1830" s="121"/>
      <c r="AM1830" s="122"/>
      <c r="AN1830" s="121"/>
      <c r="AP1830" s="87"/>
    </row>
    <row r="1831" spans="1:42">
      <c r="A1831" s="3"/>
      <c r="B1831" s="3"/>
      <c r="C1831" s="3"/>
      <c r="D1831" s="3"/>
      <c r="E1831" s="3"/>
      <c r="F1831" s="3"/>
      <c r="G1831" s="3"/>
      <c r="H1831" s="3"/>
      <c r="I1831" s="100"/>
      <c r="J1831" s="101"/>
      <c r="K1831" s="101"/>
      <c r="L1831" s="101"/>
      <c r="M1831" s="101"/>
      <c r="N1831" s="101"/>
      <c r="O1831" s="101"/>
      <c r="P1831" s="101"/>
      <c r="Q1831" s="101"/>
      <c r="R1831" s="101"/>
      <c r="S1831" s="101"/>
      <c r="T1831" s="101"/>
      <c r="U1831" s="101"/>
      <c r="V1831" s="101"/>
      <c r="W1831" s="101"/>
      <c r="X1831" s="101"/>
      <c r="Y1831" s="101"/>
      <c r="Z1831" s="101"/>
      <c r="AA1831" s="101"/>
      <c r="AB1831" s="101"/>
      <c r="AC1831" s="119"/>
      <c r="AD1831" s="119"/>
      <c r="AE1831" s="120"/>
      <c r="AF1831" s="119"/>
      <c r="AG1831" s="119"/>
      <c r="AH1831" s="120"/>
      <c r="AI1831" s="121"/>
      <c r="AJ1831" s="121"/>
      <c r="AK1831" s="121"/>
      <c r="AL1831" s="121"/>
      <c r="AM1831" s="122"/>
      <c r="AN1831" s="121"/>
      <c r="AP1831" s="87"/>
    </row>
    <row r="1832" spans="1:42">
      <c r="A1832" s="3"/>
      <c r="B1832" s="3"/>
      <c r="C1832" s="3"/>
      <c r="D1832" s="3"/>
      <c r="E1832" s="3"/>
      <c r="F1832" s="3"/>
      <c r="G1832" s="3"/>
      <c r="H1832" s="3"/>
      <c r="I1832" s="100"/>
      <c r="J1832" s="101"/>
      <c r="K1832" s="101"/>
      <c r="L1832" s="101"/>
      <c r="M1832" s="101"/>
      <c r="N1832" s="101"/>
      <c r="O1832" s="101"/>
      <c r="P1832" s="101"/>
      <c r="Q1832" s="101"/>
      <c r="R1832" s="101"/>
      <c r="S1832" s="101"/>
      <c r="T1832" s="101"/>
      <c r="U1832" s="101"/>
      <c r="V1832" s="101"/>
      <c r="W1832" s="101"/>
      <c r="X1832" s="101"/>
      <c r="Y1832" s="101"/>
      <c r="Z1832" s="101"/>
      <c r="AA1832" s="101"/>
      <c r="AB1832" s="101"/>
      <c r="AC1832" s="119"/>
      <c r="AD1832" s="119"/>
      <c r="AE1832" s="120"/>
      <c r="AF1832" s="119"/>
      <c r="AG1832" s="119"/>
      <c r="AH1832" s="120"/>
      <c r="AI1832" s="121"/>
      <c r="AJ1832" s="121"/>
      <c r="AK1832" s="121"/>
      <c r="AL1832" s="121"/>
      <c r="AM1832" s="122"/>
      <c r="AN1832" s="121"/>
      <c r="AP1832" s="87"/>
    </row>
    <row r="1833" spans="1:42">
      <c r="A1833" s="3"/>
      <c r="B1833" s="3"/>
      <c r="C1833" s="3"/>
      <c r="D1833" s="3"/>
      <c r="E1833" s="3"/>
      <c r="F1833" s="3"/>
      <c r="G1833" s="3"/>
      <c r="H1833" s="3"/>
      <c r="I1833" s="100"/>
      <c r="J1833" s="101"/>
      <c r="K1833" s="101"/>
      <c r="L1833" s="101"/>
      <c r="M1833" s="101"/>
      <c r="N1833" s="101"/>
      <c r="O1833" s="101"/>
      <c r="P1833" s="101"/>
      <c r="Q1833" s="101"/>
      <c r="R1833" s="101"/>
      <c r="S1833" s="101"/>
      <c r="T1833" s="101"/>
      <c r="U1833" s="101"/>
      <c r="V1833" s="101"/>
      <c r="W1833" s="101"/>
      <c r="X1833" s="101"/>
      <c r="Y1833" s="101"/>
      <c r="Z1833" s="101"/>
      <c r="AA1833" s="101"/>
      <c r="AB1833" s="101"/>
      <c r="AC1833" s="119"/>
      <c r="AD1833" s="119"/>
      <c r="AE1833" s="120"/>
      <c r="AF1833" s="119"/>
      <c r="AG1833" s="119"/>
      <c r="AH1833" s="120"/>
      <c r="AI1833" s="121"/>
      <c r="AJ1833" s="121"/>
      <c r="AK1833" s="121"/>
      <c r="AL1833" s="121"/>
      <c r="AM1833" s="122"/>
      <c r="AN1833" s="121"/>
      <c r="AP1833" s="87"/>
    </row>
    <row r="1834" spans="1:42">
      <c r="A1834" s="3"/>
      <c r="B1834" s="3"/>
      <c r="C1834" s="3"/>
      <c r="D1834" s="3"/>
      <c r="E1834" s="3"/>
      <c r="F1834" s="3"/>
      <c r="G1834" s="3"/>
      <c r="H1834" s="3"/>
      <c r="I1834" s="100"/>
      <c r="J1834" s="101"/>
      <c r="K1834" s="101"/>
      <c r="L1834" s="101"/>
      <c r="M1834" s="101"/>
      <c r="N1834" s="101"/>
      <c r="O1834" s="101"/>
      <c r="P1834" s="101"/>
      <c r="Q1834" s="101"/>
      <c r="R1834" s="101"/>
      <c r="S1834" s="101"/>
      <c r="T1834" s="101"/>
      <c r="U1834" s="101"/>
      <c r="V1834" s="101"/>
      <c r="W1834" s="101"/>
      <c r="X1834" s="101"/>
      <c r="Y1834" s="101"/>
      <c r="Z1834" s="101"/>
      <c r="AA1834" s="101"/>
      <c r="AB1834" s="101"/>
      <c r="AC1834" s="119"/>
      <c r="AD1834" s="119"/>
      <c r="AE1834" s="120"/>
      <c r="AF1834" s="119"/>
      <c r="AG1834" s="119"/>
      <c r="AH1834" s="120"/>
      <c r="AI1834" s="121"/>
      <c r="AJ1834" s="121"/>
      <c r="AK1834" s="121"/>
      <c r="AL1834" s="121"/>
      <c r="AM1834" s="122"/>
      <c r="AN1834" s="121"/>
      <c r="AP1834" s="87"/>
    </row>
    <row r="1835" spans="1:42">
      <c r="A1835" s="3"/>
      <c r="B1835" s="3"/>
      <c r="C1835" s="3"/>
      <c r="D1835" s="3"/>
      <c r="E1835" s="3"/>
      <c r="F1835" s="3"/>
      <c r="G1835" s="3"/>
      <c r="H1835" s="3"/>
      <c r="I1835" s="100"/>
      <c r="J1835" s="101"/>
      <c r="K1835" s="101"/>
      <c r="L1835" s="101"/>
      <c r="M1835" s="101"/>
      <c r="N1835" s="101"/>
      <c r="O1835" s="101"/>
      <c r="P1835" s="101"/>
      <c r="Q1835" s="101"/>
      <c r="R1835" s="101"/>
      <c r="S1835" s="101"/>
      <c r="T1835" s="101"/>
      <c r="U1835" s="101"/>
      <c r="V1835" s="101"/>
      <c r="W1835" s="101"/>
      <c r="X1835" s="101"/>
      <c r="Y1835" s="101"/>
      <c r="Z1835" s="101"/>
      <c r="AA1835" s="101"/>
      <c r="AB1835" s="101"/>
      <c r="AC1835" s="119"/>
      <c r="AD1835" s="119"/>
      <c r="AE1835" s="120"/>
      <c r="AF1835" s="119"/>
      <c r="AG1835" s="119"/>
      <c r="AH1835" s="120"/>
      <c r="AI1835" s="121"/>
      <c r="AJ1835" s="121"/>
      <c r="AK1835" s="121"/>
      <c r="AL1835" s="121"/>
      <c r="AM1835" s="122"/>
      <c r="AN1835" s="121"/>
      <c r="AP1835" s="87"/>
    </row>
    <row r="1836" spans="1:42">
      <c r="A1836" s="3"/>
      <c r="B1836" s="3"/>
      <c r="C1836" s="3"/>
      <c r="D1836" s="3"/>
      <c r="E1836" s="3"/>
      <c r="F1836" s="3"/>
      <c r="G1836" s="3"/>
      <c r="H1836" s="3"/>
      <c r="I1836" s="100"/>
      <c r="J1836" s="101"/>
      <c r="K1836" s="101"/>
      <c r="L1836" s="101"/>
      <c r="M1836" s="101"/>
      <c r="N1836" s="101"/>
      <c r="O1836" s="101"/>
      <c r="P1836" s="101"/>
      <c r="Q1836" s="101"/>
      <c r="R1836" s="101"/>
      <c r="S1836" s="101"/>
      <c r="T1836" s="101"/>
      <c r="U1836" s="101"/>
      <c r="V1836" s="101"/>
      <c r="W1836" s="101"/>
      <c r="X1836" s="101"/>
      <c r="Y1836" s="101"/>
      <c r="Z1836" s="101"/>
      <c r="AA1836" s="101"/>
      <c r="AB1836" s="101"/>
      <c r="AC1836" s="119"/>
      <c r="AD1836" s="119"/>
      <c r="AE1836" s="120"/>
      <c r="AF1836" s="119"/>
      <c r="AG1836" s="119"/>
      <c r="AH1836" s="120"/>
      <c r="AI1836" s="121"/>
      <c r="AJ1836" s="121"/>
      <c r="AK1836" s="121"/>
      <c r="AL1836" s="121"/>
      <c r="AM1836" s="122"/>
      <c r="AN1836" s="121"/>
      <c r="AP1836" s="87"/>
    </row>
    <row r="1837" spans="1:42">
      <c r="A1837" s="3"/>
      <c r="B1837" s="3"/>
      <c r="C1837" s="3"/>
      <c r="D1837" s="3"/>
      <c r="E1837" s="3"/>
      <c r="F1837" s="3"/>
      <c r="G1837" s="3"/>
      <c r="H1837" s="3"/>
      <c r="I1837" s="100"/>
      <c r="J1837" s="101"/>
      <c r="K1837" s="101"/>
      <c r="L1837" s="101"/>
      <c r="M1837" s="101"/>
      <c r="N1837" s="101"/>
      <c r="O1837" s="101"/>
      <c r="P1837" s="101"/>
      <c r="Q1837" s="101"/>
      <c r="R1837" s="101"/>
      <c r="S1837" s="101"/>
      <c r="T1837" s="101"/>
      <c r="U1837" s="101"/>
      <c r="V1837" s="101"/>
      <c r="W1837" s="101"/>
      <c r="X1837" s="101"/>
      <c r="Y1837" s="101"/>
      <c r="Z1837" s="101"/>
      <c r="AA1837" s="101"/>
      <c r="AB1837" s="101"/>
      <c r="AC1837" s="119"/>
      <c r="AD1837" s="119"/>
      <c r="AE1837" s="120"/>
      <c r="AF1837" s="119"/>
      <c r="AG1837" s="119"/>
      <c r="AH1837" s="120"/>
      <c r="AI1837" s="121"/>
      <c r="AJ1837" s="121"/>
      <c r="AK1837" s="121"/>
      <c r="AL1837" s="121"/>
      <c r="AM1837" s="122"/>
      <c r="AN1837" s="121"/>
      <c r="AP1837" s="87"/>
    </row>
    <row r="1838" spans="1:42">
      <c r="A1838" s="3"/>
      <c r="B1838" s="3"/>
      <c r="C1838" s="3"/>
      <c r="D1838" s="3"/>
      <c r="E1838" s="3"/>
      <c r="F1838" s="3"/>
      <c r="G1838" s="3"/>
      <c r="H1838" s="3"/>
      <c r="I1838" s="100"/>
      <c r="J1838" s="101"/>
      <c r="K1838" s="101"/>
      <c r="L1838" s="101"/>
      <c r="M1838" s="101"/>
      <c r="N1838" s="101"/>
      <c r="O1838" s="101"/>
      <c r="P1838" s="101"/>
      <c r="Q1838" s="101"/>
      <c r="R1838" s="101"/>
      <c r="S1838" s="101"/>
      <c r="T1838" s="101"/>
      <c r="U1838" s="101"/>
      <c r="V1838" s="101"/>
      <c r="W1838" s="101"/>
      <c r="X1838" s="101"/>
      <c r="Y1838" s="101"/>
      <c r="Z1838" s="101"/>
      <c r="AA1838" s="101"/>
      <c r="AB1838" s="101"/>
      <c r="AC1838" s="119"/>
      <c r="AD1838" s="119"/>
      <c r="AE1838" s="120"/>
      <c r="AF1838" s="119"/>
      <c r="AG1838" s="119"/>
      <c r="AH1838" s="120"/>
      <c r="AI1838" s="121"/>
      <c r="AJ1838" s="121"/>
      <c r="AK1838" s="121"/>
      <c r="AL1838" s="121"/>
      <c r="AM1838" s="122"/>
      <c r="AN1838" s="121"/>
      <c r="AP1838" s="87"/>
    </row>
    <row r="1839" spans="1:42">
      <c r="A1839" s="3"/>
      <c r="B1839" s="3"/>
      <c r="C1839" s="3"/>
      <c r="D1839" s="3"/>
      <c r="E1839" s="3"/>
      <c r="F1839" s="3"/>
      <c r="G1839" s="3"/>
      <c r="H1839" s="3"/>
      <c r="I1839" s="100"/>
      <c r="J1839" s="101"/>
      <c r="K1839" s="101"/>
      <c r="L1839" s="101"/>
      <c r="M1839" s="101"/>
      <c r="N1839" s="101"/>
      <c r="O1839" s="101"/>
      <c r="P1839" s="101"/>
      <c r="Q1839" s="101"/>
      <c r="R1839" s="101"/>
      <c r="S1839" s="101"/>
      <c r="T1839" s="101"/>
      <c r="U1839" s="101"/>
      <c r="V1839" s="101"/>
      <c r="W1839" s="101"/>
      <c r="X1839" s="101"/>
      <c r="Y1839" s="101"/>
      <c r="Z1839" s="101"/>
      <c r="AA1839" s="101"/>
      <c r="AB1839" s="101"/>
      <c r="AC1839" s="119"/>
      <c r="AD1839" s="119"/>
      <c r="AE1839" s="120"/>
      <c r="AF1839" s="119"/>
      <c r="AG1839" s="119"/>
      <c r="AH1839" s="120"/>
      <c r="AI1839" s="121"/>
      <c r="AJ1839" s="121"/>
      <c r="AK1839" s="121"/>
      <c r="AL1839" s="121"/>
      <c r="AM1839" s="122"/>
      <c r="AN1839" s="121"/>
      <c r="AP1839" s="87"/>
    </row>
    <row r="1840" spans="1:42">
      <c r="A1840" s="3"/>
      <c r="B1840" s="3"/>
      <c r="C1840" s="3"/>
      <c r="D1840" s="3"/>
      <c r="E1840" s="3"/>
      <c r="F1840" s="3"/>
      <c r="G1840" s="3"/>
      <c r="H1840" s="3"/>
      <c r="I1840" s="100"/>
      <c r="J1840" s="101"/>
      <c r="K1840" s="101"/>
      <c r="L1840" s="101"/>
      <c r="M1840" s="101"/>
      <c r="N1840" s="101"/>
      <c r="O1840" s="101"/>
      <c r="P1840" s="101"/>
      <c r="Q1840" s="101"/>
      <c r="R1840" s="101"/>
      <c r="S1840" s="101"/>
      <c r="T1840" s="101"/>
      <c r="U1840" s="101"/>
      <c r="V1840" s="101"/>
      <c r="W1840" s="101"/>
      <c r="X1840" s="101"/>
      <c r="Y1840" s="101"/>
      <c r="Z1840" s="101"/>
      <c r="AA1840" s="101"/>
      <c r="AB1840" s="101"/>
      <c r="AC1840" s="119"/>
      <c r="AD1840" s="119"/>
      <c r="AE1840" s="120"/>
      <c r="AF1840" s="119"/>
      <c r="AG1840" s="119"/>
      <c r="AH1840" s="120"/>
      <c r="AI1840" s="121"/>
      <c r="AJ1840" s="121"/>
      <c r="AK1840" s="121"/>
      <c r="AL1840" s="121"/>
      <c r="AM1840" s="122"/>
      <c r="AN1840" s="121"/>
      <c r="AP1840" s="87"/>
    </row>
    <row r="1841" spans="1:42">
      <c r="A1841" s="3"/>
      <c r="B1841" s="3"/>
      <c r="C1841" s="3"/>
      <c r="D1841" s="3"/>
      <c r="E1841" s="3"/>
      <c r="F1841" s="3"/>
      <c r="G1841" s="3"/>
      <c r="H1841" s="3"/>
      <c r="I1841" s="100"/>
      <c r="J1841" s="101"/>
      <c r="K1841" s="101"/>
      <c r="L1841" s="101"/>
      <c r="M1841" s="101"/>
      <c r="N1841" s="101"/>
      <c r="O1841" s="101"/>
      <c r="P1841" s="101"/>
      <c r="Q1841" s="101"/>
      <c r="R1841" s="101"/>
      <c r="S1841" s="101"/>
      <c r="T1841" s="101"/>
      <c r="U1841" s="101"/>
      <c r="V1841" s="101"/>
      <c r="W1841" s="101"/>
      <c r="X1841" s="101"/>
      <c r="Y1841" s="101"/>
      <c r="Z1841" s="101"/>
      <c r="AA1841" s="101"/>
      <c r="AB1841" s="101"/>
      <c r="AC1841" s="119"/>
      <c r="AD1841" s="119"/>
      <c r="AE1841" s="120"/>
      <c r="AF1841" s="119"/>
      <c r="AG1841" s="119"/>
      <c r="AH1841" s="120"/>
      <c r="AI1841" s="121"/>
      <c r="AJ1841" s="121"/>
      <c r="AK1841" s="121"/>
      <c r="AL1841" s="121"/>
      <c r="AM1841" s="122"/>
      <c r="AN1841" s="121"/>
      <c r="AP1841" s="87"/>
    </row>
    <row r="1842" spans="1:42">
      <c r="A1842" s="3"/>
      <c r="B1842" s="3"/>
      <c r="C1842" s="3"/>
      <c r="D1842" s="3"/>
      <c r="E1842" s="3"/>
      <c r="F1842" s="3"/>
      <c r="G1842" s="3"/>
      <c r="H1842" s="3"/>
      <c r="I1842" s="100"/>
      <c r="J1842" s="101"/>
      <c r="K1842" s="101"/>
      <c r="L1842" s="101"/>
      <c r="M1842" s="101"/>
      <c r="N1842" s="101"/>
      <c r="O1842" s="101"/>
      <c r="P1842" s="101"/>
      <c r="Q1842" s="101"/>
      <c r="R1842" s="101"/>
      <c r="S1842" s="101"/>
      <c r="T1842" s="101"/>
      <c r="U1842" s="101"/>
      <c r="V1842" s="101"/>
      <c r="W1842" s="101"/>
      <c r="X1842" s="101"/>
      <c r="Y1842" s="101"/>
      <c r="Z1842" s="101"/>
      <c r="AA1842" s="101"/>
      <c r="AB1842" s="101"/>
      <c r="AC1842" s="119"/>
      <c r="AD1842" s="119"/>
      <c r="AE1842" s="120"/>
      <c r="AF1842" s="119"/>
      <c r="AG1842" s="119"/>
      <c r="AH1842" s="120"/>
      <c r="AI1842" s="121"/>
      <c r="AJ1842" s="121"/>
      <c r="AK1842" s="121"/>
      <c r="AL1842" s="121"/>
      <c r="AM1842" s="122"/>
      <c r="AN1842" s="121"/>
      <c r="AP1842" s="87"/>
    </row>
    <row r="1843" spans="1:42">
      <c r="A1843" s="3"/>
      <c r="B1843" s="3"/>
      <c r="C1843" s="3"/>
      <c r="D1843" s="3"/>
      <c r="E1843" s="3"/>
      <c r="F1843" s="3"/>
      <c r="G1843" s="3"/>
      <c r="H1843" s="3"/>
      <c r="I1843" s="100"/>
      <c r="J1843" s="101"/>
      <c r="K1843" s="101"/>
      <c r="L1843" s="101"/>
      <c r="M1843" s="101"/>
      <c r="N1843" s="101"/>
      <c r="O1843" s="101"/>
      <c r="P1843" s="101"/>
      <c r="Q1843" s="101"/>
      <c r="R1843" s="101"/>
      <c r="S1843" s="101"/>
      <c r="T1843" s="101"/>
      <c r="U1843" s="101"/>
      <c r="V1843" s="101"/>
      <c r="W1843" s="101"/>
      <c r="X1843" s="101"/>
      <c r="Y1843" s="101"/>
      <c r="Z1843" s="101"/>
      <c r="AA1843" s="101"/>
      <c r="AB1843" s="101"/>
      <c r="AC1843" s="119"/>
      <c r="AD1843" s="119"/>
      <c r="AE1843" s="120"/>
      <c r="AF1843" s="119"/>
      <c r="AG1843" s="119"/>
      <c r="AH1843" s="120"/>
      <c r="AI1843" s="121"/>
      <c r="AJ1843" s="121"/>
      <c r="AK1843" s="121"/>
      <c r="AL1843" s="121"/>
      <c r="AM1843" s="122"/>
      <c r="AN1843" s="121"/>
      <c r="AP1843" s="87"/>
    </row>
    <row r="1844" spans="1:42">
      <c r="A1844" s="3"/>
      <c r="B1844" s="3"/>
      <c r="C1844" s="3"/>
      <c r="D1844" s="3"/>
      <c r="E1844" s="3"/>
      <c r="F1844" s="3"/>
      <c r="G1844" s="3"/>
      <c r="H1844" s="3"/>
      <c r="I1844" s="100"/>
      <c r="J1844" s="101"/>
      <c r="K1844" s="101"/>
      <c r="L1844" s="101"/>
      <c r="M1844" s="101"/>
      <c r="N1844" s="101"/>
      <c r="O1844" s="101"/>
      <c r="P1844" s="101"/>
      <c r="Q1844" s="101"/>
      <c r="R1844" s="101"/>
      <c r="S1844" s="101"/>
      <c r="T1844" s="101"/>
      <c r="U1844" s="101"/>
      <c r="V1844" s="101"/>
      <c r="W1844" s="101"/>
      <c r="X1844" s="101"/>
      <c r="Y1844" s="101"/>
      <c r="Z1844" s="101"/>
      <c r="AA1844" s="101"/>
      <c r="AB1844" s="101"/>
      <c r="AC1844" s="119"/>
      <c r="AD1844" s="119"/>
      <c r="AE1844" s="120"/>
      <c r="AF1844" s="119"/>
      <c r="AG1844" s="119"/>
      <c r="AH1844" s="120"/>
      <c r="AI1844" s="121"/>
      <c r="AJ1844" s="121"/>
      <c r="AK1844" s="121"/>
      <c r="AL1844" s="121"/>
      <c r="AM1844" s="122"/>
      <c r="AN1844" s="121"/>
      <c r="AP1844" s="87"/>
    </row>
    <row r="1845" spans="1:42">
      <c r="A1845" s="3"/>
      <c r="B1845" s="3"/>
      <c r="C1845" s="3"/>
      <c r="D1845" s="3"/>
      <c r="E1845" s="3"/>
      <c r="F1845" s="3"/>
      <c r="G1845" s="3"/>
      <c r="H1845" s="3"/>
      <c r="I1845" s="100"/>
      <c r="J1845" s="101"/>
      <c r="K1845" s="101"/>
      <c r="L1845" s="101"/>
      <c r="M1845" s="101"/>
      <c r="N1845" s="101"/>
      <c r="O1845" s="101"/>
      <c r="P1845" s="101"/>
      <c r="Q1845" s="101"/>
      <c r="R1845" s="101"/>
      <c r="S1845" s="101"/>
      <c r="T1845" s="101"/>
      <c r="U1845" s="101"/>
      <c r="V1845" s="101"/>
      <c r="W1845" s="101"/>
      <c r="X1845" s="101"/>
      <c r="Y1845" s="101"/>
      <c r="Z1845" s="101"/>
      <c r="AA1845" s="101"/>
      <c r="AB1845" s="101"/>
      <c r="AC1845" s="119"/>
      <c r="AD1845" s="119"/>
      <c r="AE1845" s="120"/>
      <c r="AF1845" s="119"/>
      <c r="AG1845" s="119"/>
      <c r="AH1845" s="120"/>
      <c r="AI1845" s="121"/>
      <c r="AJ1845" s="121"/>
      <c r="AK1845" s="121"/>
      <c r="AL1845" s="121"/>
      <c r="AM1845" s="122"/>
      <c r="AN1845" s="121"/>
      <c r="AP1845" s="87"/>
    </row>
    <row r="1846" spans="1:42">
      <c r="A1846" s="3"/>
      <c r="B1846" s="3"/>
      <c r="C1846" s="3"/>
      <c r="D1846" s="3"/>
      <c r="E1846" s="3"/>
      <c r="F1846" s="3"/>
      <c r="G1846" s="3"/>
      <c r="H1846" s="3"/>
      <c r="I1846" s="100"/>
      <c r="J1846" s="101"/>
      <c r="K1846" s="101"/>
      <c r="L1846" s="101"/>
      <c r="M1846" s="101"/>
      <c r="N1846" s="101"/>
      <c r="O1846" s="101"/>
      <c r="P1846" s="101"/>
      <c r="Q1846" s="101"/>
      <c r="R1846" s="101"/>
      <c r="S1846" s="101"/>
      <c r="T1846" s="101"/>
      <c r="U1846" s="101"/>
      <c r="V1846" s="101"/>
      <c r="W1846" s="101"/>
      <c r="X1846" s="101"/>
      <c r="Y1846" s="101"/>
      <c r="Z1846" s="101"/>
      <c r="AA1846" s="101"/>
      <c r="AB1846" s="101"/>
      <c r="AC1846" s="119"/>
      <c r="AD1846" s="119"/>
      <c r="AE1846" s="120"/>
      <c r="AF1846" s="119"/>
      <c r="AG1846" s="119"/>
      <c r="AH1846" s="120"/>
      <c r="AI1846" s="121"/>
      <c r="AJ1846" s="121"/>
      <c r="AK1846" s="121"/>
      <c r="AL1846" s="121"/>
      <c r="AM1846" s="122"/>
      <c r="AN1846" s="121"/>
      <c r="AP1846" s="87"/>
    </row>
    <row r="1847" spans="1:42">
      <c r="A1847" s="3"/>
      <c r="B1847" s="3"/>
      <c r="C1847" s="3"/>
      <c r="D1847" s="3"/>
      <c r="E1847" s="3"/>
      <c r="F1847" s="3"/>
      <c r="G1847" s="3"/>
      <c r="H1847" s="3"/>
      <c r="I1847" s="100"/>
      <c r="J1847" s="101"/>
      <c r="K1847" s="101"/>
      <c r="L1847" s="101"/>
      <c r="M1847" s="101"/>
      <c r="N1847" s="101"/>
      <c r="O1847" s="101"/>
      <c r="P1847" s="101"/>
      <c r="Q1847" s="101"/>
      <c r="R1847" s="101"/>
      <c r="S1847" s="101"/>
      <c r="T1847" s="101"/>
      <c r="U1847" s="101"/>
      <c r="V1847" s="101"/>
      <c r="W1847" s="101"/>
      <c r="X1847" s="101"/>
      <c r="Y1847" s="101"/>
      <c r="Z1847" s="101"/>
      <c r="AA1847" s="101"/>
      <c r="AB1847" s="101"/>
      <c r="AC1847" s="119"/>
      <c r="AD1847" s="119"/>
      <c r="AE1847" s="120"/>
      <c r="AF1847" s="119"/>
      <c r="AG1847" s="119"/>
      <c r="AH1847" s="120"/>
      <c r="AI1847" s="121"/>
      <c r="AJ1847" s="121"/>
      <c r="AK1847" s="121"/>
      <c r="AL1847" s="121"/>
      <c r="AM1847" s="122"/>
      <c r="AN1847" s="121"/>
      <c r="AP1847" s="87"/>
    </row>
    <row r="1848" spans="1:42">
      <c r="A1848" s="3"/>
      <c r="B1848" s="3"/>
      <c r="C1848" s="3"/>
      <c r="D1848" s="3"/>
      <c r="E1848" s="3"/>
      <c r="F1848" s="3"/>
      <c r="G1848" s="3"/>
      <c r="H1848" s="3"/>
      <c r="I1848" s="100"/>
      <c r="J1848" s="101"/>
      <c r="K1848" s="101"/>
      <c r="L1848" s="101"/>
      <c r="M1848" s="101"/>
      <c r="N1848" s="101"/>
      <c r="O1848" s="101"/>
      <c r="P1848" s="101"/>
      <c r="Q1848" s="101"/>
      <c r="R1848" s="101"/>
      <c r="S1848" s="101"/>
      <c r="T1848" s="101"/>
      <c r="U1848" s="101"/>
      <c r="V1848" s="101"/>
      <c r="W1848" s="101"/>
      <c r="X1848" s="101"/>
      <c r="Y1848" s="101"/>
      <c r="Z1848" s="101"/>
      <c r="AA1848" s="101"/>
      <c r="AB1848" s="101"/>
      <c r="AC1848" s="119"/>
      <c r="AD1848" s="119"/>
      <c r="AE1848" s="120"/>
      <c r="AF1848" s="119"/>
      <c r="AG1848" s="119"/>
      <c r="AH1848" s="120"/>
      <c r="AI1848" s="121"/>
      <c r="AJ1848" s="121"/>
      <c r="AK1848" s="121"/>
      <c r="AL1848" s="121"/>
      <c r="AM1848" s="122"/>
      <c r="AN1848" s="121"/>
      <c r="AP1848" s="87"/>
    </row>
    <row r="1849" spans="1:42">
      <c r="A1849" s="3"/>
      <c r="B1849" s="3"/>
      <c r="C1849" s="3"/>
      <c r="D1849" s="3"/>
      <c r="E1849" s="3"/>
      <c r="F1849" s="3"/>
      <c r="G1849" s="3"/>
      <c r="H1849" s="3"/>
      <c r="I1849" s="100"/>
      <c r="J1849" s="101"/>
      <c r="K1849" s="101"/>
      <c r="L1849" s="101"/>
      <c r="M1849" s="101"/>
      <c r="N1849" s="101"/>
      <c r="O1849" s="101"/>
      <c r="P1849" s="101"/>
      <c r="Q1849" s="101"/>
      <c r="R1849" s="101"/>
      <c r="S1849" s="101"/>
      <c r="T1849" s="101"/>
      <c r="U1849" s="101"/>
      <c r="V1849" s="101"/>
      <c r="W1849" s="101"/>
      <c r="X1849" s="101"/>
      <c r="Y1849" s="101"/>
      <c r="Z1849" s="101"/>
      <c r="AA1849" s="101"/>
      <c r="AB1849" s="101"/>
      <c r="AC1849" s="119"/>
      <c r="AD1849" s="119"/>
      <c r="AE1849" s="120"/>
      <c r="AF1849" s="119"/>
      <c r="AG1849" s="119"/>
      <c r="AH1849" s="120"/>
      <c r="AI1849" s="121"/>
      <c r="AJ1849" s="121"/>
      <c r="AK1849" s="121"/>
      <c r="AL1849" s="121"/>
      <c r="AM1849" s="122"/>
      <c r="AN1849" s="121"/>
      <c r="AP1849" s="87"/>
    </row>
    <row r="1850" spans="1:42">
      <c r="A1850" s="3"/>
      <c r="B1850" s="3"/>
      <c r="C1850" s="3"/>
      <c r="D1850" s="3"/>
      <c r="E1850" s="3"/>
      <c r="F1850" s="3"/>
      <c r="G1850" s="3"/>
      <c r="H1850" s="3"/>
      <c r="I1850" s="100"/>
      <c r="J1850" s="101"/>
      <c r="K1850" s="101"/>
      <c r="L1850" s="101"/>
      <c r="M1850" s="101"/>
      <c r="N1850" s="101"/>
      <c r="O1850" s="101"/>
      <c r="P1850" s="101"/>
      <c r="Q1850" s="101"/>
      <c r="R1850" s="101"/>
      <c r="S1850" s="101"/>
      <c r="T1850" s="101"/>
      <c r="U1850" s="101"/>
      <c r="V1850" s="101"/>
      <c r="W1850" s="101"/>
      <c r="X1850" s="101"/>
      <c r="Y1850" s="101"/>
      <c r="Z1850" s="101"/>
      <c r="AA1850" s="101"/>
      <c r="AB1850" s="101"/>
      <c r="AC1850" s="119"/>
      <c r="AD1850" s="119"/>
      <c r="AE1850" s="120"/>
      <c r="AF1850" s="119"/>
      <c r="AG1850" s="119"/>
      <c r="AH1850" s="120"/>
      <c r="AI1850" s="121"/>
      <c r="AJ1850" s="121"/>
      <c r="AK1850" s="121"/>
      <c r="AL1850" s="121"/>
      <c r="AM1850" s="122"/>
      <c r="AN1850" s="121"/>
      <c r="AP1850" s="87"/>
    </row>
    <row r="1851" spans="1:42">
      <c r="A1851" s="3"/>
      <c r="B1851" s="3"/>
      <c r="C1851" s="3"/>
      <c r="D1851" s="3"/>
      <c r="E1851" s="3"/>
      <c r="F1851" s="3"/>
      <c r="G1851" s="3"/>
      <c r="H1851" s="3"/>
      <c r="I1851" s="100"/>
      <c r="J1851" s="101"/>
      <c r="K1851" s="101"/>
      <c r="L1851" s="101"/>
      <c r="M1851" s="101"/>
      <c r="N1851" s="101"/>
      <c r="O1851" s="101"/>
      <c r="P1851" s="101"/>
      <c r="Q1851" s="101"/>
      <c r="R1851" s="101"/>
      <c r="S1851" s="101"/>
      <c r="T1851" s="101"/>
      <c r="U1851" s="101"/>
      <c r="V1851" s="101"/>
      <c r="W1851" s="101"/>
      <c r="X1851" s="101"/>
      <c r="Y1851" s="101"/>
      <c r="Z1851" s="101"/>
      <c r="AA1851" s="101"/>
      <c r="AB1851" s="101"/>
      <c r="AC1851" s="119"/>
      <c r="AD1851" s="119"/>
      <c r="AE1851" s="120"/>
      <c r="AF1851" s="119"/>
      <c r="AG1851" s="119"/>
      <c r="AH1851" s="120"/>
      <c r="AI1851" s="121"/>
      <c r="AJ1851" s="121"/>
      <c r="AK1851" s="121"/>
      <c r="AL1851" s="121"/>
      <c r="AM1851" s="122"/>
      <c r="AN1851" s="121"/>
      <c r="AP1851" s="87"/>
    </row>
    <row r="1852" spans="1:42">
      <c r="A1852" s="3"/>
      <c r="B1852" s="3"/>
      <c r="C1852" s="3"/>
      <c r="D1852" s="3"/>
      <c r="E1852" s="3"/>
      <c r="F1852" s="3"/>
      <c r="G1852" s="3"/>
      <c r="H1852" s="3"/>
      <c r="I1852" s="100"/>
      <c r="J1852" s="101"/>
      <c r="K1852" s="101"/>
      <c r="L1852" s="101"/>
      <c r="M1852" s="101"/>
      <c r="N1852" s="101"/>
      <c r="O1852" s="101"/>
      <c r="P1852" s="101"/>
      <c r="Q1852" s="101"/>
      <c r="R1852" s="101"/>
      <c r="S1852" s="101"/>
      <c r="T1852" s="101"/>
      <c r="U1852" s="101"/>
      <c r="V1852" s="101"/>
      <c r="W1852" s="101"/>
      <c r="X1852" s="101"/>
      <c r="Y1852" s="101"/>
      <c r="Z1852" s="101"/>
      <c r="AA1852" s="101"/>
      <c r="AB1852" s="101"/>
      <c r="AC1852" s="119"/>
      <c r="AD1852" s="119"/>
      <c r="AE1852" s="120"/>
      <c r="AF1852" s="119"/>
      <c r="AG1852" s="119"/>
      <c r="AH1852" s="120"/>
      <c r="AI1852" s="121"/>
      <c r="AJ1852" s="121"/>
      <c r="AK1852" s="121"/>
      <c r="AL1852" s="121"/>
      <c r="AM1852" s="122"/>
      <c r="AN1852" s="121"/>
      <c r="AP1852" s="87"/>
    </row>
    <row r="1853" spans="1:42">
      <c r="A1853" s="3"/>
      <c r="B1853" s="3"/>
      <c r="C1853" s="3"/>
      <c r="D1853" s="3"/>
      <c r="E1853" s="3"/>
      <c r="F1853" s="3"/>
      <c r="G1853" s="3"/>
      <c r="H1853" s="3"/>
      <c r="I1853" s="100"/>
      <c r="J1853" s="101"/>
      <c r="K1853" s="101"/>
      <c r="L1853" s="101"/>
      <c r="M1853" s="101"/>
      <c r="N1853" s="101"/>
      <c r="O1853" s="101"/>
      <c r="P1853" s="101"/>
      <c r="Q1853" s="101"/>
      <c r="R1853" s="101"/>
      <c r="S1853" s="101"/>
      <c r="T1853" s="101"/>
      <c r="U1853" s="101"/>
      <c r="V1853" s="101"/>
      <c r="W1853" s="101"/>
      <c r="X1853" s="101"/>
      <c r="Y1853" s="101"/>
      <c r="Z1853" s="101"/>
      <c r="AA1853" s="101"/>
      <c r="AB1853" s="101"/>
      <c r="AC1853" s="119"/>
      <c r="AD1853" s="119"/>
      <c r="AE1853" s="120"/>
      <c r="AF1853" s="119"/>
      <c r="AG1853" s="119"/>
      <c r="AH1853" s="120"/>
      <c r="AI1853" s="121"/>
      <c r="AJ1853" s="121"/>
      <c r="AK1853" s="121"/>
      <c r="AL1853" s="121"/>
      <c r="AM1853" s="122"/>
      <c r="AN1853" s="121"/>
      <c r="AP1853" s="87"/>
    </row>
    <row r="1854" spans="1:42">
      <c r="A1854" s="3"/>
      <c r="B1854" s="3"/>
      <c r="C1854" s="3"/>
      <c r="D1854" s="3"/>
      <c r="E1854" s="3"/>
      <c r="F1854" s="3"/>
      <c r="G1854" s="3"/>
      <c r="H1854" s="3"/>
      <c r="I1854" s="100"/>
      <c r="J1854" s="101"/>
      <c r="K1854" s="101"/>
      <c r="L1854" s="101"/>
      <c r="M1854" s="101"/>
      <c r="N1854" s="101"/>
      <c r="O1854" s="101"/>
      <c r="P1854" s="101"/>
      <c r="Q1854" s="101"/>
      <c r="R1854" s="101"/>
      <c r="S1854" s="101"/>
      <c r="T1854" s="101"/>
      <c r="U1854" s="101"/>
      <c r="V1854" s="101"/>
      <c r="W1854" s="101"/>
      <c r="X1854" s="101"/>
      <c r="Y1854" s="101"/>
      <c r="Z1854" s="101"/>
      <c r="AA1854" s="101"/>
      <c r="AB1854" s="101"/>
      <c r="AC1854" s="119"/>
      <c r="AD1854" s="119"/>
      <c r="AE1854" s="120"/>
      <c r="AF1854" s="119"/>
      <c r="AG1854" s="119"/>
      <c r="AH1854" s="120"/>
      <c r="AI1854" s="121"/>
      <c r="AJ1854" s="121"/>
      <c r="AK1854" s="121"/>
      <c r="AL1854" s="121"/>
      <c r="AM1854" s="122"/>
      <c r="AN1854" s="121"/>
      <c r="AP1854" s="87"/>
    </row>
    <row r="1855" spans="1:42">
      <c r="A1855" s="3"/>
      <c r="B1855" s="3"/>
      <c r="C1855" s="3"/>
      <c r="D1855" s="3"/>
      <c r="E1855" s="3"/>
      <c r="F1855" s="3"/>
      <c r="G1855" s="3"/>
      <c r="H1855" s="3"/>
      <c r="I1855" s="100"/>
      <c r="J1855" s="101"/>
      <c r="K1855" s="101"/>
      <c r="L1855" s="101"/>
      <c r="M1855" s="101"/>
      <c r="N1855" s="101"/>
      <c r="O1855" s="101"/>
      <c r="P1855" s="101"/>
      <c r="Q1855" s="101"/>
      <c r="R1855" s="101"/>
      <c r="S1855" s="101"/>
      <c r="T1855" s="101"/>
      <c r="U1855" s="101"/>
      <c r="V1855" s="101"/>
      <c r="W1855" s="101"/>
      <c r="X1855" s="101"/>
      <c r="Y1855" s="101"/>
      <c r="Z1855" s="101"/>
      <c r="AA1855" s="101"/>
      <c r="AB1855" s="101"/>
      <c r="AC1855" s="119"/>
      <c r="AD1855" s="119"/>
      <c r="AE1855" s="120"/>
      <c r="AF1855" s="119"/>
      <c r="AG1855" s="119"/>
      <c r="AH1855" s="120"/>
      <c r="AI1855" s="121"/>
      <c r="AJ1855" s="121"/>
      <c r="AK1855" s="121"/>
      <c r="AL1855" s="121"/>
      <c r="AM1855" s="122"/>
      <c r="AN1855" s="121"/>
      <c r="AP1855" s="87"/>
    </row>
    <row r="1856" spans="1:42">
      <c r="A1856" s="3"/>
      <c r="B1856" s="3"/>
      <c r="C1856" s="3"/>
      <c r="D1856" s="3"/>
      <c r="E1856" s="3"/>
      <c r="F1856" s="3"/>
      <c r="G1856" s="3"/>
      <c r="H1856" s="3"/>
      <c r="I1856" s="100"/>
      <c r="J1856" s="101"/>
      <c r="K1856" s="101"/>
      <c r="L1856" s="101"/>
      <c r="M1856" s="101"/>
      <c r="N1856" s="101"/>
      <c r="O1856" s="101"/>
      <c r="P1856" s="101"/>
      <c r="Q1856" s="101"/>
      <c r="R1856" s="101"/>
      <c r="S1856" s="101"/>
      <c r="T1856" s="101"/>
      <c r="U1856" s="101"/>
      <c r="V1856" s="101"/>
      <c r="W1856" s="101"/>
      <c r="X1856" s="101"/>
      <c r="Y1856" s="101"/>
      <c r="Z1856" s="101"/>
      <c r="AA1856" s="101"/>
      <c r="AB1856" s="101"/>
      <c r="AC1856" s="119"/>
      <c r="AD1856" s="119"/>
      <c r="AE1856" s="120"/>
      <c r="AF1856" s="119"/>
      <c r="AG1856" s="119"/>
      <c r="AH1856" s="120"/>
      <c r="AI1856" s="121"/>
      <c r="AJ1856" s="121"/>
      <c r="AK1856" s="121"/>
      <c r="AL1856" s="121"/>
      <c r="AM1856" s="122"/>
      <c r="AN1856" s="121"/>
      <c r="AP1856" s="87"/>
    </row>
    <row r="1857" spans="1:42">
      <c r="A1857" s="3"/>
      <c r="B1857" s="3"/>
      <c r="C1857" s="3"/>
      <c r="D1857" s="3"/>
      <c r="E1857" s="3"/>
      <c r="F1857" s="3"/>
      <c r="G1857" s="3"/>
      <c r="H1857" s="3"/>
      <c r="I1857" s="100"/>
      <c r="J1857" s="101"/>
      <c r="K1857" s="101"/>
      <c r="L1857" s="101"/>
      <c r="M1857" s="101"/>
      <c r="N1857" s="101"/>
      <c r="O1857" s="101"/>
      <c r="P1857" s="101"/>
      <c r="Q1857" s="101"/>
      <c r="R1857" s="101"/>
      <c r="S1857" s="101"/>
      <c r="T1857" s="101"/>
      <c r="U1857" s="101"/>
      <c r="V1857" s="101"/>
      <c r="W1857" s="101"/>
      <c r="X1857" s="101"/>
      <c r="Y1857" s="101"/>
      <c r="Z1857" s="101"/>
      <c r="AA1857" s="101"/>
      <c r="AB1857" s="101"/>
      <c r="AC1857" s="119"/>
      <c r="AD1857" s="119"/>
      <c r="AE1857" s="120"/>
      <c r="AF1857" s="119"/>
      <c r="AG1857" s="119"/>
      <c r="AH1857" s="120"/>
      <c r="AI1857" s="121"/>
      <c r="AJ1857" s="121"/>
      <c r="AK1857" s="121"/>
      <c r="AL1857" s="121"/>
      <c r="AM1857" s="122"/>
      <c r="AN1857" s="121"/>
      <c r="AP1857" s="87"/>
    </row>
    <row r="1858" spans="1:42">
      <c r="A1858" s="3"/>
      <c r="B1858" s="3"/>
      <c r="C1858" s="3"/>
      <c r="D1858" s="3"/>
      <c r="E1858" s="3"/>
      <c r="F1858" s="3"/>
      <c r="G1858" s="3"/>
      <c r="H1858" s="3"/>
      <c r="I1858" s="100"/>
      <c r="J1858" s="101"/>
      <c r="K1858" s="101"/>
      <c r="L1858" s="101"/>
      <c r="M1858" s="101"/>
      <c r="N1858" s="101"/>
      <c r="O1858" s="101"/>
      <c r="P1858" s="101"/>
      <c r="Q1858" s="101"/>
      <c r="R1858" s="101"/>
      <c r="S1858" s="101"/>
      <c r="T1858" s="101"/>
      <c r="U1858" s="101"/>
      <c r="V1858" s="101"/>
      <c r="W1858" s="101"/>
      <c r="X1858" s="101"/>
      <c r="Y1858" s="101"/>
      <c r="Z1858" s="101"/>
      <c r="AA1858" s="101"/>
      <c r="AB1858" s="101"/>
      <c r="AC1858" s="119"/>
      <c r="AD1858" s="119"/>
      <c r="AE1858" s="120"/>
      <c r="AF1858" s="119"/>
      <c r="AG1858" s="119"/>
      <c r="AH1858" s="120"/>
      <c r="AI1858" s="121"/>
      <c r="AJ1858" s="121"/>
      <c r="AK1858" s="121"/>
      <c r="AL1858" s="121"/>
      <c r="AM1858" s="122"/>
      <c r="AN1858" s="121"/>
      <c r="AP1858" s="87"/>
    </row>
    <row r="1859" spans="1:42">
      <c r="A1859" s="3"/>
      <c r="B1859" s="3"/>
      <c r="C1859" s="3"/>
      <c r="D1859" s="3"/>
      <c r="E1859" s="3"/>
      <c r="F1859" s="3"/>
      <c r="G1859" s="3"/>
      <c r="H1859" s="3"/>
      <c r="I1859" s="100"/>
      <c r="J1859" s="101"/>
      <c r="K1859" s="101"/>
      <c r="L1859" s="101"/>
      <c r="M1859" s="101"/>
      <c r="N1859" s="101"/>
      <c r="O1859" s="101"/>
      <c r="P1859" s="101"/>
      <c r="Q1859" s="101"/>
      <c r="R1859" s="101"/>
      <c r="S1859" s="101"/>
      <c r="T1859" s="101"/>
      <c r="U1859" s="101"/>
      <c r="V1859" s="101"/>
      <c r="W1859" s="101"/>
      <c r="X1859" s="101"/>
      <c r="Y1859" s="101"/>
      <c r="Z1859" s="101"/>
      <c r="AA1859" s="101"/>
      <c r="AB1859" s="101"/>
      <c r="AC1859" s="119"/>
      <c r="AD1859" s="119"/>
      <c r="AE1859" s="120"/>
      <c r="AF1859" s="119"/>
      <c r="AG1859" s="119"/>
      <c r="AH1859" s="120"/>
      <c r="AI1859" s="121"/>
      <c r="AJ1859" s="121"/>
      <c r="AK1859" s="121"/>
      <c r="AL1859" s="121"/>
      <c r="AM1859" s="122"/>
      <c r="AN1859" s="121"/>
      <c r="AP1859" s="87"/>
    </row>
    <row r="1860" spans="1:42">
      <c r="A1860" s="3"/>
      <c r="B1860" s="3"/>
      <c r="C1860" s="3"/>
      <c r="D1860" s="3"/>
      <c r="E1860" s="3"/>
      <c r="F1860" s="3"/>
      <c r="G1860" s="3"/>
      <c r="H1860" s="3"/>
      <c r="I1860" s="100"/>
      <c r="J1860" s="101"/>
      <c r="K1860" s="101"/>
      <c r="L1860" s="101"/>
      <c r="M1860" s="101"/>
      <c r="N1860" s="101"/>
      <c r="O1860" s="101"/>
      <c r="P1860" s="101"/>
      <c r="Q1860" s="101"/>
      <c r="R1860" s="101"/>
      <c r="S1860" s="101"/>
      <c r="T1860" s="101"/>
      <c r="U1860" s="101"/>
      <c r="V1860" s="101"/>
      <c r="W1860" s="101"/>
      <c r="X1860" s="101"/>
      <c r="Y1860" s="101"/>
      <c r="Z1860" s="101"/>
      <c r="AA1860" s="101"/>
      <c r="AB1860" s="101"/>
      <c r="AC1860" s="119"/>
      <c r="AD1860" s="119"/>
      <c r="AE1860" s="120"/>
      <c r="AF1860" s="119"/>
      <c r="AG1860" s="119"/>
      <c r="AH1860" s="120"/>
      <c r="AI1860" s="121"/>
      <c r="AJ1860" s="121"/>
      <c r="AK1860" s="121"/>
      <c r="AL1860" s="121"/>
      <c r="AM1860" s="122"/>
      <c r="AN1860" s="121"/>
      <c r="AP1860" s="87"/>
    </row>
    <row r="1861" spans="1:42">
      <c r="A1861" s="3"/>
      <c r="B1861" s="3"/>
      <c r="C1861" s="3"/>
      <c r="D1861" s="3"/>
      <c r="E1861" s="3"/>
      <c r="F1861" s="3"/>
      <c r="G1861" s="3"/>
      <c r="H1861" s="3"/>
      <c r="I1861" s="100"/>
      <c r="J1861" s="101"/>
      <c r="K1861" s="101"/>
      <c r="L1861" s="101"/>
      <c r="M1861" s="101"/>
      <c r="N1861" s="101"/>
      <c r="O1861" s="101"/>
      <c r="P1861" s="101"/>
      <c r="Q1861" s="101"/>
      <c r="R1861" s="101"/>
      <c r="S1861" s="101"/>
      <c r="T1861" s="101"/>
      <c r="U1861" s="101"/>
      <c r="V1861" s="101"/>
      <c r="W1861" s="101"/>
      <c r="X1861" s="101"/>
      <c r="Y1861" s="101"/>
      <c r="Z1861" s="101"/>
      <c r="AA1861" s="101"/>
      <c r="AB1861" s="101"/>
      <c r="AC1861" s="119"/>
      <c r="AD1861" s="119"/>
      <c r="AE1861" s="120"/>
      <c r="AF1861" s="119"/>
      <c r="AG1861" s="119"/>
      <c r="AH1861" s="120"/>
      <c r="AI1861" s="121"/>
      <c r="AJ1861" s="121"/>
      <c r="AK1861" s="121"/>
      <c r="AL1861" s="121"/>
      <c r="AM1861" s="122"/>
      <c r="AN1861" s="121"/>
      <c r="AP1861" s="87"/>
    </row>
    <row r="1862" spans="1:42">
      <c r="A1862" s="3"/>
      <c r="B1862" s="3"/>
      <c r="C1862" s="3"/>
      <c r="D1862" s="3"/>
      <c r="E1862" s="3"/>
      <c r="F1862" s="3"/>
      <c r="G1862" s="3"/>
      <c r="H1862" s="3"/>
      <c r="I1862" s="100"/>
      <c r="J1862" s="101"/>
      <c r="K1862" s="101"/>
      <c r="L1862" s="101"/>
      <c r="M1862" s="101"/>
      <c r="N1862" s="101"/>
      <c r="O1862" s="101"/>
      <c r="P1862" s="101"/>
      <c r="Q1862" s="101"/>
      <c r="R1862" s="101"/>
      <c r="S1862" s="101"/>
      <c r="T1862" s="101"/>
      <c r="U1862" s="101"/>
      <c r="V1862" s="101"/>
      <c r="W1862" s="101"/>
      <c r="X1862" s="101"/>
      <c r="Y1862" s="101"/>
      <c r="Z1862" s="101"/>
      <c r="AA1862" s="101"/>
      <c r="AB1862" s="101"/>
      <c r="AC1862" s="119"/>
      <c r="AD1862" s="119"/>
      <c r="AE1862" s="120"/>
      <c r="AF1862" s="119"/>
      <c r="AG1862" s="119"/>
      <c r="AH1862" s="120"/>
      <c r="AI1862" s="121"/>
      <c r="AJ1862" s="121"/>
      <c r="AK1862" s="121"/>
      <c r="AL1862" s="121"/>
      <c r="AM1862" s="122"/>
      <c r="AN1862" s="121"/>
      <c r="AP1862" s="87"/>
    </row>
    <row r="1863" spans="1:42">
      <c r="A1863" s="3"/>
      <c r="B1863" s="3"/>
      <c r="C1863" s="3"/>
      <c r="D1863" s="3"/>
      <c r="E1863" s="3"/>
      <c r="F1863" s="3"/>
      <c r="G1863" s="3"/>
      <c r="H1863" s="3"/>
      <c r="I1863" s="100"/>
      <c r="J1863" s="101"/>
      <c r="K1863" s="101"/>
      <c r="L1863" s="101"/>
      <c r="M1863" s="101"/>
      <c r="N1863" s="101"/>
      <c r="O1863" s="101"/>
      <c r="P1863" s="101"/>
      <c r="Q1863" s="101"/>
      <c r="R1863" s="101"/>
      <c r="S1863" s="101"/>
      <c r="T1863" s="101"/>
      <c r="U1863" s="101"/>
      <c r="V1863" s="101"/>
      <c r="W1863" s="101"/>
      <c r="X1863" s="101"/>
      <c r="Y1863" s="101"/>
      <c r="Z1863" s="101"/>
      <c r="AA1863" s="101"/>
      <c r="AB1863" s="101"/>
      <c r="AC1863" s="119"/>
      <c r="AD1863" s="119"/>
      <c r="AE1863" s="120"/>
      <c r="AF1863" s="119"/>
      <c r="AG1863" s="119"/>
      <c r="AH1863" s="120"/>
      <c r="AI1863" s="121"/>
      <c r="AJ1863" s="121"/>
      <c r="AK1863" s="121"/>
      <c r="AL1863" s="121"/>
      <c r="AM1863" s="122"/>
      <c r="AN1863" s="121"/>
      <c r="AP1863" s="87"/>
    </row>
    <row r="1864" spans="1:42">
      <c r="A1864" s="3"/>
      <c r="B1864" s="3"/>
      <c r="C1864" s="3"/>
      <c r="D1864" s="3"/>
      <c r="E1864" s="3"/>
      <c r="F1864" s="3"/>
      <c r="G1864" s="3"/>
      <c r="H1864" s="3"/>
      <c r="I1864" s="100"/>
      <c r="J1864" s="101"/>
      <c r="K1864" s="101"/>
      <c r="L1864" s="101"/>
      <c r="M1864" s="101"/>
      <c r="N1864" s="101"/>
      <c r="O1864" s="101"/>
      <c r="P1864" s="101"/>
      <c r="Q1864" s="101"/>
      <c r="R1864" s="101"/>
      <c r="S1864" s="101"/>
      <c r="T1864" s="101"/>
      <c r="U1864" s="101"/>
      <c r="V1864" s="101"/>
      <c r="W1864" s="101"/>
      <c r="X1864" s="101"/>
      <c r="Y1864" s="101"/>
      <c r="Z1864" s="101"/>
      <c r="AA1864" s="101"/>
      <c r="AB1864" s="101"/>
      <c r="AC1864" s="119"/>
      <c r="AD1864" s="119"/>
      <c r="AE1864" s="120"/>
      <c r="AF1864" s="119"/>
      <c r="AG1864" s="119"/>
      <c r="AH1864" s="120"/>
      <c r="AI1864" s="121"/>
      <c r="AJ1864" s="121"/>
      <c r="AK1864" s="121"/>
      <c r="AL1864" s="121"/>
      <c r="AM1864" s="122"/>
      <c r="AN1864" s="121"/>
      <c r="AP1864" s="87"/>
    </row>
    <row r="1865" spans="1:42">
      <c r="A1865" s="3"/>
      <c r="B1865" s="3"/>
      <c r="C1865" s="3"/>
      <c r="D1865" s="3"/>
      <c r="E1865" s="3"/>
      <c r="F1865" s="3"/>
      <c r="G1865" s="3"/>
      <c r="H1865" s="3"/>
      <c r="I1865" s="100"/>
      <c r="J1865" s="101"/>
      <c r="K1865" s="101"/>
      <c r="L1865" s="101"/>
      <c r="M1865" s="101"/>
      <c r="N1865" s="101"/>
      <c r="O1865" s="101"/>
      <c r="P1865" s="101"/>
      <c r="Q1865" s="101"/>
      <c r="R1865" s="101"/>
      <c r="S1865" s="101"/>
      <c r="T1865" s="101"/>
      <c r="U1865" s="101"/>
      <c r="V1865" s="101"/>
      <c r="W1865" s="101"/>
      <c r="X1865" s="101"/>
      <c r="Y1865" s="101"/>
      <c r="Z1865" s="101"/>
      <c r="AA1865" s="101"/>
      <c r="AB1865" s="101"/>
      <c r="AC1865" s="119"/>
      <c r="AD1865" s="119"/>
      <c r="AE1865" s="120"/>
      <c r="AF1865" s="119"/>
      <c r="AG1865" s="119"/>
      <c r="AH1865" s="120"/>
      <c r="AI1865" s="121"/>
      <c r="AJ1865" s="121"/>
      <c r="AK1865" s="121"/>
      <c r="AL1865" s="121"/>
      <c r="AM1865" s="122"/>
      <c r="AN1865" s="121"/>
      <c r="AP1865" s="87"/>
    </row>
    <row r="1866" spans="1:42">
      <c r="A1866" s="3"/>
      <c r="B1866" s="3"/>
      <c r="C1866" s="3"/>
      <c r="D1866" s="3"/>
      <c r="E1866" s="3"/>
      <c r="F1866" s="3"/>
      <c r="G1866" s="3"/>
      <c r="H1866" s="3"/>
      <c r="I1866" s="100"/>
      <c r="J1866" s="101"/>
      <c r="K1866" s="101"/>
      <c r="L1866" s="101"/>
      <c r="M1866" s="101"/>
      <c r="N1866" s="101"/>
      <c r="O1866" s="101"/>
      <c r="P1866" s="101"/>
      <c r="Q1866" s="101"/>
      <c r="R1866" s="101"/>
      <c r="S1866" s="101"/>
      <c r="T1866" s="101"/>
      <c r="U1866" s="101"/>
      <c r="V1866" s="101"/>
      <c r="W1866" s="101"/>
      <c r="X1866" s="101"/>
      <c r="Y1866" s="101"/>
      <c r="Z1866" s="101"/>
      <c r="AA1866" s="101"/>
      <c r="AB1866" s="101"/>
      <c r="AC1866" s="119"/>
      <c r="AD1866" s="119"/>
      <c r="AE1866" s="120"/>
      <c r="AF1866" s="119"/>
      <c r="AG1866" s="119"/>
      <c r="AH1866" s="120"/>
      <c r="AI1866" s="121"/>
      <c r="AJ1866" s="121"/>
      <c r="AK1866" s="121"/>
      <c r="AL1866" s="121"/>
      <c r="AM1866" s="122"/>
      <c r="AN1866" s="121"/>
      <c r="AP1866" s="87"/>
    </row>
    <row r="1867" spans="1:42">
      <c r="A1867" s="3"/>
      <c r="B1867" s="3"/>
      <c r="C1867" s="3"/>
      <c r="D1867" s="3"/>
      <c r="E1867" s="3"/>
      <c r="F1867" s="3"/>
      <c r="G1867" s="3"/>
      <c r="H1867" s="3"/>
      <c r="I1867" s="100"/>
      <c r="J1867" s="101"/>
      <c r="K1867" s="101"/>
      <c r="L1867" s="101"/>
      <c r="M1867" s="101"/>
      <c r="N1867" s="101"/>
      <c r="O1867" s="101"/>
      <c r="P1867" s="101"/>
      <c r="Q1867" s="101"/>
      <c r="R1867" s="101"/>
      <c r="S1867" s="101"/>
      <c r="T1867" s="101"/>
      <c r="U1867" s="101"/>
      <c r="V1867" s="101"/>
      <c r="W1867" s="101"/>
      <c r="X1867" s="101"/>
      <c r="Y1867" s="101"/>
      <c r="Z1867" s="101"/>
      <c r="AA1867" s="101"/>
      <c r="AB1867" s="101"/>
      <c r="AC1867" s="119"/>
      <c r="AD1867" s="119"/>
      <c r="AE1867" s="120"/>
      <c r="AF1867" s="119"/>
      <c r="AG1867" s="119"/>
      <c r="AH1867" s="120"/>
      <c r="AI1867" s="121"/>
      <c r="AJ1867" s="121"/>
      <c r="AK1867" s="121"/>
      <c r="AL1867" s="121"/>
      <c r="AM1867" s="122"/>
      <c r="AN1867" s="121"/>
      <c r="AP1867" s="87"/>
    </row>
    <row r="1868" spans="1:42">
      <c r="A1868" s="3"/>
      <c r="B1868" s="3"/>
      <c r="C1868" s="3"/>
      <c r="D1868" s="3"/>
      <c r="E1868" s="3"/>
      <c r="F1868" s="3"/>
      <c r="G1868" s="3"/>
      <c r="H1868" s="3"/>
      <c r="I1868" s="100"/>
      <c r="J1868" s="101"/>
      <c r="K1868" s="101"/>
      <c r="L1868" s="101"/>
      <c r="M1868" s="101"/>
      <c r="N1868" s="101"/>
      <c r="O1868" s="101"/>
      <c r="P1868" s="101"/>
      <c r="Q1868" s="101"/>
      <c r="R1868" s="101"/>
      <c r="S1868" s="101"/>
      <c r="T1868" s="101"/>
      <c r="U1868" s="101"/>
      <c r="V1868" s="101"/>
      <c r="W1868" s="101"/>
      <c r="X1868" s="101"/>
      <c r="Y1868" s="101"/>
      <c r="Z1868" s="101"/>
      <c r="AA1868" s="101"/>
      <c r="AB1868" s="101"/>
      <c r="AC1868" s="119"/>
      <c r="AD1868" s="119"/>
      <c r="AE1868" s="120"/>
      <c r="AF1868" s="119"/>
      <c r="AG1868" s="119"/>
      <c r="AH1868" s="120"/>
      <c r="AI1868" s="121"/>
      <c r="AJ1868" s="121"/>
      <c r="AK1868" s="121"/>
      <c r="AL1868" s="121"/>
      <c r="AM1868" s="122"/>
      <c r="AN1868" s="121"/>
      <c r="AP1868" s="87"/>
    </row>
    <row r="1869" spans="1:42">
      <c r="A1869" s="3"/>
      <c r="B1869" s="3"/>
      <c r="C1869" s="3"/>
      <c r="D1869" s="3"/>
      <c r="E1869" s="3"/>
      <c r="F1869" s="3"/>
      <c r="G1869" s="3"/>
      <c r="H1869" s="3"/>
      <c r="I1869" s="100"/>
      <c r="J1869" s="101"/>
      <c r="K1869" s="101"/>
      <c r="L1869" s="101"/>
      <c r="M1869" s="101"/>
      <c r="N1869" s="101"/>
      <c r="O1869" s="101"/>
      <c r="P1869" s="101"/>
      <c r="Q1869" s="101"/>
      <c r="R1869" s="101"/>
      <c r="S1869" s="101"/>
      <c r="T1869" s="101"/>
      <c r="U1869" s="101"/>
      <c r="V1869" s="101"/>
      <c r="W1869" s="101"/>
      <c r="X1869" s="101"/>
      <c r="Y1869" s="101"/>
      <c r="Z1869" s="101"/>
      <c r="AA1869" s="101"/>
      <c r="AB1869" s="101"/>
      <c r="AC1869" s="119"/>
      <c r="AD1869" s="119"/>
      <c r="AE1869" s="120"/>
      <c r="AF1869" s="119"/>
      <c r="AG1869" s="119"/>
      <c r="AH1869" s="120"/>
      <c r="AI1869" s="121"/>
      <c r="AJ1869" s="121"/>
      <c r="AK1869" s="121"/>
      <c r="AL1869" s="121"/>
      <c r="AM1869" s="122"/>
      <c r="AN1869" s="121"/>
      <c r="AP1869" s="87"/>
    </row>
    <row r="1870" spans="1:42">
      <c r="A1870" s="3"/>
      <c r="B1870" s="3"/>
      <c r="C1870" s="3"/>
      <c r="D1870" s="3"/>
      <c r="E1870" s="3"/>
      <c r="F1870" s="3"/>
      <c r="G1870" s="3"/>
      <c r="H1870" s="3"/>
      <c r="I1870" s="100"/>
      <c r="J1870" s="101"/>
      <c r="K1870" s="101"/>
      <c r="L1870" s="101"/>
      <c r="M1870" s="101"/>
      <c r="N1870" s="101"/>
      <c r="O1870" s="101"/>
      <c r="P1870" s="101"/>
      <c r="Q1870" s="101"/>
      <c r="R1870" s="101"/>
      <c r="S1870" s="101"/>
      <c r="T1870" s="101"/>
      <c r="U1870" s="101"/>
      <c r="V1870" s="101"/>
      <c r="W1870" s="101"/>
      <c r="X1870" s="101"/>
      <c r="Y1870" s="101"/>
      <c r="Z1870" s="101"/>
      <c r="AA1870" s="101"/>
      <c r="AB1870" s="101"/>
      <c r="AC1870" s="119"/>
      <c r="AD1870" s="119"/>
      <c r="AE1870" s="120"/>
      <c r="AF1870" s="119"/>
      <c r="AG1870" s="119"/>
      <c r="AH1870" s="120"/>
      <c r="AI1870" s="121"/>
      <c r="AJ1870" s="121"/>
      <c r="AK1870" s="121"/>
      <c r="AL1870" s="121"/>
      <c r="AM1870" s="122"/>
      <c r="AN1870" s="121"/>
      <c r="AP1870" s="87"/>
    </row>
    <row r="1871" spans="1:42">
      <c r="A1871" s="3"/>
      <c r="B1871" s="3"/>
      <c r="C1871" s="3"/>
      <c r="D1871" s="3"/>
      <c r="E1871" s="3"/>
      <c r="F1871" s="3"/>
      <c r="G1871" s="3"/>
      <c r="H1871" s="3"/>
      <c r="I1871" s="100"/>
      <c r="J1871" s="101"/>
      <c r="K1871" s="101"/>
      <c r="L1871" s="101"/>
      <c r="M1871" s="101"/>
      <c r="N1871" s="101"/>
      <c r="O1871" s="101"/>
      <c r="P1871" s="101"/>
      <c r="Q1871" s="101"/>
      <c r="R1871" s="101"/>
      <c r="S1871" s="101"/>
      <c r="T1871" s="101"/>
      <c r="U1871" s="101"/>
      <c r="V1871" s="101"/>
      <c r="W1871" s="101"/>
      <c r="X1871" s="101"/>
      <c r="Y1871" s="101"/>
      <c r="Z1871" s="101"/>
      <c r="AA1871" s="101"/>
      <c r="AB1871" s="101"/>
      <c r="AC1871" s="119"/>
      <c r="AD1871" s="119"/>
      <c r="AE1871" s="120"/>
      <c r="AF1871" s="119"/>
      <c r="AG1871" s="119"/>
      <c r="AH1871" s="120"/>
      <c r="AI1871" s="121"/>
      <c r="AJ1871" s="121"/>
      <c r="AK1871" s="121"/>
      <c r="AL1871" s="121"/>
      <c r="AM1871" s="122"/>
      <c r="AN1871" s="121"/>
      <c r="AP1871" s="87"/>
    </row>
    <row r="1872" spans="1:42">
      <c r="A1872" s="3"/>
      <c r="B1872" s="3"/>
      <c r="C1872" s="3"/>
      <c r="D1872" s="3"/>
      <c r="E1872" s="3"/>
      <c r="F1872" s="3"/>
      <c r="G1872" s="3"/>
      <c r="H1872" s="3"/>
      <c r="I1872" s="100"/>
      <c r="J1872" s="101"/>
      <c r="K1872" s="101"/>
      <c r="L1872" s="101"/>
      <c r="M1872" s="101"/>
      <c r="N1872" s="101"/>
      <c r="O1872" s="101"/>
      <c r="P1872" s="101"/>
      <c r="Q1872" s="101"/>
      <c r="R1872" s="101"/>
      <c r="S1872" s="101"/>
      <c r="T1872" s="101"/>
      <c r="U1872" s="101"/>
      <c r="V1872" s="101"/>
      <c r="W1872" s="101"/>
      <c r="X1872" s="101"/>
      <c r="Y1872" s="101"/>
      <c r="Z1872" s="101"/>
      <c r="AA1872" s="101"/>
      <c r="AB1872" s="101"/>
      <c r="AC1872" s="119"/>
      <c r="AD1872" s="119"/>
      <c r="AE1872" s="120"/>
      <c r="AF1872" s="119"/>
      <c r="AG1872" s="119"/>
      <c r="AH1872" s="120"/>
      <c r="AI1872" s="121"/>
      <c r="AJ1872" s="121"/>
      <c r="AK1872" s="121"/>
      <c r="AL1872" s="121"/>
      <c r="AM1872" s="122"/>
      <c r="AN1872" s="121"/>
      <c r="AP1872" s="87"/>
    </row>
    <row r="1873" spans="1:42">
      <c r="A1873" s="3"/>
      <c r="B1873" s="3"/>
      <c r="C1873" s="3"/>
      <c r="D1873" s="3"/>
      <c r="E1873" s="3"/>
      <c r="F1873" s="3"/>
      <c r="G1873" s="3"/>
      <c r="H1873" s="3"/>
      <c r="I1873" s="100"/>
      <c r="J1873" s="101"/>
      <c r="K1873" s="101"/>
      <c r="L1873" s="101"/>
      <c r="M1873" s="101"/>
      <c r="N1873" s="101"/>
      <c r="O1873" s="101"/>
      <c r="P1873" s="101"/>
      <c r="Q1873" s="101"/>
      <c r="R1873" s="101"/>
      <c r="S1873" s="101"/>
      <c r="T1873" s="101"/>
      <c r="U1873" s="101"/>
      <c r="V1873" s="101"/>
      <c r="W1873" s="101"/>
      <c r="X1873" s="101"/>
      <c r="Y1873" s="101"/>
      <c r="Z1873" s="101"/>
      <c r="AA1873" s="101"/>
      <c r="AB1873" s="101"/>
      <c r="AC1873" s="119"/>
      <c r="AD1873" s="119"/>
      <c r="AE1873" s="120"/>
      <c r="AF1873" s="119"/>
      <c r="AG1873" s="119"/>
      <c r="AH1873" s="120"/>
      <c r="AI1873" s="121"/>
      <c r="AJ1873" s="121"/>
      <c r="AK1873" s="121"/>
      <c r="AL1873" s="121"/>
      <c r="AM1873" s="122"/>
      <c r="AN1873" s="121"/>
      <c r="AP1873" s="87"/>
    </row>
    <row r="1874" spans="1:42">
      <c r="A1874" s="3"/>
      <c r="B1874" s="3"/>
      <c r="C1874" s="3"/>
      <c r="D1874" s="3"/>
      <c r="E1874" s="3"/>
      <c r="F1874" s="3"/>
      <c r="G1874" s="3"/>
      <c r="H1874" s="3"/>
      <c r="I1874" s="100"/>
      <c r="J1874" s="101"/>
      <c r="K1874" s="101"/>
      <c r="L1874" s="101"/>
      <c r="M1874" s="101"/>
      <c r="N1874" s="101"/>
      <c r="O1874" s="101"/>
      <c r="P1874" s="101"/>
      <c r="Q1874" s="101"/>
      <c r="R1874" s="101"/>
      <c r="S1874" s="101"/>
      <c r="T1874" s="101"/>
      <c r="U1874" s="101"/>
      <c r="V1874" s="101"/>
      <c r="W1874" s="101"/>
      <c r="X1874" s="101"/>
      <c r="Y1874" s="101"/>
      <c r="Z1874" s="101"/>
      <c r="AA1874" s="101"/>
      <c r="AB1874" s="101"/>
      <c r="AC1874" s="119"/>
      <c r="AD1874" s="119"/>
      <c r="AE1874" s="120"/>
      <c r="AF1874" s="119"/>
      <c r="AG1874" s="119"/>
      <c r="AH1874" s="120"/>
      <c r="AI1874" s="121"/>
      <c r="AJ1874" s="121"/>
      <c r="AK1874" s="121"/>
      <c r="AL1874" s="121"/>
      <c r="AM1874" s="122"/>
      <c r="AN1874" s="121"/>
      <c r="AP1874" s="87"/>
    </row>
    <row r="1875" spans="1:42">
      <c r="A1875" s="3"/>
      <c r="B1875" s="3"/>
      <c r="C1875" s="3"/>
      <c r="D1875" s="3"/>
      <c r="E1875" s="3"/>
      <c r="F1875" s="3"/>
      <c r="G1875" s="3"/>
      <c r="H1875" s="3"/>
      <c r="I1875" s="100"/>
      <c r="J1875" s="101"/>
      <c r="K1875" s="101"/>
      <c r="L1875" s="101"/>
      <c r="M1875" s="101"/>
      <c r="N1875" s="101"/>
      <c r="O1875" s="101"/>
      <c r="P1875" s="101"/>
      <c r="Q1875" s="101"/>
      <c r="R1875" s="101"/>
      <c r="S1875" s="101"/>
      <c r="T1875" s="101"/>
      <c r="U1875" s="101"/>
      <c r="V1875" s="101"/>
      <c r="W1875" s="101"/>
      <c r="X1875" s="101"/>
      <c r="Y1875" s="101"/>
      <c r="Z1875" s="101"/>
      <c r="AA1875" s="101"/>
      <c r="AB1875" s="101"/>
      <c r="AC1875" s="119"/>
      <c r="AD1875" s="119"/>
      <c r="AE1875" s="120"/>
      <c r="AF1875" s="119"/>
      <c r="AG1875" s="119"/>
      <c r="AH1875" s="120"/>
      <c r="AI1875" s="121"/>
      <c r="AJ1875" s="121"/>
      <c r="AK1875" s="121"/>
      <c r="AL1875" s="121"/>
      <c r="AM1875" s="122"/>
      <c r="AN1875" s="121"/>
      <c r="AP1875" s="87"/>
    </row>
    <row r="1876" spans="1:42">
      <c r="A1876" s="3"/>
      <c r="B1876" s="3"/>
      <c r="C1876" s="3"/>
      <c r="D1876" s="3"/>
      <c r="E1876" s="3"/>
      <c r="F1876" s="3"/>
      <c r="G1876" s="3"/>
      <c r="H1876" s="3"/>
      <c r="I1876" s="100"/>
      <c r="J1876" s="101"/>
      <c r="K1876" s="101"/>
      <c r="L1876" s="101"/>
      <c r="M1876" s="101"/>
      <c r="N1876" s="101"/>
      <c r="O1876" s="101"/>
      <c r="P1876" s="101"/>
      <c r="Q1876" s="101"/>
      <c r="R1876" s="101"/>
      <c r="S1876" s="101"/>
      <c r="T1876" s="101"/>
      <c r="U1876" s="101"/>
      <c r="V1876" s="101"/>
      <c r="W1876" s="101"/>
      <c r="X1876" s="101"/>
      <c r="Y1876" s="101"/>
      <c r="Z1876" s="101"/>
      <c r="AA1876" s="101"/>
      <c r="AB1876" s="101"/>
      <c r="AC1876" s="119"/>
      <c r="AD1876" s="119"/>
      <c r="AE1876" s="120"/>
      <c r="AF1876" s="119"/>
      <c r="AG1876" s="119"/>
      <c r="AH1876" s="120"/>
      <c r="AI1876" s="121"/>
      <c r="AJ1876" s="121"/>
      <c r="AK1876" s="121"/>
      <c r="AL1876" s="121"/>
      <c r="AM1876" s="122"/>
      <c r="AN1876" s="121"/>
      <c r="AP1876" s="87"/>
    </row>
    <row r="1877" spans="1:42">
      <c r="A1877" s="3"/>
      <c r="B1877" s="3"/>
      <c r="C1877" s="3"/>
      <c r="D1877" s="3"/>
      <c r="E1877" s="3"/>
      <c r="F1877" s="3"/>
      <c r="G1877" s="3"/>
      <c r="H1877" s="3"/>
      <c r="I1877" s="100"/>
      <c r="J1877" s="101"/>
      <c r="K1877" s="101"/>
      <c r="L1877" s="101"/>
      <c r="M1877" s="101"/>
      <c r="N1877" s="101"/>
      <c r="O1877" s="101"/>
      <c r="P1877" s="101"/>
      <c r="Q1877" s="101"/>
      <c r="R1877" s="101"/>
      <c r="S1877" s="101"/>
      <c r="T1877" s="101"/>
      <c r="U1877" s="101"/>
      <c r="V1877" s="101"/>
      <c r="W1877" s="101"/>
      <c r="X1877" s="101"/>
      <c r="Y1877" s="101"/>
      <c r="Z1877" s="101"/>
      <c r="AA1877" s="101"/>
      <c r="AB1877" s="101"/>
      <c r="AC1877" s="119"/>
      <c r="AD1877" s="119"/>
      <c r="AE1877" s="120"/>
      <c r="AF1877" s="119"/>
      <c r="AG1877" s="119"/>
      <c r="AH1877" s="120"/>
      <c r="AI1877" s="121"/>
      <c r="AJ1877" s="121"/>
      <c r="AK1877" s="121"/>
      <c r="AL1877" s="121"/>
      <c r="AM1877" s="122"/>
      <c r="AN1877" s="121"/>
      <c r="AP1877" s="87"/>
    </row>
    <row r="1878" spans="1:42">
      <c r="A1878" s="3"/>
      <c r="B1878" s="3"/>
      <c r="C1878" s="3"/>
      <c r="D1878" s="3"/>
      <c r="E1878" s="3"/>
      <c r="F1878" s="3"/>
      <c r="G1878" s="3"/>
      <c r="H1878" s="3"/>
      <c r="I1878" s="100"/>
      <c r="J1878" s="101"/>
      <c r="K1878" s="101"/>
      <c r="L1878" s="101"/>
      <c r="M1878" s="101"/>
      <c r="N1878" s="101"/>
      <c r="O1878" s="101"/>
      <c r="P1878" s="101"/>
      <c r="Q1878" s="101"/>
      <c r="R1878" s="101"/>
      <c r="S1878" s="101"/>
      <c r="T1878" s="101"/>
      <c r="U1878" s="101"/>
      <c r="V1878" s="101"/>
      <c r="W1878" s="101"/>
      <c r="X1878" s="101"/>
      <c r="Y1878" s="101"/>
      <c r="Z1878" s="101"/>
      <c r="AA1878" s="101"/>
      <c r="AB1878" s="101"/>
      <c r="AC1878" s="119"/>
      <c r="AD1878" s="119"/>
      <c r="AE1878" s="120"/>
      <c r="AF1878" s="119"/>
      <c r="AG1878" s="119"/>
      <c r="AH1878" s="120"/>
      <c r="AI1878" s="121"/>
      <c r="AJ1878" s="121"/>
      <c r="AK1878" s="121"/>
      <c r="AL1878" s="121"/>
      <c r="AM1878" s="122"/>
      <c r="AN1878" s="121"/>
      <c r="AP1878" s="87"/>
    </row>
    <row r="1879" spans="1:42">
      <c r="A1879" s="3"/>
      <c r="B1879" s="3"/>
      <c r="C1879" s="3"/>
      <c r="D1879" s="3"/>
      <c r="E1879" s="3"/>
      <c r="F1879" s="3"/>
      <c r="G1879" s="3"/>
      <c r="H1879" s="3"/>
      <c r="I1879" s="100"/>
      <c r="J1879" s="101"/>
      <c r="K1879" s="101"/>
      <c r="L1879" s="101"/>
      <c r="M1879" s="101"/>
      <c r="N1879" s="101"/>
      <c r="O1879" s="101"/>
      <c r="P1879" s="101"/>
      <c r="Q1879" s="101"/>
      <c r="R1879" s="101"/>
      <c r="S1879" s="101"/>
      <c r="T1879" s="101"/>
      <c r="U1879" s="101"/>
      <c r="V1879" s="101"/>
      <c r="W1879" s="101"/>
      <c r="X1879" s="101"/>
      <c r="Y1879" s="101"/>
      <c r="Z1879" s="101"/>
      <c r="AA1879" s="101"/>
      <c r="AB1879" s="101"/>
      <c r="AC1879" s="119"/>
      <c r="AD1879" s="119"/>
      <c r="AE1879" s="120"/>
      <c r="AF1879" s="119"/>
      <c r="AG1879" s="119"/>
      <c r="AH1879" s="120"/>
      <c r="AI1879" s="121"/>
      <c r="AJ1879" s="121"/>
      <c r="AK1879" s="121"/>
      <c r="AL1879" s="121"/>
      <c r="AM1879" s="122"/>
      <c r="AN1879" s="121"/>
      <c r="AP1879" s="87"/>
    </row>
    <row r="1880" spans="1:42">
      <c r="A1880" s="3"/>
      <c r="B1880" s="3"/>
      <c r="C1880" s="3"/>
      <c r="D1880" s="3"/>
      <c r="E1880" s="3"/>
      <c r="F1880" s="3"/>
      <c r="G1880" s="3"/>
      <c r="H1880" s="3"/>
      <c r="I1880" s="100"/>
      <c r="J1880" s="101"/>
      <c r="K1880" s="101"/>
      <c r="L1880" s="101"/>
      <c r="M1880" s="101"/>
      <c r="N1880" s="101"/>
      <c r="O1880" s="101"/>
      <c r="P1880" s="101"/>
      <c r="Q1880" s="101"/>
      <c r="R1880" s="101"/>
      <c r="S1880" s="101"/>
      <c r="T1880" s="101"/>
      <c r="U1880" s="101"/>
      <c r="V1880" s="101"/>
      <c r="W1880" s="101"/>
      <c r="X1880" s="101"/>
      <c r="Y1880" s="101"/>
      <c r="Z1880" s="101"/>
      <c r="AA1880" s="101"/>
      <c r="AB1880" s="101"/>
      <c r="AC1880" s="119"/>
      <c r="AD1880" s="119"/>
      <c r="AE1880" s="120"/>
      <c r="AF1880" s="119"/>
      <c r="AG1880" s="119"/>
      <c r="AH1880" s="120"/>
      <c r="AI1880" s="121"/>
      <c r="AJ1880" s="121"/>
      <c r="AK1880" s="121"/>
      <c r="AL1880" s="121"/>
      <c r="AM1880" s="122"/>
      <c r="AN1880" s="121"/>
      <c r="AP1880" s="87"/>
    </row>
    <row r="1881" spans="1:42">
      <c r="A1881" s="3"/>
      <c r="B1881" s="3"/>
      <c r="C1881" s="3"/>
      <c r="D1881" s="3"/>
      <c r="E1881" s="3"/>
      <c r="F1881" s="3"/>
      <c r="G1881" s="3"/>
      <c r="H1881" s="3"/>
      <c r="I1881" s="100"/>
      <c r="J1881" s="101"/>
      <c r="K1881" s="101"/>
      <c r="L1881" s="101"/>
      <c r="M1881" s="101"/>
      <c r="N1881" s="101"/>
      <c r="O1881" s="101"/>
      <c r="P1881" s="101"/>
      <c r="Q1881" s="101"/>
      <c r="R1881" s="101"/>
      <c r="S1881" s="101"/>
      <c r="T1881" s="101"/>
      <c r="U1881" s="101"/>
      <c r="V1881" s="101"/>
      <c r="W1881" s="101"/>
      <c r="X1881" s="101"/>
      <c r="Y1881" s="101"/>
      <c r="Z1881" s="101"/>
      <c r="AA1881" s="101"/>
      <c r="AB1881" s="101"/>
      <c r="AC1881" s="119"/>
      <c r="AD1881" s="119"/>
      <c r="AE1881" s="120"/>
      <c r="AF1881" s="119"/>
      <c r="AG1881" s="119"/>
      <c r="AH1881" s="120"/>
      <c r="AI1881" s="121"/>
      <c r="AJ1881" s="121"/>
      <c r="AK1881" s="121"/>
      <c r="AL1881" s="121"/>
      <c r="AM1881" s="122"/>
      <c r="AN1881" s="121"/>
      <c r="AP1881" s="87"/>
    </row>
    <row r="1882" spans="1:42">
      <c r="A1882" s="3"/>
      <c r="B1882" s="3"/>
      <c r="C1882" s="3"/>
      <c r="D1882" s="3"/>
      <c r="E1882" s="3"/>
      <c r="F1882" s="3"/>
      <c r="G1882" s="3"/>
      <c r="H1882" s="3"/>
      <c r="I1882" s="100"/>
      <c r="J1882" s="101"/>
      <c r="K1882" s="101"/>
      <c r="L1882" s="101"/>
      <c r="M1882" s="101"/>
      <c r="N1882" s="101"/>
      <c r="O1882" s="101"/>
      <c r="P1882" s="101"/>
      <c r="Q1882" s="101"/>
      <c r="R1882" s="101"/>
      <c r="S1882" s="101"/>
      <c r="T1882" s="101"/>
      <c r="U1882" s="101"/>
      <c r="V1882" s="101"/>
      <c r="W1882" s="101"/>
      <c r="X1882" s="101"/>
      <c r="Y1882" s="101"/>
      <c r="Z1882" s="101"/>
      <c r="AA1882" s="101"/>
      <c r="AB1882" s="101"/>
      <c r="AC1882" s="119"/>
      <c r="AD1882" s="119"/>
      <c r="AE1882" s="120"/>
      <c r="AF1882" s="119"/>
      <c r="AG1882" s="119"/>
      <c r="AH1882" s="120"/>
      <c r="AI1882" s="121"/>
      <c r="AJ1882" s="121"/>
      <c r="AK1882" s="121"/>
      <c r="AL1882" s="121"/>
      <c r="AM1882" s="122"/>
      <c r="AN1882" s="121"/>
      <c r="AP1882" s="87"/>
    </row>
    <row r="1883" spans="1:42">
      <c r="A1883" s="3"/>
      <c r="B1883" s="3"/>
      <c r="C1883" s="3"/>
      <c r="D1883" s="3"/>
      <c r="E1883" s="3"/>
      <c r="F1883" s="3"/>
      <c r="G1883" s="3"/>
      <c r="H1883" s="3"/>
      <c r="I1883" s="100"/>
      <c r="J1883" s="101"/>
      <c r="K1883" s="101"/>
      <c r="L1883" s="101"/>
      <c r="M1883" s="101"/>
      <c r="N1883" s="101"/>
      <c r="O1883" s="101"/>
      <c r="P1883" s="101"/>
      <c r="Q1883" s="101"/>
      <c r="R1883" s="101"/>
      <c r="S1883" s="101"/>
      <c r="T1883" s="101"/>
      <c r="U1883" s="101"/>
      <c r="V1883" s="101"/>
      <c r="W1883" s="101"/>
      <c r="X1883" s="101"/>
      <c r="Y1883" s="101"/>
      <c r="Z1883" s="101"/>
      <c r="AA1883" s="101"/>
      <c r="AB1883" s="101"/>
      <c r="AC1883" s="119"/>
      <c r="AD1883" s="119"/>
      <c r="AE1883" s="120"/>
      <c r="AF1883" s="119"/>
      <c r="AG1883" s="119"/>
      <c r="AH1883" s="120"/>
      <c r="AI1883" s="121"/>
      <c r="AJ1883" s="121"/>
      <c r="AK1883" s="121"/>
      <c r="AL1883" s="121"/>
      <c r="AM1883" s="122"/>
      <c r="AN1883" s="121"/>
      <c r="AP1883" s="87"/>
    </row>
    <row r="1884" spans="1:42">
      <c r="A1884" s="3"/>
      <c r="B1884" s="3"/>
      <c r="C1884" s="3"/>
      <c r="D1884" s="3"/>
      <c r="E1884" s="3"/>
      <c r="F1884" s="3"/>
      <c r="G1884" s="3"/>
      <c r="H1884" s="3"/>
      <c r="I1884" s="100"/>
      <c r="J1884" s="101"/>
      <c r="K1884" s="101"/>
      <c r="L1884" s="101"/>
      <c r="M1884" s="101"/>
      <c r="N1884" s="101"/>
      <c r="O1884" s="101"/>
      <c r="P1884" s="101"/>
      <c r="Q1884" s="101"/>
      <c r="R1884" s="101"/>
      <c r="S1884" s="101"/>
      <c r="T1884" s="101"/>
      <c r="U1884" s="101"/>
      <c r="V1884" s="101"/>
      <c r="W1884" s="101"/>
      <c r="X1884" s="101"/>
      <c r="Y1884" s="101"/>
      <c r="Z1884" s="101"/>
      <c r="AA1884" s="101"/>
      <c r="AB1884" s="101"/>
      <c r="AC1884" s="119"/>
      <c r="AD1884" s="119"/>
      <c r="AE1884" s="120"/>
      <c r="AF1884" s="119"/>
      <c r="AG1884" s="119"/>
      <c r="AH1884" s="120"/>
      <c r="AI1884" s="121"/>
      <c r="AJ1884" s="121"/>
      <c r="AK1884" s="121"/>
      <c r="AL1884" s="121"/>
      <c r="AM1884" s="122"/>
      <c r="AN1884" s="121"/>
      <c r="AP1884" s="87"/>
    </row>
    <row r="1885" spans="1:42">
      <c r="A1885" s="3"/>
      <c r="B1885" s="3"/>
      <c r="C1885" s="3"/>
      <c r="D1885" s="3"/>
      <c r="E1885" s="3"/>
      <c r="F1885" s="3"/>
      <c r="G1885" s="3"/>
      <c r="H1885" s="3"/>
      <c r="I1885" s="100"/>
      <c r="J1885" s="101"/>
      <c r="K1885" s="101"/>
      <c r="L1885" s="101"/>
      <c r="M1885" s="101"/>
      <c r="N1885" s="101"/>
      <c r="O1885" s="101"/>
      <c r="P1885" s="101"/>
      <c r="Q1885" s="101"/>
      <c r="R1885" s="101"/>
      <c r="S1885" s="101"/>
      <c r="T1885" s="101"/>
      <c r="U1885" s="101"/>
      <c r="V1885" s="101"/>
      <c r="W1885" s="101"/>
      <c r="X1885" s="101"/>
      <c r="Y1885" s="101"/>
      <c r="Z1885" s="101"/>
      <c r="AA1885" s="101"/>
      <c r="AB1885" s="101"/>
      <c r="AC1885" s="119"/>
      <c r="AD1885" s="119"/>
      <c r="AE1885" s="120"/>
      <c r="AF1885" s="119"/>
      <c r="AG1885" s="119"/>
      <c r="AH1885" s="120"/>
      <c r="AI1885" s="121"/>
      <c r="AJ1885" s="121"/>
      <c r="AK1885" s="121"/>
      <c r="AL1885" s="121"/>
      <c r="AM1885" s="122"/>
      <c r="AN1885" s="121"/>
      <c r="AP1885" s="87"/>
    </row>
    <row r="1886" spans="1:42">
      <c r="A1886" s="3"/>
      <c r="B1886" s="3"/>
      <c r="C1886" s="3"/>
      <c r="D1886" s="3"/>
      <c r="E1886" s="3"/>
      <c r="F1886" s="3"/>
      <c r="G1886" s="3"/>
      <c r="H1886" s="3"/>
      <c r="I1886" s="100"/>
      <c r="J1886" s="101"/>
      <c r="K1886" s="101"/>
      <c r="L1886" s="101"/>
      <c r="M1886" s="101"/>
      <c r="N1886" s="101"/>
      <c r="O1886" s="101"/>
      <c r="P1886" s="101"/>
      <c r="Q1886" s="101"/>
      <c r="R1886" s="101"/>
      <c r="S1886" s="101"/>
      <c r="T1886" s="101"/>
      <c r="U1886" s="101"/>
      <c r="V1886" s="101"/>
      <c r="W1886" s="101"/>
      <c r="X1886" s="101"/>
      <c r="Y1886" s="101"/>
      <c r="Z1886" s="101"/>
      <c r="AA1886" s="101"/>
      <c r="AB1886" s="101"/>
      <c r="AC1886" s="119"/>
      <c r="AD1886" s="119"/>
      <c r="AE1886" s="120"/>
      <c r="AF1886" s="119"/>
      <c r="AG1886" s="119"/>
      <c r="AH1886" s="120"/>
      <c r="AI1886" s="121"/>
      <c r="AJ1886" s="121"/>
      <c r="AK1886" s="121"/>
      <c r="AL1886" s="121"/>
      <c r="AM1886" s="122"/>
      <c r="AN1886" s="121"/>
      <c r="AP1886" s="87"/>
    </row>
    <row r="1887" spans="1:42">
      <c r="A1887" s="3"/>
      <c r="B1887" s="3"/>
      <c r="C1887" s="3"/>
      <c r="D1887" s="3"/>
      <c r="E1887" s="3"/>
      <c r="F1887" s="3"/>
      <c r="G1887" s="3"/>
      <c r="H1887" s="3"/>
      <c r="I1887" s="100"/>
      <c r="J1887" s="101"/>
      <c r="K1887" s="101"/>
      <c r="L1887" s="101"/>
      <c r="M1887" s="101"/>
      <c r="N1887" s="101"/>
      <c r="O1887" s="101"/>
      <c r="P1887" s="101"/>
      <c r="Q1887" s="101"/>
      <c r="R1887" s="101"/>
      <c r="S1887" s="101"/>
      <c r="T1887" s="101"/>
      <c r="U1887" s="101"/>
      <c r="V1887" s="101"/>
      <c r="W1887" s="101"/>
      <c r="X1887" s="101"/>
      <c r="Y1887" s="101"/>
      <c r="Z1887" s="101"/>
      <c r="AA1887" s="101"/>
      <c r="AB1887" s="101"/>
      <c r="AC1887" s="119"/>
      <c r="AD1887" s="119"/>
      <c r="AE1887" s="120"/>
      <c r="AF1887" s="119"/>
      <c r="AG1887" s="119"/>
      <c r="AH1887" s="120"/>
      <c r="AI1887" s="121"/>
      <c r="AJ1887" s="121"/>
      <c r="AK1887" s="121"/>
      <c r="AL1887" s="121"/>
      <c r="AM1887" s="122"/>
      <c r="AN1887" s="121"/>
      <c r="AP1887" s="87"/>
    </row>
    <row r="1888" spans="1:42">
      <c r="A1888" s="3"/>
      <c r="B1888" s="3"/>
      <c r="C1888" s="3"/>
      <c r="D1888" s="3"/>
      <c r="E1888" s="3"/>
      <c r="F1888" s="3"/>
      <c r="G1888" s="3"/>
      <c r="H1888" s="3"/>
      <c r="I1888" s="100"/>
      <c r="J1888" s="101"/>
      <c r="K1888" s="101"/>
      <c r="L1888" s="101"/>
      <c r="M1888" s="101"/>
      <c r="N1888" s="101"/>
      <c r="O1888" s="101"/>
      <c r="P1888" s="101"/>
      <c r="Q1888" s="101"/>
      <c r="R1888" s="101"/>
      <c r="S1888" s="101"/>
      <c r="T1888" s="101"/>
      <c r="U1888" s="101"/>
      <c r="V1888" s="101"/>
      <c r="W1888" s="101"/>
      <c r="X1888" s="101"/>
      <c r="Y1888" s="101"/>
      <c r="Z1888" s="101"/>
      <c r="AA1888" s="101"/>
      <c r="AB1888" s="101"/>
      <c r="AC1888" s="119"/>
      <c r="AD1888" s="119"/>
      <c r="AE1888" s="120"/>
      <c r="AF1888" s="119"/>
      <c r="AG1888" s="119"/>
      <c r="AH1888" s="120"/>
      <c r="AI1888" s="121"/>
      <c r="AJ1888" s="121"/>
      <c r="AK1888" s="121"/>
      <c r="AL1888" s="121"/>
      <c r="AM1888" s="122"/>
      <c r="AN1888" s="121"/>
      <c r="AP1888" s="87"/>
    </row>
    <row r="1889" spans="1:42">
      <c r="A1889" s="3"/>
      <c r="B1889" s="3"/>
      <c r="C1889" s="3"/>
      <c r="D1889" s="3"/>
      <c r="E1889" s="3"/>
      <c r="F1889" s="3"/>
      <c r="G1889" s="3"/>
      <c r="H1889" s="3"/>
      <c r="I1889" s="100"/>
      <c r="J1889" s="101"/>
      <c r="K1889" s="101"/>
      <c r="L1889" s="101"/>
      <c r="M1889" s="101"/>
      <c r="N1889" s="101"/>
      <c r="O1889" s="101"/>
      <c r="P1889" s="101"/>
      <c r="Q1889" s="101"/>
      <c r="R1889" s="101"/>
      <c r="S1889" s="101"/>
      <c r="T1889" s="101"/>
      <c r="U1889" s="101"/>
      <c r="V1889" s="101"/>
      <c r="W1889" s="101"/>
      <c r="X1889" s="101"/>
      <c r="Y1889" s="101"/>
      <c r="Z1889" s="101"/>
      <c r="AA1889" s="101"/>
      <c r="AB1889" s="101"/>
      <c r="AC1889" s="119"/>
      <c r="AD1889" s="119"/>
      <c r="AE1889" s="120"/>
      <c r="AF1889" s="119"/>
      <c r="AG1889" s="119"/>
      <c r="AH1889" s="120"/>
      <c r="AI1889" s="121"/>
      <c r="AJ1889" s="121"/>
      <c r="AK1889" s="121"/>
      <c r="AL1889" s="121"/>
      <c r="AM1889" s="122"/>
      <c r="AN1889" s="121"/>
      <c r="AP1889" s="87"/>
    </row>
    <row r="1890" spans="1:42">
      <c r="A1890" s="3"/>
      <c r="B1890" s="3"/>
      <c r="C1890" s="3"/>
      <c r="D1890" s="3"/>
      <c r="E1890" s="3"/>
      <c r="F1890" s="3"/>
      <c r="G1890" s="3"/>
      <c r="H1890" s="3"/>
      <c r="I1890" s="100"/>
      <c r="J1890" s="101"/>
      <c r="K1890" s="101"/>
      <c r="L1890" s="101"/>
      <c r="M1890" s="101"/>
      <c r="N1890" s="101"/>
      <c r="O1890" s="101"/>
      <c r="P1890" s="101"/>
      <c r="Q1890" s="101"/>
      <c r="R1890" s="101"/>
      <c r="S1890" s="101"/>
      <c r="T1890" s="101"/>
      <c r="U1890" s="101"/>
      <c r="V1890" s="101"/>
      <c r="W1890" s="101"/>
      <c r="X1890" s="101"/>
      <c r="Y1890" s="101"/>
      <c r="Z1890" s="101"/>
      <c r="AA1890" s="101"/>
      <c r="AB1890" s="101"/>
      <c r="AC1890" s="119"/>
      <c r="AD1890" s="119"/>
      <c r="AE1890" s="120"/>
      <c r="AF1890" s="119"/>
      <c r="AG1890" s="119"/>
      <c r="AH1890" s="120"/>
      <c r="AI1890" s="121"/>
      <c r="AJ1890" s="121"/>
      <c r="AK1890" s="121"/>
      <c r="AL1890" s="121"/>
      <c r="AM1890" s="122"/>
      <c r="AN1890" s="121"/>
      <c r="AP1890" s="87"/>
    </row>
    <row r="1891" spans="1:42">
      <c r="A1891" s="3"/>
      <c r="B1891" s="3"/>
      <c r="C1891" s="3"/>
      <c r="D1891" s="3"/>
      <c r="E1891" s="3"/>
      <c r="F1891" s="3"/>
      <c r="G1891" s="3"/>
      <c r="H1891" s="3"/>
      <c r="I1891" s="100"/>
      <c r="J1891" s="101"/>
      <c r="K1891" s="101"/>
      <c r="L1891" s="101"/>
      <c r="M1891" s="101"/>
      <c r="N1891" s="101"/>
      <c r="O1891" s="101"/>
      <c r="P1891" s="101"/>
      <c r="Q1891" s="101"/>
      <c r="R1891" s="101"/>
      <c r="S1891" s="101"/>
      <c r="T1891" s="101"/>
      <c r="U1891" s="101"/>
      <c r="V1891" s="101"/>
      <c r="W1891" s="101"/>
      <c r="X1891" s="101"/>
      <c r="Y1891" s="101"/>
      <c r="Z1891" s="101"/>
      <c r="AA1891" s="101"/>
      <c r="AB1891" s="101"/>
      <c r="AC1891" s="119"/>
      <c r="AD1891" s="119"/>
      <c r="AE1891" s="120"/>
      <c r="AF1891" s="119"/>
      <c r="AG1891" s="119"/>
      <c r="AH1891" s="120"/>
      <c r="AI1891" s="121"/>
      <c r="AJ1891" s="121"/>
      <c r="AK1891" s="121"/>
      <c r="AL1891" s="121"/>
      <c r="AM1891" s="122"/>
      <c r="AN1891" s="121"/>
      <c r="AP1891" s="87"/>
    </row>
    <row r="1892" spans="1:42">
      <c r="A1892" s="3"/>
      <c r="B1892" s="3"/>
      <c r="C1892" s="3"/>
      <c r="D1892" s="3"/>
      <c r="E1892" s="3"/>
      <c r="F1892" s="3"/>
      <c r="G1892" s="3"/>
      <c r="H1892" s="3"/>
      <c r="I1892" s="100"/>
      <c r="J1892" s="101"/>
      <c r="K1892" s="101"/>
      <c r="L1892" s="101"/>
      <c r="M1892" s="101"/>
      <c r="N1892" s="101"/>
      <c r="O1892" s="101"/>
      <c r="P1892" s="101"/>
      <c r="Q1892" s="101"/>
      <c r="R1892" s="101"/>
      <c r="S1892" s="101"/>
      <c r="T1892" s="101"/>
      <c r="U1892" s="101"/>
      <c r="V1892" s="101"/>
      <c r="W1892" s="101"/>
      <c r="X1892" s="101"/>
      <c r="Y1892" s="101"/>
      <c r="Z1892" s="101"/>
      <c r="AA1892" s="101"/>
      <c r="AB1892" s="101"/>
      <c r="AC1892" s="119"/>
      <c r="AD1892" s="119"/>
      <c r="AE1892" s="120"/>
      <c r="AF1892" s="119"/>
      <c r="AG1892" s="119"/>
      <c r="AH1892" s="120"/>
      <c r="AI1892" s="121"/>
      <c r="AJ1892" s="121"/>
      <c r="AK1892" s="121"/>
      <c r="AL1892" s="121"/>
      <c r="AM1892" s="122"/>
      <c r="AN1892" s="121"/>
      <c r="AP1892" s="87"/>
    </row>
    <row r="1893" spans="1:42">
      <c r="A1893" s="3"/>
      <c r="B1893" s="3"/>
      <c r="C1893" s="3"/>
      <c r="D1893" s="3"/>
      <c r="E1893" s="3"/>
      <c r="F1893" s="3"/>
      <c r="G1893" s="3"/>
      <c r="H1893" s="3"/>
      <c r="I1893" s="100"/>
      <c r="J1893" s="101"/>
      <c r="K1893" s="101"/>
      <c r="L1893" s="101"/>
      <c r="M1893" s="101"/>
      <c r="N1893" s="101"/>
      <c r="O1893" s="101"/>
      <c r="P1893" s="101"/>
      <c r="Q1893" s="101"/>
      <c r="R1893" s="101"/>
      <c r="S1893" s="101"/>
      <c r="T1893" s="101"/>
      <c r="U1893" s="101"/>
      <c r="V1893" s="101"/>
      <c r="W1893" s="101"/>
      <c r="X1893" s="101"/>
      <c r="Y1893" s="101"/>
      <c r="Z1893" s="101"/>
      <c r="AA1893" s="101"/>
      <c r="AB1893" s="101"/>
      <c r="AC1893" s="119"/>
      <c r="AD1893" s="119"/>
      <c r="AE1893" s="120"/>
      <c r="AF1893" s="119"/>
      <c r="AG1893" s="119"/>
      <c r="AH1893" s="120"/>
      <c r="AI1893" s="121"/>
      <c r="AJ1893" s="121"/>
      <c r="AK1893" s="121"/>
      <c r="AL1893" s="121"/>
      <c r="AM1893" s="122"/>
      <c r="AN1893" s="121"/>
      <c r="AP1893" s="87"/>
    </row>
    <row r="1894" spans="1:42">
      <c r="A1894" s="3"/>
      <c r="B1894" s="3"/>
      <c r="C1894" s="3"/>
      <c r="D1894" s="3"/>
      <c r="E1894" s="3"/>
      <c r="F1894" s="3"/>
      <c r="G1894" s="3"/>
      <c r="H1894" s="3"/>
      <c r="I1894" s="100"/>
      <c r="J1894" s="101"/>
      <c r="K1894" s="101"/>
      <c r="L1894" s="101"/>
      <c r="M1894" s="101"/>
      <c r="N1894" s="101"/>
      <c r="O1894" s="101"/>
      <c r="P1894" s="101"/>
      <c r="Q1894" s="101"/>
      <c r="R1894" s="101"/>
      <c r="S1894" s="101"/>
      <c r="T1894" s="101"/>
      <c r="U1894" s="101"/>
      <c r="V1894" s="101"/>
      <c r="W1894" s="101"/>
      <c r="X1894" s="101"/>
      <c r="Y1894" s="101"/>
      <c r="Z1894" s="101"/>
      <c r="AA1894" s="101"/>
      <c r="AB1894" s="101"/>
      <c r="AC1894" s="119"/>
      <c r="AD1894" s="119"/>
      <c r="AE1894" s="120"/>
      <c r="AF1894" s="119"/>
      <c r="AG1894" s="119"/>
      <c r="AH1894" s="120"/>
      <c r="AI1894" s="121"/>
      <c r="AJ1894" s="121"/>
      <c r="AK1894" s="121"/>
      <c r="AL1894" s="121"/>
      <c r="AM1894" s="122"/>
      <c r="AN1894" s="121"/>
      <c r="AP1894" s="87"/>
    </row>
    <row r="1895" spans="1:42">
      <c r="A1895" s="3"/>
      <c r="B1895" s="3"/>
      <c r="C1895" s="3"/>
      <c r="D1895" s="3"/>
      <c r="E1895" s="3"/>
      <c r="F1895" s="3"/>
      <c r="G1895" s="3"/>
      <c r="H1895" s="3"/>
      <c r="I1895" s="100"/>
      <c r="J1895" s="101"/>
      <c r="K1895" s="101"/>
      <c r="L1895" s="101"/>
      <c r="M1895" s="101"/>
      <c r="N1895" s="101"/>
      <c r="O1895" s="101"/>
      <c r="P1895" s="101"/>
      <c r="Q1895" s="101"/>
      <c r="R1895" s="101"/>
      <c r="S1895" s="101"/>
      <c r="T1895" s="101"/>
      <c r="U1895" s="101"/>
      <c r="V1895" s="101"/>
      <c r="W1895" s="101"/>
      <c r="X1895" s="101"/>
      <c r="Y1895" s="101"/>
      <c r="Z1895" s="101"/>
      <c r="AA1895" s="101"/>
      <c r="AB1895" s="101"/>
      <c r="AC1895" s="119"/>
      <c r="AD1895" s="119"/>
      <c r="AE1895" s="120"/>
      <c r="AF1895" s="119"/>
      <c r="AG1895" s="119"/>
      <c r="AH1895" s="120"/>
      <c r="AI1895" s="121"/>
      <c r="AJ1895" s="121"/>
      <c r="AK1895" s="121"/>
      <c r="AL1895" s="121"/>
      <c r="AM1895" s="122"/>
      <c r="AN1895" s="121"/>
      <c r="AP1895" s="87"/>
    </row>
    <row r="1896" spans="1:42">
      <c r="A1896" s="3"/>
      <c r="B1896" s="3"/>
      <c r="C1896" s="3"/>
      <c r="D1896" s="3"/>
      <c r="E1896" s="3"/>
      <c r="F1896" s="3"/>
      <c r="G1896" s="3"/>
      <c r="H1896" s="3"/>
      <c r="I1896" s="100"/>
      <c r="J1896" s="101"/>
      <c r="K1896" s="101"/>
      <c r="L1896" s="101"/>
      <c r="M1896" s="101"/>
      <c r="N1896" s="101"/>
      <c r="O1896" s="101"/>
      <c r="P1896" s="101"/>
      <c r="Q1896" s="101"/>
      <c r="R1896" s="101"/>
      <c r="S1896" s="101"/>
      <c r="T1896" s="101"/>
      <c r="U1896" s="101"/>
      <c r="V1896" s="101"/>
      <c r="W1896" s="101"/>
      <c r="X1896" s="101"/>
      <c r="Y1896" s="101"/>
      <c r="Z1896" s="101"/>
      <c r="AA1896" s="101"/>
      <c r="AB1896" s="101"/>
      <c r="AC1896" s="119"/>
      <c r="AD1896" s="119"/>
      <c r="AE1896" s="120"/>
      <c r="AF1896" s="119"/>
      <c r="AG1896" s="119"/>
      <c r="AH1896" s="120"/>
      <c r="AI1896" s="121"/>
      <c r="AJ1896" s="121"/>
      <c r="AK1896" s="121"/>
      <c r="AL1896" s="121"/>
      <c r="AM1896" s="122"/>
      <c r="AN1896" s="121"/>
      <c r="AP1896" s="87"/>
    </row>
    <row r="1897" spans="1:42">
      <c r="A1897" s="3"/>
      <c r="B1897" s="3"/>
      <c r="C1897" s="3"/>
      <c r="D1897" s="3"/>
      <c r="E1897" s="3"/>
      <c r="F1897" s="3"/>
      <c r="G1897" s="3"/>
      <c r="H1897" s="3"/>
      <c r="I1897" s="100"/>
      <c r="J1897" s="101"/>
      <c r="K1897" s="101"/>
      <c r="L1897" s="101"/>
      <c r="M1897" s="101"/>
      <c r="N1897" s="101"/>
      <c r="O1897" s="101"/>
      <c r="P1897" s="101"/>
      <c r="Q1897" s="101"/>
      <c r="R1897" s="101"/>
      <c r="S1897" s="101"/>
      <c r="T1897" s="101"/>
      <c r="U1897" s="101"/>
      <c r="V1897" s="101"/>
      <c r="W1897" s="101"/>
      <c r="X1897" s="101"/>
      <c r="Y1897" s="101"/>
      <c r="Z1897" s="101"/>
      <c r="AA1897" s="101"/>
      <c r="AB1897" s="101"/>
      <c r="AC1897" s="119"/>
      <c r="AD1897" s="119"/>
      <c r="AE1897" s="120"/>
      <c r="AF1897" s="119"/>
      <c r="AG1897" s="119"/>
      <c r="AH1897" s="120"/>
      <c r="AI1897" s="121"/>
      <c r="AJ1897" s="121"/>
      <c r="AK1897" s="121"/>
      <c r="AL1897" s="121"/>
      <c r="AM1897" s="122"/>
      <c r="AN1897" s="121"/>
      <c r="AP1897" s="87"/>
    </row>
    <row r="1898" spans="1:42">
      <c r="A1898" s="3"/>
      <c r="B1898" s="3"/>
      <c r="C1898" s="3"/>
      <c r="D1898" s="3"/>
      <c r="E1898" s="3"/>
      <c r="F1898" s="3"/>
      <c r="G1898" s="3"/>
      <c r="H1898" s="3"/>
      <c r="I1898" s="100"/>
      <c r="J1898" s="101"/>
      <c r="K1898" s="101"/>
      <c r="L1898" s="101"/>
      <c r="M1898" s="101"/>
      <c r="N1898" s="101"/>
      <c r="O1898" s="101"/>
      <c r="P1898" s="101"/>
      <c r="Q1898" s="101"/>
      <c r="R1898" s="101"/>
      <c r="S1898" s="101"/>
      <c r="T1898" s="101"/>
      <c r="U1898" s="101"/>
      <c r="V1898" s="101"/>
      <c r="W1898" s="101"/>
      <c r="X1898" s="101"/>
      <c r="Y1898" s="101"/>
      <c r="Z1898" s="101"/>
      <c r="AA1898" s="101"/>
      <c r="AB1898" s="101"/>
      <c r="AC1898" s="119"/>
      <c r="AD1898" s="119"/>
      <c r="AE1898" s="120"/>
      <c r="AF1898" s="119"/>
      <c r="AG1898" s="119"/>
      <c r="AH1898" s="120"/>
      <c r="AI1898" s="121"/>
      <c r="AJ1898" s="121"/>
      <c r="AK1898" s="121"/>
      <c r="AL1898" s="121"/>
      <c r="AM1898" s="122"/>
      <c r="AN1898" s="121"/>
      <c r="AP1898" s="87"/>
    </row>
    <row r="1899" spans="1:42">
      <c r="A1899" s="3"/>
      <c r="B1899" s="3"/>
      <c r="C1899" s="3"/>
      <c r="D1899" s="3"/>
      <c r="E1899" s="3"/>
      <c r="F1899" s="3"/>
      <c r="G1899" s="3"/>
      <c r="H1899" s="3"/>
      <c r="I1899" s="100"/>
      <c r="J1899" s="101"/>
      <c r="K1899" s="101"/>
      <c r="L1899" s="101"/>
      <c r="M1899" s="101"/>
      <c r="N1899" s="101"/>
      <c r="O1899" s="101"/>
      <c r="P1899" s="101"/>
      <c r="Q1899" s="101"/>
      <c r="R1899" s="101"/>
      <c r="S1899" s="101"/>
      <c r="T1899" s="101"/>
      <c r="U1899" s="101"/>
      <c r="V1899" s="101"/>
      <c r="W1899" s="101"/>
      <c r="X1899" s="101"/>
      <c r="Y1899" s="101"/>
      <c r="Z1899" s="101"/>
      <c r="AA1899" s="101"/>
      <c r="AB1899" s="101"/>
      <c r="AC1899" s="119"/>
      <c r="AD1899" s="119"/>
      <c r="AE1899" s="120"/>
      <c r="AF1899" s="119"/>
      <c r="AG1899" s="119"/>
      <c r="AH1899" s="120"/>
      <c r="AI1899" s="121"/>
      <c r="AJ1899" s="121"/>
      <c r="AK1899" s="121"/>
      <c r="AL1899" s="121"/>
      <c r="AM1899" s="122"/>
      <c r="AN1899" s="121"/>
      <c r="AP1899" s="87"/>
    </row>
    <row r="1900" spans="1:42">
      <c r="A1900" s="3"/>
      <c r="B1900" s="3"/>
      <c r="C1900" s="3"/>
      <c r="D1900" s="3"/>
      <c r="E1900" s="3"/>
      <c r="F1900" s="3"/>
      <c r="G1900" s="3"/>
      <c r="H1900" s="3"/>
      <c r="I1900" s="100"/>
      <c r="J1900" s="101"/>
      <c r="K1900" s="101"/>
      <c r="L1900" s="101"/>
      <c r="M1900" s="101"/>
      <c r="N1900" s="101"/>
      <c r="O1900" s="101"/>
      <c r="P1900" s="101"/>
      <c r="Q1900" s="101"/>
      <c r="R1900" s="101"/>
      <c r="S1900" s="101"/>
      <c r="T1900" s="101"/>
      <c r="U1900" s="101"/>
      <c r="V1900" s="101"/>
      <c r="W1900" s="101"/>
      <c r="X1900" s="101"/>
      <c r="Y1900" s="101"/>
      <c r="Z1900" s="101"/>
      <c r="AA1900" s="101"/>
      <c r="AB1900" s="101"/>
      <c r="AC1900" s="119"/>
      <c r="AD1900" s="119"/>
      <c r="AE1900" s="120"/>
      <c r="AF1900" s="119"/>
      <c r="AG1900" s="119"/>
      <c r="AH1900" s="120"/>
      <c r="AI1900" s="121"/>
      <c r="AJ1900" s="121"/>
      <c r="AK1900" s="121"/>
      <c r="AL1900" s="121"/>
      <c r="AM1900" s="122"/>
      <c r="AN1900" s="121"/>
      <c r="AP1900" s="87"/>
    </row>
    <row r="1901" spans="1:42">
      <c r="A1901" s="3"/>
      <c r="B1901" s="3"/>
      <c r="C1901" s="3"/>
      <c r="D1901" s="3"/>
      <c r="E1901" s="3"/>
      <c r="F1901" s="3"/>
      <c r="G1901" s="3"/>
      <c r="H1901" s="3"/>
      <c r="I1901" s="100"/>
      <c r="J1901" s="101"/>
      <c r="K1901" s="101"/>
      <c r="L1901" s="101"/>
      <c r="M1901" s="101"/>
      <c r="N1901" s="101"/>
      <c r="O1901" s="101"/>
      <c r="P1901" s="101"/>
      <c r="Q1901" s="101"/>
      <c r="R1901" s="101"/>
      <c r="S1901" s="101"/>
      <c r="T1901" s="101"/>
      <c r="U1901" s="101"/>
      <c r="V1901" s="101"/>
      <c r="W1901" s="101"/>
      <c r="X1901" s="101"/>
      <c r="Y1901" s="101"/>
      <c r="Z1901" s="101"/>
      <c r="AA1901" s="101"/>
      <c r="AB1901" s="101"/>
      <c r="AC1901" s="119"/>
      <c r="AD1901" s="119"/>
      <c r="AE1901" s="120"/>
      <c r="AF1901" s="119"/>
      <c r="AG1901" s="119"/>
      <c r="AH1901" s="120"/>
      <c r="AI1901" s="121"/>
      <c r="AJ1901" s="121"/>
      <c r="AK1901" s="121"/>
      <c r="AL1901" s="121"/>
      <c r="AM1901" s="122"/>
      <c r="AN1901" s="121"/>
      <c r="AP1901" s="87"/>
    </row>
    <row r="1902" spans="1:42">
      <c r="A1902" s="3"/>
      <c r="B1902" s="3"/>
      <c r="C1902" s="3"/>
      <c r="D1902" s="3"/>
      <c r="E1902" s="3"/>
      <c r="F1902" s="3"/>
      <c r="G1902" s="3"/>
      <c r="H1902" s="3"/>
      <c r="I1902" s="100"/>
      <c r="J1902" s="101"/>
      <c r="K1902" s="101"/>
      <c r="L1902" s="101"/>
      <c r="M1902" s="101"/>
      <c r="N1902" s="101"/>
      <c r="O1902" s="101"/>
      <c r="P1902" s="101"/>
      <c r="Q1902" s="101"/>
      <c r="R1902" s="101"/>
      <c r="S1902" s="101"/>
      <c r="T1902" s="101"/>
      <c r="U1902" s="101"/>
      <c r="V1902" s="101"/>
      <c r="W1902" s="101"/>
      <c r="X1902" s="101"/>
      <c r="Y1902" s="101"/>
      <c r="Z1902" s="101"/>
      <c r="AA1902" s="101"/>
      <c r="AB1902" s="101"/>
      <c r="AC1902" s="119"/>
      <c r="AD1902" s="119"/>
      <c r="AE1902" s="120"/>
      <c r="AF1902" s="119"/>
      <c r="AG1902" s="119"/>
      <c r="AH1902" s="120"/>
      <c r="AI1902" s="121"/>
      <c r="AJ1902" s="121"/>
      <c r="AK1902" s="121"/>
      <c r="AL1902" s="121"/>
      <c r="AM1902" s="122"/>
      <c r="AN1902" s="121"/>
      <c r="AP1902" s="87"/>
    </row>
    <row r="1903" spans="1:42">
      <c r="A1903" s="3"/>
      <c r="B1903" s="3"/>
      <c r="C1903" s="3"/>
      <c r="D1903" s="3"/>
      <c r="E1903" s="3"/>
      <c r="F1903" s="3"/>
      <c r="G1903" s="3"/>
      <c r="H1903" s="3"/>
      <c r="I1903" s="100"/>
      <c r="J1903" s="101"/>
      <c r="K1903" s="101"/>
      <c r="L1903" s="101"/>
      <c r="M1903" s="101"/>
      <c r="N1903" s="101"/>
      <c r="O1903" s="101"/>
      <c r="P1903" s="101"/>
      <c r="Q1903" s="101"/>
      <c r="R1903" s="101"/>
      <c r="S1903" s="101"/>
      <c r="T1903" s="101"/>
      <c r="U1903" s="101"/>
      <c r="V1903" s="101"/>
      <c r="W1903" s="101"/>
      <c r="X1903" s="101"/>
      <c r="Y1903" s="101"/>
      <c r="Z1903" s="101"/>
      <c r="AA1903" s="101"/>
      <c r="AB1903" s="101"/>
      <c r="AC1903" s="119"/>
      <c r="AD1903" s="119"/>
      <c r="AE1903" s="120"/>
      <c r="AF1903" s="119"/>
      <c r="AG1903" s="119"/>
      <c r="AH1903" s="120"/>
      <c r="AI1903" s="121"/>
      <c r="AJ1903" s="121"/>
      <c r="AK1903" s="121"/>
      <c r="AL1903" s="121"/>
      <c r="AM1903" s="122"/>
      <c r="AN1903" s="121"/>
      <c r="AP1903" s="87"/>
    </row>
    <row r="1904" spans="1:42">
      <c r="A1904" s="3"/>
      <c r="B1904" s="3"/>
      <c r="C1904" s="3"/>
      <c r="D1904" s="3"/>
      <c r="E1904" s="3"/>
      <c r="F1904" s="3"/>
      <c r="G1904" s="3"/>
      <c r="H1904" s="3"/>
      <c r="I1904" s="100"/>
      <c r="J1904" s="101"/>
      <c r="K1904" s="101"/>
      <c r="L1904" s="101"/>
      <c r="M1904" s="101"/>
      <c r="N1904" s="101"/>
      <c r="O1904" s="101"/>
      <c r="P1904" s="101"/>
      <c r="Q1904" s="101"/>
      <c r="R1904" s="101"/>
      <c r="S1904" s="101"/>
      <c r="T1904" s="101"/>
      <c r="U1904" s="101"/>
      <c r="V1904" s="101"/>
      <c r="W1904" s="101"/>
      <c r="X1904" s="101"/>
      <c r="Y1904" s="101"/>
      <c r="Z1904" s="101"/>
      <c r="AA1904" s="101"/>
      <c r="AB1904" s="101"/>
      <c r="AC1904" s="119"/>
      <c r="AD1904" s="119"/>
      <c r="AE1904" s="120"/>
      <c r="AF1904" s="119"/>
      <c r="AG1904" s="119"/>
      <c r="AH1904" s="120"/>
      <c r="AI1904" s="121"/>
      <c r="AJ1904" s="121"/>
      <c r="AK1904" s="121"/>
      <c r="AL1904" s="121"/>
      <c r="AM1904" s="122"/>
      <c r="AN1904" s="121"/>
      <c r="AP1904" s="87"/>
    </row>
    <row r="1905" spans="1:42">
      <c r="A1905" s="3"/>
      <c r="B1905" s="3"/>
      <c r="C1905" s="3"/>
      <c r="D1905" s="3"/>
      <c r="E1905" s="3"/>
      <c r="F1905" s="3"/>
      <c r="G1905" s="3"/>
      <c r="H1905" s="3"/>
      <c r="I1905" s="100"/>
      <c r="J1905" s="101"/>
      <c r="K1905" s="101"/>
      <c r="L1905" s="101"/>
      <c r="M1905" s="101"/>
      <c r="N1905" s="101"/>
      <c r="O1905" s="101"/>
      <c r="P1905" s="101"/>
      <c r="Q1905" s="101"/>
      <c r="R1905" s="101"/>
      <c r="S1905" s="101"/>
      <c r="T1905" s="101"/>
      <c r="U1905" s="101"/>
      <c r="V1905" s="101"/>
      <c r="W1905" s="101"/>
      <c r="X1905" s="101"/>
      <c r="Y1905" s="101"/>
      <c r="Z1905" s="101"/>
      <c r="AA1905" s="101"/>
      <c r="AB1905" s="101"/>
      <c r="AC1905" s="119"/>
      <c r="AD1905" s="119"/>
      <c r="AE1905" s="120"/>
      <c r="AF1905" s="119"/>
      <c r="AG1905" s="119"/>
      <c r="AH1905" s="120"/>
      <c r="AI1905" s="121"/>
      <c r="AJ1905" s="121"/>
      <c r="AK1905" s="121"/>
      <c r="AL1905" s="121"/>
      <c r="AM1905" s="122"/>
      <c r="AN1905" s="121"/>
      <c r="AP1905" s="87"/>
    </row>
    <row r="1906" spans="1:42">
      <c r="A1906" s="3"/>
      <c r="B1906" s="3"/>
      <c r="C1906" s="3"/>
      <c r="D1906" s="3"/>
      <c r="E1906" s="3"/>
      <c r="F1906" s="3"/>
      <c r="G1906" s="3"/>
      <c r="H1906" s="3"/>
      <c r="I1906" s="100"/>
      <c r="J1906" s="101"/>
      <c r="K1906" s="101"/>
      <c r="L1906" s="101"/>
      <c r="M1906" s="101"/>
      <c r="N1906" s="101"/>
      <c r="O1906" s="101"/>
      <c r="P1906" s="101"/>
      <c r="Q1906" s="101"/>
      <c r="R1906" s="101"/>
      <c r="S1906" s="101"/>
      <c r="T1906" s="101"/>
      <c r="U1906" s="101"/>
      <c r="V1906" s="101"/>
      <c r="W1906" s="101"/>
      <c r="X1906" s="101"/>
      <c r="Y1906" s="101"/>
      <c r="Z1906" s="101"/>
      <c r="AA1906" s="101"/>
      <c r="AB1906" s="101"/>
      <c r="AC1906" s="119"/>
      <c r="AD1906" s="119"/>
      <c r="AE1906" s="120"/>
      <c r="AF1906" s="119"/>
      <c r="AG1906" s="119"/>
      <c r="AH1906" s="120"/>
      <c r="AI1906" s="121"/>
      <c r="AJ1906" s="121"/>
      <c r="AK1906" s="121"/>
      <c r="AL1906" s="121"/>
      <c r="AM1906" s="122"/>
      <c r="AN1906" s="121"/>
      <c r="AP1906" s="87"/>
    </row>
    <row r="1907" spans="1:42">
      <c r="A1907" s="3"/>
      <c r="B1907" s="3"/>
      <c r="C1907" s="3"/>
      <c r="D1907" s="3"/>
      <c r="E1907" s="3"/>
      <c r="F1907" s="3"/>
      <c r="G1907" s="3"/>
      <c r="H1907" s="3"/>
      <c r="I1907" s="100"/>
      <c r="J1907" s="101"/>
      <c r="K1907" s="101"/>
      <c r="L1907" s="101"/>
      <c r="M1907" s="101"/>
      <c r="N1907" s="101"/>
      <c r="O1907" s="101"/>
      <c r="P1907" s="101"/>
      <c r="Q1907" s="101"/>
      <c r="R1907" s="101"/>
      <c r="S1907" s="101"/>
      <c r="T1907" s="101"/>
      <c r="U1907" s="101"/>
      <c r="V1907" s="101"/>
      <c r="W1907" s="101"/>
      <c r="X1907" s="101"/>
      <c r="Y1907" s="101"/>
      <c r="Z1907" s="101"/>
      <c r="AA1907" s="101"/>
      <c r="AB1907" s="101"/>
      <c r="AC1907" s="119"/>
      <c r="AD1907" s="119"/>
      <c r="AE1907" s="120"/>
      <c r="AF1907" s="119"/>
      <c r="AG1907" s="119"/>
      <c r="AH1907" s="120"/>
      <c r="AI1907" s="121"/>
      <c r="AJ1907" s="121"/>
      <c r="AK1907" s="121"/>
      <c r="AL1907" s="121"/>
      <c r="AM1907" s="122"/>
      <c r="AN1907" s="121"/>
      <c r="AP1907" s="87"/>
    </row>
    <row r="1908" spans="1:42">
      <c r="A1908" s="3"/>
      <c r="B1908" s="3"/>
      <c r="C1908" s="3"/>
      <c r="D1908" s="3"/>
      <c r="E1908" s="3"/>
      <c r="F1908" s="3"/>
      <c r="G1908" s="3"/>
      <c r="H1908" s="3"/>
      <c r="I1908" s="100"/>
      <c r="J1908" s="101"/>
      <c r="K1908" s="101"/>
      <c r="L1908" s="101"/>
      <c r="M1908" s="101"/>
      <c r="N1908" s="101"/>
      <c r="O1908" s="101"/>
      <c r="P1908" s="101"/>
      <c r="Q1908" s="101"/>
      <c r="R1908" s="101"/>
      <c r="S1908" s="101"/>
      <c r="T1908" s="101"/>
      <c r="U1908" s="101"/>
      <c r="V1908" s="101"/>
      <c r="W1908" s="101"/>
      <c r="X1908" s="101"/>
      <c r="Y1908" s="101"/>
      <c r="Z1908" s="101"/>
      <c r="AA1908" s="101"/>
      <c r="AB1908" s="101"/>
      <c r="AC1908" s="119"/>
      <c r="AD1908" s="119"/>
      <c r="AE1908" s="120"/>
      <c r="AF1908" s="119"/>
      <c r="AG1908" s="119"/>
      <c r="AH1908" s="120"/>
      <c r="AI1908" s="121"/>
      <c r="AJ1908" s="121"/>
      <c r="AK1908" s="121"/>
      <c r="AL1908" s="121"/>
      <c r="AM1908" s="122"/>
      <c r="AN1908" s="121"/>
      <c r="AP1908" s="87"/>
    </row>
    <row r="1909" spans="1:42">
      <c r="A1909" s="3"/>
      <c r="B1909" s="3"/>
      <c r="C1909" s="3"/>
      <c r="D1909" s="3"/>
      <c r="E1909" s="3"/>
      <c r="F1909" s="3"/>
      <c r="G1909" s="3"/>
      <c r="H1909" s="3"/>
      <c r="I1909" s="100"/>
      <c r="J1909" s="101"/>
      <c r="K1909" s="101"/>
      <c r="L1909" s="101"/>
      <c r="M1909" s="101"/>
      <c r="N1909" s="101"/>
      <c r="O1909" s="101"/>
      <c r="P1909" s="101"/>
      <c r="Q1909" s="101"/>
      <c r="R1909" s="101"/>
      <c r="S1909" s="101"/>
      <c r="T1909" s="101"/>
      <c r="U1909" s="101"/>
      <c r="V1909" s="101"/>
      <c r="W1909" s="101"/>
      <c r="X1909" s="101"/>
      <c r="Y1909" s="101"/>
      <c r="Z1909" s="101"/>
      <c r="AA1909" s="101"/>
      <c r="AB1909" s="101"/>
      <c r="AC1909" s="119"/>
      <c r="AD1909" s="119"/>
      <c r="AE1909" s="120"/>
      <c r="AF1909" s="119"/>
      <c r="AG1909" s="119"/>
      <c r="AH1909" s="120"/>
      <c r="AI1909" s="121"/>
      <c r="AJ1909" s="121"/>
      <c r="AK1909" s="121"/>
      <c r="AL1909" s="121"/>
      <c r="AM1909" s="122"/>
      <c r="AN1909" s="121"/>
      <c r="AP1909" s="87"/>
    </row>
    <row r="1910" spans="1:42">
      <c r="A1910" s="3"/>
      <c r="B1910" s="3"/>
      <c r="C1910" s="3"/>
      <c r="D1910" s="3"/>
      <c r="E1910" s="3"/>
      <c r="F1910" s="3"/>
      <c r="G1910" s="3"/>
      <c r="H1910" s="3"/>
      <c r="I1910" s="100"/>
      <c r="J1910" s="101"/>
      <c r="K1910" s="101"/>
      <c r="L1910" s="101"/>
      <c r="M1910" s="101"/>
      <c r="N1910" s="101"/>
      <c r="O1910" s="101"/>
      <c r="P1910" s="101"/>
      <c r="Q1910" s="101"/>
      <c r="R1910" s="101"/>
      <c r="S1910" s="101"/>
      <c r="T1910" s="101"/>
      <c r="U1910" s="101"/>
      <c r="V1910" s="101"/>
      <c r="W1910" s="101"/>
      <c r="X1910" s="101"/>
      <c r="Y1910" s="101"/>
      <c r="Z1910" s="101"/>
      <c r="AA1910" s="101"/>
      <c r="AB1910" s="101"/>
      <c r="AC1910" s="119"/>
      <c r="AD1910" s="119"/>
      <c r="AE1910" s="120"/>
      <c r="AF1910" s="119"/>
      <c r="AG1910" s="119"/>
      <c r="AH1910" s="120"/>
      <c r="AI1910" s="121"/>
      <c r="AJ1910" s="121"/>
      <c r="AK1910" s="121"/>
      <c r="AL1910" s="121"/>
      <c r="AM1910" s="122"/>
      <c r="AN1910" s="121"/>
      <c r="AP1910" s="87"/>
    </row>
    <row r="1911" spans="1:42">
      <c r="A1911" s="3"/>
      <c r="B1911" s="3"/>
      <c r="C1911" s="3"/>
      <c r="D1911" s="3"/>
      <c r="E1911" s="3"/>
      <c r="F1911" s="3"/>
      <c r="G1911" s="3"/>
      <c r="H1911" s="3"/>
      <c r="I1911" s="100"/>
      <c r="J1911" s="101"/>
      <c r="K1911" s="101"/>
      <c r="L1911" s="101"/>
      <c r="M1911" s="101"/>
      <c r="N1911" s="101"/>
      <c r="O1911" s="101"/>
      <c r="P1911" s="101"/>
      <c r="Q1911" s="101"/>
      <c r="R1911" s="101"/>
      <c r="S1911" s="101"/>
      <c r="T1911" s="101"/>
      <c r="U1911" s="101"/>
      <c r="V1911" s="101"/>
      <c r="W1911" s="101"/>
      <c r="X1911" s="101"/>
      <c r="Y1911" s="101"/>
      <c r="Z1911" s="101"/>
      <c r="AA1911" s="101"/>
      <c r="AB1911" s="101"/>
      <c r="AC1911" s="119"/>
      <c r="AD1911" s="119"/>
      <c r="AE1911" s="120"/>
      <c r="AF1911" s="119"/>
      <c r="AG1911" s="119"/>
      <c r="AH1911" s="120"/>
      <c r="AI1911" s="121"/>
      <c r="AJ1911" s="121"/>
      <c r="AK1911" s="121"/>
      <c r="AL1911" s="121"/>
      <c r="AM1911" s="122"/>
      <c r="AN1911" s="121"/>
      <c r="AP1911" s="87"/>
    </row>
    <row r="1912" spans="1:42">
      <c r="A1912" s="3"/>
      <c r="B1912" s="3"/>
      <c r="C1912" s="3"/>
      <c r="D1912" s="3"/>
      <c r="E1912" s="3"/>
      <c r="F1912" s="3"/>
      <c r="G1912" s="3"/>
      <c r="H1912" s="3"/>
      <c r="I1912" s="100"/>
      <c r="J1912" s="101"/>
      <c r="K1912" s="101"/>
      <c r="L1912" s="101"/>
      <c r="M1912" s="101"/>
      <c r="N1912" s="101"/>
      <c r="O1912" s="101"/>
      <c r="P1912" s="101"/>
      <c r="Q1912" s="101"/>
      <c r="R1912" s="101"/>
      <c r="S1912" s="101"/>
      <c r="T1912" s="101"/>
      <c r="U1912" s="101"/>
      <c r="V1912" s="101"/>
      <c r="W1912" s="101"/>
      <c r="X1912" s="101"/>
      <c r="Y1912" s="101"/>
      <c r="Z1912" s="101"/>
      <c r="AA1912" s="101"/>
      <c r="AB1912" s="101"/>
      <c r="AC1912" s="119"/>
      <c r="AD1912" s="119"/>
      <c r="AE1912" s="120"/>
      <c r="AF1912" s="119"/>
      <c r="AG1912" s="119"/>
      <c r="AH1912" s="120"/>
      <c r="AI1912" s="121"/>
      <c r="AJ1912" s="121"/>
      <c r="AK1912" s="121"/>
      <c r="AL1912" s="121"/>
      <c r="AM1912" s="122"/>
      <c r="AN1912" s="121"/>
      <c r="AP1912" s="87"/>
    </row>
    <row r="1913" spans="1:42">
      <c r="A1913" s="3"/>
      <c r="B1913" s="3"/>
      <c r="C1913" s="3"/>
      <c r="D1913" s="3"/>
      <c r="E1913" s="3"/>
      <c r="F1913" s="3"/>
      <c r="G1913" s="3"/>
      <c r="H1913" s="3"/>
      <c r="I1913" s="100"/>
      <c r="J1913" s="101"/>
      <c r="K1913" s="101"/>
      <c r="L1913" s="101"/>
      <c r="M1913" s="101"/>
      <c r="N1913" s="101"/>
      <c r="O1913" s="101"/>
      <c r="P1913" s="101"/>
      <c r="Q1913" s="101"/>
      <c r="R1913" s="101"/>
      <c r="S1913" s="101"/>
      <c r="T1913" s="101"/>
      <c r="U1913" s="101"/>
      <c r="V1913" s="101"/>
      <c r="W1913" s="101"/>
      <c r="X1913" s="101"/>
      <c r="Y1913" s="101"/>
      <c r="Z1913" s="101"/>
      <c r="AA1913" s="101"/>
      <c r="AB1913" s="101"/>
      <c r="AC1913" s="119"/>
      <c r="AD1913" s="119"/>
      <c r="AE1913" s="120"/>
      <c r="AF1913" s="119"/>
      <c r="AG1913" s="119"/>
      <c r="AH1913" s="120"/>
      <c r="AI1913" s="121"/>
      <c r="AJ1913" s="121"/>
      <c r="AK1913" s="121"/>
      <c r="AL1913" s="121"/>
      <c r="AM1913" s="122"/>
      <c r="AN1913" s="121"/>
      <c r="AP1913" s="87"/>
    </row>
    <row r="1914" spans="1:42">
      <c r="A1914" s="3"/>
      <c r="B1914" s="3"/>
      <c r="C1914" s="3"/>
      <c r="D1914" s="3"/>
      <c r="E1914" s="3"/>
      <c r="F1914" s="3"/>
      <c r="G1914" s="3"/>
      <c r="H1914" s="3"/>
      <c r="I1914" s="100"/>
      <c r="J1914" s="101"/>
      <c r="K1914" s="101"/>
      <c r="L1914" s="101"/>
      <c r="M1914" s="101"/>
      <c r="N1914" s="101"/>
      <c r="O1914" s="101"/>
      <c r="P1914" s="101"/>
      <c r="Q1914" s="101"/>
      <c r="R1914" s="101"/>
      <c r="S1914" s="101"/>
      <c r="T1914" s="101"/>
      <c r="U1914" s="101"/>
      <c r="V1914" s="101"/>
      <c r="W1914" s="101"/>
      <c r="X1914" s="101"/>
      <c r="Y1914" s="101"/>
      <c r="Z1914" s="101"/>
      <c r="AA1914" s="101"/>
      <c r="AB1914" s="101"/>
      <c r="AC1914" s="119"/>
      <c r="AD1914" s="119"/>
      <c r="AE1914" s="120"/>
      <c r="AF1914" s="119"/>
      <c r="AG1914" s="119"/>
      <c r="AH1914" s="120"/>
      <c r="AI1914" s="121"/>
      <c r="AJ1914" s="121"/>
      <c r="AK1914" s="121"/>
      <c r="AL1914" s="121"/>
      <c r="AM1914" s="122"/>
      <c r="AN1914" s="121"/>
      <c r="AP1914" s="87"/>
    </row>
    <row r="1915" spans="1:42">
      <c r="A1915" s="3"/>
      <c r="B1915" s="3"/>
      <c r="C1915" s="3"/>
      <c r="D1915" s="3"/>
      <c r="E1915" s="3"/>
      <c r="F1915" s="3"/>
      <c r="G1915" s="3"/>
      <c r="H1915" s="3"/>
      <c r="I1915" s="100"/>
      <c r="J1915" s="101"/>
      <c r="K1915" s="101"/>
      <c r="L1915" s="101"/>
      <c r="M1915" s="101"/>
      <c r="N1915" s="101"/>
      <c r="O1915" s="101"/>
      <c r="P1915" s="101"/>
      <c r="Q1915" s="101"/>
      <c r="R1915" s="101"/>
      <c r="S1915" s="101"/>
      <c r="T1915" s="101"/>
      <c r="U1915" s="101"/>
      <c r="V1915" s="101"/>
      <c r="W1915" s="101"/>
      <c r="X1915" s="101"/>
      <c r="Y1915" s="101"/>
      <c r="Z1915" s="101"/>
      <c r="AA1915" s="101"/>
      <c r="AB1915" s="101"/>
      <c r="AC1915" s="119"/>
      <c r="AD1915" s="119"/>
      <c r="AE1915" s="120"/>
      <c r="AF1915" s="119"/>
      <c r="AG1915" s="119"/>
      <c r="AH1915" s="120"/>
      <c r="AI1915" s="121"/>
      <c r="AJ1915" s="121"/>
      <c r="AK1915" s="121"/>
      <c r="AL1915" s="121"/>
      <c r="AM1915" s="122"/>
      <c r="AN1915" s="121"/>
      <c r="AP1915" s="87"/>
    </row>
    <row r="1916" spans="1:42">
      <c r="A1916" s="3"/>
      <c r="B1916" s="3"/>
      <c r="C1916" s="3"/>
      <c r="D1916" s="3"/>
      <c r="E1916" s="3"/>
      <c r="F1916" s="3"/>
      <c r="G1916" s="3"/>
      <c r="H1916" s="3"/>
      <c r="I1916" s="100"/>
      <c r="J1916" s="101"/>
      <c r="K1916" s="101"/>
      <c r="L1916" s="101"/>
      <c r="M1916" s="101"/>
      <c r="N1916" s="101"/>
      <c r="O1916" s="101"/>
      <c r="P1916" s="101"/>
      <c r="Q1916" s="101"/>
      <c r="R1916" s="101"/>
      <c r="S1916" s="101"/>
      <c r="T1916" s="101"/>
      <c r="U1916" s="101"/>
      <c r="V1916" s="101"/>
      <c r="W1916" s="101"/>
      <c r="X1916" s="101"/>
      <c r="Y1916" s="101"/>
      <c r="Z1916" s="101"/>
      <c r="AA1916" s="101"/>
      <c r="AB1916" s="101"/>
      <c r="AC1916" s="119"/>
      <c r="AD1916" s="119"/>
      <c r="AE1916" s="120"/>
      <c r="AF1916" s="119"/>
      <c r="AG1916" s="119"/>
      <c r="AH1916" s="120"/>
      <c r="AI1916" s="121"/>
      <c r="AJ1916" s="121"/>
      <c r="AK1916" s="121"/>
      <c r="AL1916" s="121"/>
      <c r="AM1916" s="122"/>
      <c r="AN1916" s="121"/>
      <c r="AP1916" s="87"/>
    </row>
    <row r="1917" spans="1:42">
      <c r="A1917" s="3"/>
      <c r="B1917" s="3"/>
      <c r="C1917" s="3"/>
      <c r="D1917" s="3"/>
      <c r="E1917" s="3"/>
      <c r="F1917" s="3"/>
      <c r="G1917" s="3"/>
      <c r="H1917" s="3"/>
      <c r="I1917" s="100"/>
      <c r="J1917" s="101"/>
      <c r="K1917" s="101"/>
      <c r="L1917" s="101"/>
      <c r="M1917" s="101"/>
      <c r="N1917" s="101"/>
      <c r="O1917" s="101"/>
      <c r="P1917" s="101"/>
      <c r="Q1917" s="101"/>
      <c r="R1917" s="101"/>
      <c r="S1917" s="101"/>
      <c r="T1917" s="101"/>
      <c r="U1917" s="101"/>
      <c r="V1917" s="101"/>
      <c r="W1917" s="101"/>
      <c r="X1917" s="101"/>
      <c r="Y1917" s="101"/>
      <c r="Z1917" s="101"/>
      <c r="AA1917" s="101"/>
      <c r="AB1917" s="101"/>
      <c r="AC1917" s="119"/>
      <c r="AD1917" s="119"/>
      <c r="AE1917" s="120"/>
      <c r="AF1917" s="119"/>
      <c r="AG1917" s="119"/>
      <c r="AH1917" s="120"/>
      <c r="AI1917" s="121"/>
      <c r="AJ1917" s="121"/>
      <c r="AK1917" s="121"/>
      <c r="AL1917" s="121"/>
      <c r="AM1917" s="122"/>
      <c r="AN1917" s="121"/>
      <c r="AP1917" s="87"/>
    </row>
    <row r="1918" spans="1:42">
      <c r="A1918" s="3"/>
      <c r="B1918" s="3"/>
      <c r="C1918" s="3"/>
      <c r="D1918" s="3"/>
      <c r="E1918" s="3"/>
      <c r="F1918" s="3"/>
      <c r="G1918" s="3"/>
      <c r="H1918" s="3"/>
      <c r="I1918" s="100"/>
      <c r="J1918" s="101"/>
      <c r="K1918" s="101"/>
      <c r="L1918" s="101"/>
      <c r="M1918" s="101"/>
      <c r="N1918" s="101"/>
      <c r="O1918" s="101"/>
      <c r="P1918" s="101"/>
      <c r="Q1918" s="101"/>
      <c r="R1918" s="101"/>
      <c r="S1918" s="101"/>
      <c r="T1918" s="101"/>
      <c r="U1918" s="101"/>
      <c r="V1918" s="101"/>
      <c r="W1918" s="101"/>
      <c r="X1918" s="101"/>
      <c r="Y1918" s="101"/>
      <c r="Z1918" s="101"/>
      <c r="AA1918" s="101"/>
      <c r="AB1918" s="101"/>
      <c r="AC1918" s="119"/>
      <c r="AD1918" s="119"/>
      <c r="AE1918" s="120"/>
      <c r="AF1918" s="119"/>
      <c r="AG1918" s="119"/>
      <c r="AH1918" s="120"/>
      <c r="AI1918" s="121"/>
      <c r="AJ1918" s="121"/>
      <c r="AK1918" s="121"/>
      <c r="AL1918" s="121"/>
      <c r="AM1918" s="122"/>
      <c r="AN1918" s="121"/>
      <c r="AP1918" s="87"/>
    </row>
    <row r="1919" spans="1:42">
      <c r="A1919" s="3"/>
      <c r="B1919" s="3"/>
      <c r="C1919" s="3"/>
      <c r="D1919" s="3"/>
      <c r="E1919" s="3"/>
      <c r="F1919" s="3"/>
      <c r="G1919" s="3"/>
      <c r="H1919" s="3"/>
      <c r="I1919" s="100"/>
      <c r="J1919" s="101"/>
      <c r="K1919" s="101"/>
      <c r="L1919" s="101"/>
      <c r="M1919" s="101"/>
      <c r="N1919" s="101"/>
      <c r="O1919" s="101"/>
      <c r="P1919" s="101"/>
      <c r="Q1919" s="101"/>
      <c r="R1919" s="101"/>
      <c r="S1919" s="101"/>
      <c r="T1919" s="101"/>
      <c r="U1919" s="101"/>
      <c r="V1919" s="101"/>
      <c r="W1919" s="101"/>
      <c r="X1919" s="101"/>
      <c r="Y1919" s="101"/>
      <c r="Z1919" s="101"/>
      <c r="AA1919" s="101"/>
      <c r="AB1919" s="101"/>
      <c r="AC1919" s="119"/>
      <c r="AD1919" s="119"/>
      <c r="AE1919" s="120"/>
      <c r="AF1919" s="119"/>
      <c r="AG1919" s="119"/>
      <c r="AH1919" s="120"/>
      <c r="AI1919" s="121"/>
      <c r="AJ1919" s="121"/>
      <c r="AK1919" s="121"/>
      <c r="AL1919" s="121"/>
      <c r="AM1919" s="122"/>
      <c r="AN1919" s="121"/>
      <c r="AP1919" s="87"/>
    </row>
    <row r="1920" spans="1:42">
      <c r="A1920" s="3"/>
      <c r="B1920" s="3"/>
      <c r="C1920" s="3"/>
      <c r="D1920" s="3"/>
      <c r="E1920" s="3"/>
      <c r="F1920" s="3"/>
      <c r="G1920" s="3"/>
      <c r="H1920" s="3"/>
      <c r="I1920" s="100"/>
      <c r="J1920" s="101"/>
      <c r="K1920" s="101"/>
      <c r="L1920" s="101"/>
      <c r="M1920" s="101"/>
      <c r="N1920" s="101"/>
      <c r="O1920" s="101"/>
      <c r="P1920" s="101"/>
      <c r="Q1920" s="101"/>
      <c r="R1920" s="101"/>
      <c r="S1920" s="101"/>
      <c r="T1920" s="101"/>
      <c r="U1920" s="101"/>
      <c r="V1920" s="101"/>
      <c r="W1920" s="101"/>
      <c r="X1920" s="101"/>
      <c r="Y1920" s="101"/>
      <c r="Z1920" s="101"/>
      <c r="AA1920" s="101"/>
      <c r="AB1920" s="101"/>
      <c r="AC1920" s="119"/>
      <c r="AD1920" s="119"/>
      <c r="AE1920" s="120"/>
      <c r="AF1920" s="119"/>
      <c r="AG1920" s="119"/>
      <c r="AH1920" s="120"/>
      <c r="AI1920" s="121"/>
      <c r="AJ1920" s="121"/>
      <c r="AK1920" s="121"/>
      <c r="AL1920" s="121"/>
      <c r="AM1920" s="122"/>
      <c r="AN1920" s="121"/>
      <c r="AP1920" s="87"/>
    </row>
    <row r="1921" spans="1:42">
      <c r="A1921" s="3"/>
      <c r="B1921" s="3"/>
      <c r="C1921" s="3"/>
      <c r="D1921" s="3"/>
      <c r="E1921" s="3"/>
      <c r="F1921" s="3"/>
      <c r="G1921" s="3"/>
      <c r="H1921" s="3"/>
      <c r="I1921" s="100"/>
      <c r="J1921" s="101"/>
      <c r="K1921" s="101"/>
      <c r="L1921" s="101"/>
      <c r="M1921" s="101"/>
      <c r="N1921" s="101"/>
      <c r="O1921" s="101"/>
      <c r="P1921" s="101"/>
      <c r="Q1921" s="101"/>
      <c r="R1921" s="101"/>
      <c r="S1921" s="101"/>
      <c r="T1921" s="101"/>
      <c r="U1921" s="101"/>
      <c r="V1921" s="101"/>
      <c r="W1921" s="101"/>
      <c r="X1921" s="101"/>
      <c r="Y1921" s="101"/>
      <c r="Z1921" s="101"/>
      <c r="AA1921" s="101"/>
      <c r="AB1921" s="101"/>
      <c r="AC1921" s="119"/>
      <c r="AD1921" s="119"/>
      <c r="AE1921" s="120"/>
      <c r="AF1921" s="119"/>
      <c r="AG1921" s="119"/>
      <c r="AH1921" s="120"/>
      <c r="AI1921" s="121"/>
      <c r="AJ1921" s="121"/>
      <c r="AK1921" s="121"/>
      <c r="AL1921" s="121"/>
      <c r="AM1921" s="122"/>
      <c r="AN1921" s="121"/>
      <c r="AP1921" s="87"/>
    </row>
    <row r="1922" spans="1:42">
      <c r="A1922" s="3"/>
      <c r="B1922" s="3"/>
      <c r="C1922" s="3"/>
      <c r="D1922" s="3"/>
      <c r="E1922" s="3"/>
      <c r="F1922" s="3"/>
      <c r="G1922" s="3"/>
      <c r="H1922" s="3"/>
      <c r="I1922" s="100"/>
      <c r="J1922" s="101"/>
      <c r="K1922" s="101"/>
      <c r="L1922" s="101"/>
      <c r="M1922" s="101"/>
      <c r="N1922" s="101"/>
      <c r="O1922" s="101"/>
      <c r="P1922" s="101"/>
      <c r="Q1922" s="101"/>
      <c r="R1922" s="101"/>
      <c r="S1922" s="101"/>
      <c r="T1922" s="101"/>
      <c r="U1922" s="101"/>
      <c r="V1922" s="101"/>
      <c r="W1922" s="101"/>
      <c r="X1922" s="101"/>
      <c r="Y1922" s="101"/>
      <c r="Z1922" s="101"/>
      <c r="AA1922" s="101"/>
      <c r="AB1922" s="101"/>
      <c r="AC1922" s="119"/>
      <c r="AD1922" s="119"/>
      <c r="AE1922" s="120"/>
      <c r="AF1922" s="119"/>
      <c r="AG1922" s="119"/>
      <c r="AH1922" s="120"/>
      <c r="AI1922" s="121"/>
      <c r="AJ1922" s="121"/>
      <c r="AK1922" s="121"/>
      <c r="AL1922" s="121"/>
      <c r="AM1922" s="122"/>
      <c r="AN1922" s="121"/>
      <c r="AP1922" s="87"/>
    </row>
    <row r="1923" spans="1:42">
      <c r="A1923" s="3"/>
      <c r="B1923" s="3"/>
      <c r="C1923" s="3"/>
      <c r="D1923" s="3"/>
      <c r="E1923" s="3"/>
      <c r="F1923" s="3"/>
      <c r="G1923" s="3"/>
      <c r="H1923" s="3"/>
      <c r="I1923" s="100"/>
      <c r="J1923" s="101"/>
      <c r="K1923" s="101"/>
      <c r="L1923" s="101"/>
      <c r="M1923" s="101"/>
      <c r="N1923" s="101"/>
      <c r="O1923" s="101"/>
      <c r="P1923" s="101"/>
      <c r="Q1923" s="101"/>
      <c r="R1923" s="101"/>
      <c r="S1923" s="101"/>
      <c r="T1923" s="101"/>
      <c r="U1923" s="101"/>
      <c r="V1923" s="101"/>
      <c r="W1923" s="101"/>
      <c r="X1923" s="101"/>
      <c r="Y1923" s="101"/>
      <c r="Z1923" s="101"/>
      <c r="AA1923" s="101"/>
      <c r="AB1923" s="101"/>
      <c r="AC1923" s="119"/>
      <c r="AD1923" s="119"/>
      <c r="AE1923" s="120"/>
      <c r="AF1923" s="119"/>
      <c r="AG1923" s="119"/>
      <c r="AH1923" s="120"/>
      <c r="AI1923" s="121"/>
      <c r="AJ1923" s="121"/>
      <c r="AK1923" s="121"/>
      <c r="AL1923" s="121"/>
      <c r="AM1923" s="122"/>
      <c r="AN1923" s="121"/>
      <c r="AP1923" s="87"/>
    </row>
    <row r="1924" spans="1:42">
      <c r="A1924" s="3"/>
      <c r="B1924" s="3"/>
      <c r="C1924" s="3"/>
      <c r="D1924" s="3"/>
      <c r="E1924" s="3"/>
      <c r="F1924" s="3"/>
      <c r="G1924" s="3"/>
      <c r="H1924" s="3"/>
      <c r="I1924" s="100"/>
      <c r="J1924" s="101"/>
      <c r="K1924" s="101"/>
      <c r="L1924" s="101"/>
      <c r="M1924" s="101"/>
      <c r="N1924" s="101"/>
      <c r="O1924" s="101"/>
      <c r="P1924" s="101"/>
      <c r="Q1924" s="101"/>
      <c r="R1924" s="101"/>
      <c r="S1924" s="101"/>
      <c r="T1924" s="101"/>
      <c r="U1924" s="101"/>
      <c r="V1924" s="101"/>
      <c r="W1924" s="101"/>
      <c r="X1924" s="101"/>
      <c r="Y1924" s="101"/>
      <c r="Z1924" s="101"/>
      <c r="AA1924" s="101"/>
      <c r="AB1924" s="101"/>
      <c r="AC1924" s="119"/>
      <c r="AD1924" s="119"/>
      <c r="AE1924" s="120"/>
      <c r="AF1924" s="119"/>
      <c r="AG1924" s="119"/>
      <c r="AH1924" s="120"/>
      <c r="AI1924" s="121"/>
      <c r="AJ1924" s="121"/>
      <c r="AK1924" s="121"/>
      <c r="AL1924" s="121"/>
      <c r="AM1924" s="122"/>
      <c r="AN1924" s="121"/>
      <c r="AP1924" s="87"/>
    </row>
    <row r="1925" spans="1:42">
      <c r="A1925" s="3"/>
      <c r="B1925" s="3"/>
      <c r="C1925" s="3"/>
      <c r="D1925" s="3"/>
      <c r="E1925" s="3"/>
      <c r="F1925" s="3"/>
      <c r="G1925" s="3"/>
      <c r="H1925" s="3"/>
      <c r="I1925" s="100"/>
      <c r="J1925" s="101"/>
      <c r="K1925" s="101"/>
      <c r="L1925" s="101"/>
      <c r="M1925" s="101"/>
      <c r="N1925" s="101"/>
      <c r="O1925" s="101"/>
      <c r="P1925" s="101"/>
      <c r="Q1925" s="101"/>
      <c r="R1925" s="101"/>
      <c r="S1925" s="101"/>
      <c r="T1925" s="101"/>
      <c r="U1925" s="101"/>
      <c r="V1925" s="101"/>
      <c r="W1925" s="101"/>
      <c r="X1925" s="101"/>
      <c r="Y1925" s="101"/>
      <c r="Z1925" s="101"/>
      <c r="AA1925" s="101"/>
      <c r="AB1925" s="101"/>
      <c r="AC1925" s="119"/>
      <c r="AD1925" s="119"/>
      <c r="AE1925" s="120"/>
      <c r="AF1925" s="119"/>
      <c r="AG1925" s="119"/>
      <c r="AH1925" s="120"/>
      <c r="AI1925" s="121"/>
      <c r="AJ1925" s="121"/>
      <c r="AK1925" s="121"/>
      <c r="AL1925" s="121"/>
      <c r="AM1925" s="122"/>
      <c r="AN1925" s="121"/>
      <c r="AP1925" s="87"/>
    </row>
    <row r="1926" spans="1:42">
      <c r="A1926" s="3"/>
      <c r="B1926" s="3"/>
      <c r="C1926" s="3"/>
      <c r="D1926" s="3"/>
      <c r="E1926" s="3"/>
      <c r="F1926" s="3"/>
      <c r="G1926" s="3"/>
      <c r="H1926" s="3"/>
      <c r="I1926" s="100"/>
      <c r="J1926" s="101"/>
      <c r="K1926" s="101"/>
      <c r="L1926" s="101"/>
      <c r="M1926" s="101"/>
      <c r="N1926" s="101"/>
      <c r="O1926" s="101"/>
      <c r="P1926" s="101"/>
      <c r="Q1926" s="101"/>
      <c r="R1926" s="101"/>
      <c r="S1926" s="101"/>
      <c r="T1926" s="101"/>
      <c r="U1926" s="101"/>
      <c r="V1926" s="101"/>
      <c r="W1926" s="101"/>
      <c r="X1926" s="101"/>
      <c r="Y1926" s="101"/>
      <c r="Z1926" s="101"/>
      <c r="AA1926" s="101"/>
      <c r="AB1926" s="101"/>
      <c r="AC1926" s="119"/>
      <c r="AD1926" s="119"/>
      <c r="AE1926" s="120"/>
      <c r="AF1926" s="119"/>
      <c r="AG1926" s="119"/>
      <c r="AH1926" s="120"/>
      <c r="AI1926" s="121"/>
      <c r="AJ1926" s="121"/>
      <c r="AK1926" s="121"/>
      <c r="AL1926" s="121"/>
      <c r="AM1926" s="122"/>
      <c r="AN1926" s="121"/>
      <c r="AP1926" s="87"/>
    </row>
    <row r="1927" spans="1:42">
      <c r="A1927" s="3"/>
      <c r="B1927" s="3"/>
      <c r="C1927" s="3"/>
      <c r="D1927" s="3"/>
      <c r="E1927" s="3"/>
      <c r="F1927" s="3"/>
      <c r="G1927" s="3"/>
      <c r="H1927" s="3"/>
      <c r="I1927" s="100"/>
      <c r="J1927" s="101"/>
      <c r="K1927" s="101"/>
      <c r="L1927" s="101"/>
      <c r="M1927" s="101"/>
      <c r="N1927" s="101"/>
      <c r="O1927" s="101"/>
      <c r="P1927" s="101"/>
      <c r="Q1927" s="101"/>
      <c r="R1927" s="101"/>
      <c r="S1927" s="101"/>
      <c r="T1927" s="101"/>
      <c r="U1927" s="101"/>
      <c r="V1927" s="101"/>
      <c r="W1927" s="101"/>
      <c r="X1927" s="101"/>
      <c r="Y1927" s="101"/>
      <c r="Z1927" s="101"/>
      <c r="AA1927" s="101"/>
      <c r="AB1927" s="101"/>
      <c r="AC1927" s="119"/>
      <c r="AD1927" s="119"/>
      <c r="AE1927" s="120"/>
      <c r="AF1927" s="119"/>
      <c r="AG1927" s="119"/>
      <c r="AH1927" s="120"/>
      <c r="AI1927" s="121"/>
      <c r="AJ1927" s="121"/>
      <c r="AK1927" s="121"/>
      <c r="AL1927" s="121"/>
      <c r="AM1927" s="122"/>
      <c r="AN1927" s="121"/>
      <c r="AP1927" s="87"/>
    </row>
    <row r="1928" spans="1:42">
      <c r="A1928" s="3"/>
      <c r="B1928" s="3"/>
      <c r="C1928" s="3"/>
      <c r="D1928" s="3"/>
      <c r="E1928" s="3"/>
      <c r="F1928" s="3"/>
      <c r="G1928" s="3"/>
      <c r="H1928" s="3"/>
      <c r="I1928" s="100"/>
      <c r="J1928" s="101"/>
      <c r="K1928" s="101"/>
      <c r="L1928" s="101"/>
      <c r="M1928" s="101"/>
      <c r="N1928" s="101"/>
      <c r="O1928" s="101"/>
      <c r="P1928" s="101"/>
      <c r="Q1928" s="101"/>
      <c r="R1928" s="101"/>
      <c r="S1928" s="101"/>
      <c r="T1928" s="101"/>
      <c r="U1928" s="101"/>
      <c r="V1928" s="101"/>
      <c r="W1928" s="101"/>
      <c r="X1928" s="101"/>
      <c r="Y1928" s="101"/>
      <c r="Z1928" s="101"/>
      <c r="AA1928" s="101"/>
      <c r="AB1928" s="101"/>
      <c r="AC1928" s="119"/>
      <c r="AD1928" s="119"/>
      <c r="AE1928" s="120"/>
      <c r="AF1928" s="119"/>
      <c r="AG1928" s="119"/>
      <c r="AH1928" s="120"/>
      <c r="AI1928" s="121"/>
      <c r="AJ1928" s="121"/>
      <c r="AK1928" s="121"/>
      <c r="AL1928" s="121"/>
      <c r="AM1928" s="122"/>
      <c r="AN1928" s="121"/>
      <c r="AP1928" s="87"/>
    </row>
    <row r="1929" spans="1:42">
      <c r="A1929" s="3"/>
      <c r="B1929" s="3"/>
      <c r="C1929" s="3"/>
      <c r="D1929" s="3"/>
      <c r="E1929" s="3"/>
      <c r="F1929" s="3"/>
      <c r="G1929" s="3"/>
      <c r="H1929" s="3"/>
      <c r="I1929" s="100"/>
      <c r="J1929" s="101"/>
      <c r="K1929" s="101"/>
      <c r="L1929" s="101"/>
      <c r="M1929" s="101"/>
      <c r="N1929" s="101"/>
      <c r="O1929" s="101"/>
      <c r="P1929" s="101"/>
      <c r="Q1929" s="101"/>
      <c r="R1929" s="101"/>
      <c r="S1929" s="101"/>
      <c r="T1929" s="101"/>
      <c r="U1929" s="101"/>
      <c r="V1929" s="101"/>
      <c r="W1929" s="101"/>
      <c r="X1929" s="101"/>
      <c r="Y1929" s="101"/>
      <c r="Z1929" s="101"/>
      <c r="AA1929" s="101"/>
      <c r="AB1929" s="101"/>
      <c r="AC1929" s="119"/>
      <c r="AD1929" s="119"/>
      <c r="AE1929" s="120"/>
      <c r="AF1929" s="119"/>
      <c r="AG1929" s="119"/>
      <c r="AH1929" s="120"/>
      <c r="AI1929" s="121"/>
      <c r="AJ1929" s="121"/>
      <c r="AK1929" s="121"/>
      <c r="AL1929" s="121"/>
      <c r="AM1929" s="122"/>
      <c r="AN1929" s="121"/>
      <c r="AP1929" s="87"/>
    </row>
    <row r="1930" spans="1:42">
      <c r="A1930" s="3"/>
      <c r="B1930" s="3"/>
      <c r="C1930" s="3"/>
      <c r="D1930" s="3"/>
      <c r="E1930" s="3"/>
      <c r="F1930" s="3"/>
      <c r="G1930" s="3"/>
      <c r="H1930" s="3"/>
      <c r="I1930" s="100"/>
      <c r="J1930" s="101"/>
      <c r="K1930" s="101"/>
      <c r="L1930" s="101"/>
      <c r="M1930" s="101"/>
      <c r="N1930" s="101"/>
      <c r="O1930" s="101"/>
      <c r="P1930" s="101"/>
      <c r="Q1930" s="101"/>
      <c r="R1930" s="101"/>
      <c r="S1930" s="101"/>
      <c r="T1930" s="101"/>
      <c r="U1930" s="101"/>
      <c r="V1930" s="101"/>
      <c r="W1930" s="101"/>
      <c r="X1930" s="101"/>
      <c r="Y1930" s="101"/>
      <c r="Z1930" s="101"/>
      <c r="AA1930" s="101"/>
      <c r="AB1930" s="101"/>
      <c r="AC1930" s="119"/>
      <c r="AD1930" s="119"/>
      <c r="AE1930" s="120"/>
      <c r="AF1930" s="119"/>
      <c r="AG1930" s="119"/>
      <c r="AH1930" s="120"/>
      <c r="AI1930" s="121"/>
      <c r="AJ1930" s="121"/>
      <c r="AK1930" s="121"/>
      <c r="AL1930" s="121"/>
      <c r="AM1930" s="122"/>
      <c r="AN1930" s="121"/>
      <c r="AP1930" s="87"/>
    </row>
    <row r="1931" spans="1:42">
      <c r="A1931" s="3"/>
      <c r="B1931" s="3"/>
      <c r="C1931" s="3"/>
      <c r="D1931" s="3"/>
      <c r="E1931" s="3"/>
      <c r="F1931" s="3"/>
      <c r="G1931" s="3"/>
      <c r="H1931" s="3"/>
      <c r="I1931" s="100"/>
      <c r="J1931" s="101"/>
      <c r="K1931" s="101"/>
      <c r="L1931" s="101"/>
      <c r="M1931" s="101"/>
      <c r="N1931" s="101"/>
      <c r="O1931" s="101"/>
      <c r="P1931" s="101"/>
      <c r="Q1931" s="101"/>
      <c r="R1931" s="101"/>
      <c r="S1931" s="101"/>
      <c r="T1931" s="101"/>
      <c r="U1931" s="101"/>
      <c r="V1931" s="101"/>
      <c r="W1931" s="101"/>
      <c r="X1931" s="101"/>
      <c r="Y1931" s="101"/>
      <c r="Z1931" s="101"/>
      <c r="AA1931" s="101"/>
      <c r="AB1931" s="101"/>
      <c r="AC1931" s="119"/>
      <c r="AD1931" s="119"/>
      <c r="AE1931" s="120"/>
      <c r="AF1931" s="119"/>
      <c r="AG1931" s="119"/>
      <c r="AH1931" s="120"/>
      <c r="AI1931" s="121"/>
      <c r="AJ1931" s="121"/>
      <c r="AK1931" s="121"/>
      <c r="AL1931" s="121"/>
      <c r="AM1931" s="122"/>
      <c r="AN1931" s="121"/>
      <c r="AP1931" s="87"/>
    </row>
    <row r="1932" spans="1:42">
      <c r="A1932" s="3"/>
      <c r="B1932" s="3"/>
      <c r="C1932" s="3"/>
      <c r="D1932" s="3"/>
      <c r="E1932" s="3"/>
      <c r="F1932" s="3"/>
      <c r="G1932" s="3"/>
      <c r="H1932" s="3"/>
      <c r="I1932" s="100"/>
      <c r="J1932" s="101"/>
      <c r="K1932" s="101"/>
      <c r="L1932" s="101"/>
      <c r="M1932" s="101"/>
      <c r="N1932" s="101"/>
      <c r="O1932" s="101"/>
      <c r="P1932" s="101"/>
      <c r="Q1932" s="101"/>
      <c r="R1932" s="101"/>
      <c r="S1932" s="101"/>
      <c r="T1932" s="101"/>
      <c r="U1932" s="101"/>
      <c r="V1932" s="101"/>
      <c r="W1932" s="101"/>
      <c r="X1932" s="101"/>
      <c r="Y1932" s="101"/>
      <c r="Z1932" s="101"/>
      <c r="AA1932" s="101"/>
      <c r="AB1932" s="101"/>
      <c r="AC1932" s="119"/>
      <c r="AD1932" s="119"/>
      <c r="AE1932" s="120"/>
      <c r="AF1932" s="119"/>
      <c r="AG1932" s="119"/>
      <c r="AH1932" s="120"/>
      <c r="AI1932" s="121"/>
      <c r="AJ1932" s="121"/>
      <c r="AK1932" s="121"/>
      <c r="AL1932" s="121"/>
      <c r="AM1932" s="122"/>
      <c r="AN1932" s="121"/>
      <c r="AP1932" s="87"/>
    </row>
    <row r="1933" spans="1:42">
      <c r="A1933" s="3"/>
      <c r="B1933" s="3"/>
      <c r="C1933" s="3"/>
      <c r="D1933" s="3"/>
      <c r="E1933" s="3"/>
      <c r="F1933" s="3"/>
      <c r="G1933" s="3"/>
      <c r="H1933" s="3"/>
      <c r="I1933" s="100"/>
      <c r="J1933" s="101"/>
      <c r="K1933" s="101"/>
      <c r="L1933" s="101"/>
      <c r="M1933" s="101"/>
      <c r="N1933" s="101"/>
      <c r="O1933" s="101"/>
      <c r="P1933" s="101"/>
      <c r="Q1933" s="101"/>
      <c r="R1933" s="101"/>
      <c r="S1933" s="101"/>
      <c r="T1933" s="101"/>
      <c r="U1933" s="101"/>
      <c r="V1933" s="101"/>
      <c r="W1933" s="101"/>
      <c r="X1933" s="101"/>
      <c r="Y1933" s="101"/>
      <c r="Z1933" s="101"/>
      <c r="AA1933" s="101"/>
      <c r="AB1933" s="101"/>
      <c r="AC1933" s="119"/>
      <c r="AD1933" s="119"/>
      <c r="AE1933" s="120"/>
      <c r="AF1933" s="119"/>
      <c r="AG1933" s="119"/>
      <c r="AH1933" s="120"/>
      <c r="AI1933" s="121"/>
      <c r="AJ1933" s="121"/>
      <c r="AK1933" s="121"/>
      <c r="AL1933" s="121"/>
      <c r="AM1933" s="122"/>
      <c r="AN1933" s="121"/>
      <c r="AP1933" s="87"/>
    </row>
    <row r="1934" spans="1:42">
      <c r="A1934" s="3"/>
      <c r="B1934" s="3"/>
      <c r="C1934" s="3"/>
      <c r="D1934" s="3"/>
      <c r="E1934" s="3"/>
      <c r="F1934" s="3"/>
      <c r="G1934" s="3"/>
      <c r="H1934" s="3"/>
      <c r="I1934" s="100"/>
      <c r="J1934" s="101"/>
      <c r="K1934" s="101"/>
      <c r="L1934" s="101"/>
      <c r="M1934" s="101"/>
      <c r="N1934" s="101"/>
      <c r="O1934" s="101"/>
      <c r="P1934" s="101"/>
      <c r="Q1934" s="101"/>
      <c r="R1934" s="101"/>
      <c r="S1934" s="101"/>
      <c r="T1934" s="101"/>
      <c r="U1934" s="101"/>
      <c r="V1934" s="101"/>
      <c r="W1934" s="101"/>
      <c r="X1934" s="101"/>
      <c r="Y1934" s="101"/>
      <c r="Z1934" s="101"/>
      <c r="AA1934" s="101"/>
      <c r="AB1934" s="101"/>
      <c r="AC1934" s="119"/>
      <c r="AD1934" s="119"/>
      <c r="AE1934" s="120"/>
      <c r="AF1934" s="119"/>
      <c r="AG1934" s="119"/>
      <c r="AH1934" s="120"/>
      <c r="AI1934" s="121"/>
      <c r="AJ1934" s="121"/>
      <c r="AK1934" s="121"/>
      <c r="AL1934" s="121"/>
      <c r="AM1934" s="122"/>
      <c r="AN1934" s="121"/>
      <c r="AP1934" s="87"/>
    </row>
    <row r="1935" spans="1:42">
      <c r="A1935" s="3"/>
      <c r="B1935" s="3"/>
      <c r="C1935" s="3"/>
      <c r="D1935" s="3"/>
      <c r="E1935" s="3"/>
      <c r="F1935" s="3"/>
      <c r="G1935" s="3"/>
      <c r="H1935" s="3"/>
      <c r="I1935" s="100"/>
      <c r="J1935" s="101"/>
      <c r="K1935" s="101"/>
      <c r="L1935" s="101"/>
      <c r="M1935" s="101"/>
      <c r="N1935" s="101"/>
      <c r="O1935" s="101"/>
      <c r="P1935" s="101"/>
      <c r="Q1935" s="101"/>
      <c r="R1935" s="101"/>
      <c r="S1935" s="101"/>
      <c r="T1935" s="101"/>
      <c r="U1935" s="101"/>
      <c r="V1935" s="101"/>
      <c r="W1935" s="101"/>
      <c r="X1935" s="101"/>
      <c r="Y1935" s="101"/>
      <c r="Z1935" s="101"/>
      <c r="AA1935" s="101"/>
      <c r="AB1935" s="101"/>
      <c r="AC1935" s="119"/>
      <c r="AD1935" s="119"/>
      <c r="AE1935" s="120"/>
      <c r="AF1935" s="119"/>
      <c r="AG1935" s="119"/>
      <c r="AH1935" s="120"/>
      <c r="AI1935" s="121"/>
      <c r="AJ1935" s="121"/>
      <c r="AK1935" s="121"/>
      <c r="AL1935" s="121"/>
      <c r="AM1935" s="122"/>
      <c r="AN1935" s="121"/>
      <c r="AP1935" s="87"/>
    </row>
    <row r="1936" spans="1:42">
      <c r="A1936" s="3"/>
      <c r="B1936" s="3"/>
      <c r="C1936" s="3"/>
      <c r="D1936" s="3"/>
      <c r="E1936" s="3"/>
      <c r="F1936" s="3"/>
      <c r="G1936" s="3"/>
      <c r="H1936" s="3"/>
      <c r="I1936" s="100"/>
      <c r="J1936" s="101"/>
      <c r="K1936" s="101"/>
      <c r="L1936" s="101"/>
      <c r="M1936" s="101"/>
      <c r="N1936" s="101"/>
      <c r="O1936" s="101"/>
      <c r="P1936" s="101"/>
      <c r="Q1936" s="101"/>
      <c r="R1936" s="101"/>
      <c r="S1936" s="101"/>
      <c r="T1936" s="101"/>
      <c r="U1936" s="101"/>
      <c r="V1936" s="101"/>
      <c r="W1936" s="101"/>
      <c r="X1936" s="101"/>
      <c r="Y1936" s="101"/>
      <c r="Z1936" s="101"/>
      <c r="AA1936" s="101"/>
      <c r="AB1936" s="101"/>
      <c r="AC1936" s="119"/>
      <c r="AD1936" s="119"/>
      <c r="AE1936" s="120"/>
      <c r="AF1936" s="119"/>
      <c r="AG1936" s="119"/>
      <c r="AH1936" s="120"/>
      <c r="AI1936" s="121"/>
      <c r="AJ1936" s="121"/>
      <c r="AK1936" s="121"/>
      <c r="AL1936" s="121"/>
      <c r="AM1936" s="122"/>
      <c r="AN1936" s="121"/>
      <c r="AP1936" s="87"/>
    </row>
    <row r="1937" spans="1:42">
      <c r="A1937" s="3"/>
      <c r="B1937" s="3"/>
      <c r="C1937" s="3"/>
      <c r="D1937" s="3"/>
      <c r="E1937" s="3"/>
      <c r="F1937" s="3"/>
      <c r="G1937" s="3"/>
      <c r="H1937" s="3"/>
      <c r="I1937" s="100"/>
      <c r="J1937" s="101"/>
      <c r="K1937" s="101"/>
      <c r="L1937" s="101"/>
      <c r="M1937" s="101"/>
      <c r="N1937" s="101"/>
      <c r="O1937" s="101"/>
      <c r="P1937" s="101"/>
      <c r="Q1937" s="101"/>
      <c r="R1937" s="101"/>
      <c r="S1937" s="101"/>
      <c r="T1937" s="101"/>
      <c r="U1937" s="101"/>
      <c r="V1937" s="101"/>
      <c r="W1937" s="101"/>
      <c r="X1937" s="101"/>
      <c r="Y1937" s="101"/>
      <c r="Z1937" s="101"/>
      <c r="AA1937" s="101"/>
      <c r="AB1937" s="101"/>
      <c r="AC1937" s="119"/>
      <c r="AD1937" s="119"/>
      <c r="AE1937" s="120"/>
      <c r="AF1937" s="119"/>
      <c r="AG1937" s="119"/>
      <c r="AH1937" s="120"/>
      <c r="AI1937" s="121"/>
      <c r="AJ1937" s="121"/>
      <c r="AK1937" s="121"/>
      <c r="AL1937" s="121"/>
      <c r="AM1937" s="122"/>
      <c r="AN1937" s="121"/>
      <c r="AP1937" s="87"/>
    </row>
    <row r="1938" spans="1:42">
      <c r="A1938" s="3"/>
      <c r="B1938" s="3"/>
      <c r="C1938" s="3"/>
      <c r="D1938" s="3"/>
      <c r="E1938" s="3"/>
      <c r="F1938" s="3"/>
      <c r="G1938" s="3"/>
      <c r="H1938" s="3"/>
      <c r="I1938" s="100"/>
      <c r="J1938" s="101"/>
      <c r="K1938" s="101"/>
      <c r="L1938" s="101"/>
      <c r="M1938" s="101"/>
      <c r="N1938" s="101"/>
      <c r="O1938" s="101"/>
      <c r="P1938" s="101"/>
      <c r="Q1938" s="101"/>
      <c r="R1938" s="101"/>
      <c r="S1938" s="101"/>
      <c r="T1938" s="101"/>
      <c r="U1938" s="101"/>
      <c r="V1938" s="101"/>
      <c r="W1938" s="101"/>
      <c r="X1938" s="101"/>
      <c r="Y1938" s="101"/>
      <c r="Z1938" s="101"/>
      <c r="AA1938" s="101"/>
      <c r="AB1938" s="101"/>
      <c r="AC1938" s="119"/>
      <c r="AD1938" s="119"/>
      <c r="AE1938" s="120"/>
      <c r="AF1938" s="119"/>
      <c r="AG1938" s="119"/>
      <c r="AH1938" s="120"/>
      <c r="AI1938" s="121"/>
      <c r="AJ1938" s="121"/>
      <c r="AK1938" s="121"/>
      <c r="AL1938" s="121"/>
      <c r="AM1938" s="122"/>
      <c r="AN1938" s="121"/>
      <c r="AP1938" s="87"/>
    </row>
    <row r="1939" spans="1:42">
      <c r="A1939" s="3"/>
      <c r="B1939" s="3"/>
      <c r="C1939" s="3"/>
      <c r="D1939" s="3"/>
      <c r="E1939" s="3"/>
      <c r="F1939" s="3"/>
      <c r="G1939" s="3"/>
      <c r="H1939" s="3"/>
      <c r="I1939" s="100"/>
      <c r="J1939" s="101"/>
      <c r="K1939" s="101"/>
      <c r="L1939" s="101"/>
      <c r="M1939" s="101"/>
      <c r="N1939" s="101"/>
      <c r="O1939" s="101"/>
      <c r="P1939" s="101"/>
      <c r="Q1939" s="101"/>
      <c r="R1939" s="101"/>
      <c r="S1939" s="101"/>
      <c r="T1939" s="101"/>
      <c r="U1939" s="101"/>
      <c r="V1939" s="101"/>
      <c r="W1939" s="101"/>
      <c r="X1939" s="101"/>
      <c r="Y1939" s="101"/>
      <c r="Z1939" s="101"/>
      <c r="AA1939" s="101"/>
      <c r="AB1939" s="101"/>
      <c r="AC1939" s="119"/>
      <c r="AD1939" s="119"/>
      <c r="AE1939" s="120"/>
      <c r="AF1939" s="119"/>
      <c r="AG1939" s="119"/>
      <c r="AH1939" s="120"/>
      <c r="AI1939" s="121"/>
      <c r="AJ1939" s="121"/>
      <c r="AK1939" s="121"/>
      <c r="AL1939" s="121"/>
      <c r="AM1939" s="122"/>
      <c r="AN1939" s="121"/>
      <c r="AP1939" s="87"/>
    </row>
    <row r="1940" spans="1:42">
      <c r="A1940" s="3"/>
      <c r="B1940" s="3"/>
      <c r="C1940" s="3"/>
      <c r="D1940" s="3"/>
      <c r="E1940" s="3"/>
      <c r="F1940" s="3"/>
      <c r="G1940" s="3"/>
      <c r="H1940" s="3"/>
      <c r="I1940" s="100"/>
      <c r="J1940" s="101"/>
      <c r="K1940" s="101"/>
      <c r="L1940" s="101"/>
      <c r="M1940" s="101"/>
      <c r="N1940" s="101"/>
      <c r="O1940" s="101"/>
      <c r="P1940" s="101"/>
      <c r="Q1940" s="101"/>
      <c r="R1940" s="101"/>
      <c r="S1940" s="101"/>
      <c r="T1940" s="101"/>
      <c r="U1940" s="101"/>
      <c r="V1940" s="101"/>
      <c r="W1940" s="101"/>
      <c r="X1940" s="101"/>
      <c r="Y1940" s="101"/>
      <c r="Z1940" s="101"/>
      <c r="AA1940" s="101"/>
      <c r="AB1940" s="101"/>
      <c r="AC1940" s="119"/>
      <c r="AD1940" s="119"/>
      <c r="AE1940" s="120"/>
      <c r="AF1940" s="119"/>
      <c r="AG1940" s="119"/>
      <c r="AH1940" s="120"/>
      <c r="AI1940" s="121"/>
      <c r="AJ1940" s="121"/>
      <c r="AK1940" s="121"/>
      <c r="AL1940" s="121"/>
      <c r="AM1940" s="122"/>
      <c r="AN1940" s="121"/>
      <c r="AP1940" s="87"/>
    </row>
    <row r="1941" spans="1:42">
      <c r="A1941" s="3"/>
      <c r="B1941" s="3"/>
      <c r="C1941" s="3"/>
      <c r="D1941" s="3"/>
      <c r="E1941" s="3"/>
      <c r="F1941" s="3"/>
      <c r="G1941" s="3"/>
      <c r="H1941" s="3"/>
      <c r="I1941" s="100"/>
      <c r="J1941" s="101"/>
      <c r="K1941" s="101"/>
      <c r="L1941" s="101"/>
      <c r="M1941" s="101"/>
      <c r="N1941" s="101"/>
      <c r="O1941" s="101"/>
      <c r="P1941" s="101"/>
      <c r="Q1941" s="101"/>
      <c r="R1941" s="101"/>
      <c r="S1941" s="101"/>
      <c r="T1941" s="101"/>
      <c r="U1941" s="101"/>
      <c r="V1941" s="101"/>
      <c r="W1941" s="101"/>
      <c r="X1941" s="101"/>
      <c r="Y1941" s="101"/>
      <c r="Z1941" s="101"/>
      <c r="AA1941" s="101"/>
      <c r="AB1941" s="101"/>
      <c r="AC1941" s="119"/>
      <c r="AD1941" s="119"/>
      <c r="AE1941" s="120"/>
      <c r="AF1941" s="119"/>
      <c r="AG1941" s="119"/>
      <c r="AH1941" s="120"/>
      <c r="AI1941" s="121"/>
      <c r="AJ1941" s="121"/>
      <c r="AK1941" s="121"/>
      <c r="AL1941" s="121"/>
      <c r="AM1941" s="122"/>
      <c r="AN1941" s="121"/>
      <c r="AP1941" s="87"/>
    </row>
    <row r="1942" spans="1:42">
      <c r="A1942" s="3"/>
      <c r="B1942" s="3"/>
      <c r="C1942" s="3"/>
      <c r="D1942" s="3"/>
      <c r="E1942" s="3"/>
      <c r="F1942" s="3"/>
      <c r="G1942" s="3"/>
      <c r="H1942" s="3"/>
      <c r="I1942" s="100"/>
      <c r="J1942" s="101"/>
      <c r="K1942" s="101"/>
      <c r="L1942" s="101"/>
      <c r="M1942" s="101"/>
      <c r="N1942" s="101"/>
      <c r="O1942" s="101"/>
      <c r="P1942" s="101"/>
      <c r="Q1942" s="101"/>
      <c r="R1942" s="101"/>
      <c r="S1942" s="101"/>
      <c r="T1942" s="101"/>
      <c r="U1942" s="101"/>
      <c r="V1942" s="101"/>
      <c r="W1942" s="101"/>
      <c r="X1942" s="101"/>
      <c r="Y1942" s="101"/>
      <c r="Z1942" s="101"/>
      <c r="AA1942" s="101"/>
      <c r="AB1942" s="101"/>
      <c r="AC1942" s="119"/>
      <c r="AD1942" s="119"/>
      <c r="AE1942" s="120"/>
      <c r="AF1942" s="119"/>
      <c r="AG1942" s="119"/>
      <c r="AH1942" s="120"/>
      <c r="AI1942" s="121"/>
      <c r="AJ1942" s="121"/>
      <c r="AK1942" s="121"/>
      <c r="AL1942" s="121"/>
      <c r="AM1942" s="122"/>
      <c r="AN1942" s="121"/>
      <c r="AP1942" s="87"/>
    </row>
    <row r="1943" spans="1:42">
      <c r="A1943" s="3"/>
      <c r="B1943" s="3"/>
      <c r="C1943" s="3"/>
      <c r="D1943" s="3"/>
      <c r="E1943" s="3"/>
      <c r="F1943" s="3"/>
      <c r="G1943" s="3"/>
      <c r="H1943" s="3"/>
      <c r="I1943" s="100"/>
      <c r="J1943" s="101"/>
      <c r="K1943" s="101"/>
      <c r="L1943" s="101"/>
      <c r="M1943" s="101"/>
      <c r="N1943" s="101"/>
      <c r="O1943" s="101"/>
      <c r="P1943" s="101"/>
      <c r="Q1943" s="101"/>
      <c r="R1943" s="101"/>
      <c r="S1943" s="101"/>
      <c r="T1943" s="101"/>
      <c r="U1943" s="101"/>
      <c r="V1943" s="101"/>
      <c r="W1943" s="101"/>
      <c r="X1943" s="101"/>
      <c r="Y1943" s="101"/>
      <c r="Z1943" s="101"/>
      <c r="AA1943" s="101"/>
      <c r="AB1943" s="101"/>
      <c r="AC1943" s="119"/>
      <c r="AD1943" s="119"/>
      <c r="AE1943" s="120"/>
      <c r="AF1943" s="119"/>
      <c r="AG1943" s="119"/>
      <c r="AH1943" s="120"/>
      <c r="AI1943" s="121"/>
      <c r="AJ1943" s="121"/>
      <c r="AK1943" s="121"/>
      <c r="AL1943" s="121"/>
      <c r="AM1943" s="122"/>
      <c r="AN1943" s="121"/>
      <c r="AP1943" s="87"/>
    </row>
    <row r="1944" spans="1:42">
      <c r="A1944" s="3"/>
      <c r="B1944" s="3"/>
      <c r="C1944" s="3"/>
      <c r="D1944" s="3"/>
      <c r="E1944" s="3"/>
      <c r="F1944" s="3"/>
      <c r="G1944" s="3"/>
      <c r="H1944" s="3"/>
      <c r="I1944" s="100"/>
      <c r="J1944" s="101"/>
      <c r="K1944" s="101"/>
      <c r="L1944" s="101"/>
      <c r="M1944" s="101"/>
      <c r="N1944" s="101"/>
      <c r="O1944" s="101"/>
      <c r="P1944" s="101"/>
      <c r="Q1944" s="101"/>
      <c r="R1944" s="101"/>
      <c r="S1944" s="101"/>
      <c r="T1944" s="101"/>
      <c r="U1944" s="101"/>
      <c r="V1944" s="101"/>
      <c r="W1944" s="101"/>
      <c r="X1944" s="101"/>
      <c r="Y1944" s="101"/>
      <c r="Z1944" s="101"/>
      <c r="AA1944" s="101"/>
      <c r="AB1944" s="101"/>
      <c r="AC1944" s="119"/>
      <c r="AD1944" s="119"/>
      <c r="AE1944" s="120"/>
      <c r="AF1944" s="119"/>
      <c r="AG1944" s="119"/>
      <c r="AH1944" s="120"/>
      <c r="AI1944" s="121"/>
      <c r="AJ1944" s="121"/>
      <c r="AK1944" s="121"/>
      <c r="AL1944" s="121"/>
      <c r="AM1944" s="122"/>
      <c r="AN1944" s="121"/>
      <c r="AP1944" s="87"/>
    </row>
    <row r="1945" spans="1:42">
      <c r="A1945" s="3"/>
      <c r="B1945" s="3"/>
      <c r="C1945" s="3"/>
      <c r="D1945" s="3"/>
      <c r="E1945" s="3"/>
      <c r="F1945" s="3"/>
      <c r="G1945" s="3"/>
      <c r="H1945" s="3"/>
      <c r="I1945" s="100"/>
      <c r="J1945" s="101"/>
      <c r="K1945" s="101"/>
      <c r="L1945" s="101"/>
      <c r="M1945" s="101"/>
      <c r="N1945" s="101"/>
      <c r="O1945" s="101"/>
      <c r="P1945" s="101"/>
      <c r="Q1945" s="101"/>
      <c r="R1945" s="101"/>
      <c r="S1945" s="101"/>
      <c r="T1945" s="101"/>
      <c r="U1945" s="101"/>
      <c r="V1945" s="101"/>
      <c r="W1945" s="101"/>
      <c r="X1945" s="101"/>
      <c r="Y1945" s="101"/>
      <c r="Z1945" s="101"/>
      <c r="AA1945" s="101"/>
      <c r="AB1945" s="101"/>
      <c r="AC1945" s="119"/>
      <c r="AD1945" s="119"/>
      <c r="AE1945" s="120"/>
      <c r="AF1945" s="119"/>
      <c r="AG1945" s="119"/>
      <c r="AH1945" s="120"/>
      <c r="AI1945" s="121"/>
      <c r="AJ1945" s="121"/>
      <c r="AK1945" s="121"/>
      <c r="AL1945" s="121"/>
      <c r="AM1945" s="122"/>
      <c r="AN1945" s="121"/>
      <c r="AP1945" s="87"/>
    </row>
    <row r="1946" spans="1:42">
      <c r="A1946" s="3"/>
      <c r="B1946" s="3"/>
      <c r="C1946" s="3"/>
      <c r="D1946" s="3"/>
      <c r="E1946" s="3"/>
      <c r="F1946" s="3"/>
      <c r="G1946" s="3"/>
      <c r="H1946" s="3"/>
      <c r="I1946" s="100"/>
      <c r="J1946" s="101"/>
      <c r="K1946" s="101"/>
      <c r="L1946" s="101"/>
      <c r="M1946" s="101"/>
      <c r="N1946" s="101"/>
      <c r="O1946" s="101"/>
      <c r="P1946" s="101"/>
      <c r="Q1946" s="101"/>
      <c r="R1946" s="101"/>
      <c r="S1946" s="101"/>
      <c r="T1946" s="101"/>
      <c r="U1946" s="101"/>
      <c r="V1946" s="101"/>
      <c r="W1946" s="101"/>
      <c r="X1946" s="101"/>
      <c r="Y1946" s="101"/>
      <c r="Z1946" s="101"/>
      <c r="AA1946" s="101"/>
      <c r="AB1946" s="101"/>
      <c r="AC1946" s="119"/>
      <c r="AD1946" s="119"/>
      <c r="AE1946" s="120"/>
      <c r="AF1946" s="119"/>
      <c r="AG1946" s="119"/>
      <c r="AH1946" s="120"/>
      <c r="AI1946" s="121"/>
      <c r="AJ1946" s="121"/>
      <c r="AK1946" s="121"/>
      <c r="AL1946" s="121"/>
      <c r="AM1946" s="122"/>
      <c r="AN1946" s="121"/>
      <c r="AP1946" s="87"/>
    </row>
    <row r="1947" spans="1:42">
      <c r="A1947" s="3"/>
      <c r="B1947" s="3"/>
      <c r="C1947" s="3"/>
      <c r="D1947" s="3"/>
      <c r="E1947" s="3"/>
      <c r="F1947" s="3"/>
      <c r="G1947" s="3"/>
      <c r="H1947" s="3"/>
      <c r="I1947" s="100"/>
      <c r="J1947" s="101"/>
      <c r="K1947" s="101"/>
      <c r="L1947" s="101"/>
      <c r="M1947" s="101"/>
      <c r="N1947" s="101"/>
      <c r="O1947" s="101"/>
      <c r="P1947" s="101"/>
      <c r="Q1947" s="101"/>
      <c r="R1947" s="101"/>
      <c r="S1947" s="101"/>
      <c r="T1947" s="101"/>
      <c r="U1947" s="101"/>
      <c r="V1947" s="101"/>
      <c r="W1947" s="101"/>
      <c r="X1947" s="101"/>
      <c r="Y1947" s="101"/>
      <c r="Z1947" s="101"/>
      <c r="AA1947" s="101"/>
      <c r="AB1947" s="101"/>
      <c r="AC1947" s="119"/>
      <c r="AD1947" s="119"/>
      <c r="AE1947" s="120"/>
      <c r="AF1947" s="119"/>
      <c r="AG1947" s="119"/>
      <c r="AH1947" s="120"/>
      <c r="AI1947" s="121"/>
      <c r="AJ1947" s="121"/>
      <c r="AK1947" s="121"/>
      <c r="AL1947" s="121"/>
      <c r="AM1947" s="122"/>
      <c r="AN1947" s="121"/>
      <c r="AP1947" s="87"/>
    </row>
    <row r="1948" spans="1:42">
      <c r="A1948" s="3"/>
      <c r="B1948" s="3"/>
      <c r="C1948" s="3"/>
      <c r="D1948" s="3"/>
      <c r="E1948" s="3"/>
      <c r="F1948" s="3"/>
      <c r="G1948" s="3"/>
      <c r="H1948" s="3"/>
      <c r="I1948" s="100"/>
      <c r="J1948" s="101"/>
      <c r="K1948" s="101"/>
      <c r="L1948" s="101"/>
      <c r="M1948" s="101"/>
      <c r="N1948" s="101"/>
      <c r="O1948" s="101"/>
      <c r="P1948" s="101"/>
      <c r="Q1948" s="101"/>
      <c r="R1948" s="101"/>
      <c r="S1948" s="101"/>
      <c r="T1948" s="101"/>
      <c r="U1948" s="101"/>
      <c r="V1948" s="101"/>
      <c r="W1948" s="101"/>
      <c r="X1948" s="101"/>
      <c r="Y1948" s="101"/>
      <c r="Z1948" s="101"/>
      <c r="AA1948" s="101"/>
      <c r="AB1948" s="101"/>
      <c r="AC1948" s="119"/>
      <c r="AD1948" s="119"/>
      <c r="AE1948" s="120"/>
      <c r="AF1948" s="119"/>
      <c r="AG1948" s="119"/>
      <c r="AH1948" s="120"/>
      <c r="AI1948" s="121"/>
      <c r="AJ1948" s="121"/>
      <c r="AK1948" s="121"/>
      <c r="AL1948" s="121"/>
      <c r="AM1948" s="122"/>
      <c r="AN1948" s="121"/>
      <c r="AP1948" s="87"/>
    </row>
    <row r="1949" spans="1:42">
      <c r="A1949" s="3"/>
      <c r="B1949" s="3"/>
      <c r="C1949" s="3"/>
      <c r="D1949" s="3"/>
      <c r="E1949" s="3"/>
      <c r="F1949" s="3"/>
      <c r="G1949" s="3"/>
      <c r="H1949" s="3"/>
      <c r="I1949" s="100"/>
      <c r="J1949" s="101"/>
      <c r="K1949" s="101"/>
      <c r="L1949" s="101"/>
      <c r="M1949" s="101"/>
      <c r="N1949" s="101"/>
      <c r="O1949" s="101"/>
      <c r="P1949" s="101"/>
      <c r="Q1949" s="101"/>
      <c r="R1949" s="101"/>
      <c r="S1949" s="101"/>
      <c r="T1949" s="101"/>
      <c r="U1949" s="101"/>
      <c r="V1949" s="101"/>
      <c r="W1949" s="101"/>
      <c r="X1949" s="101"/>
      <c r="Y1949" s="101"/>
      <c r="Z1949" s="101"/>
      <c r="AA1949" s="101"/>
      <c r="AB1949" s="101"/>
      <c r="AC1949" s="119"/>
      <c r="AD1949" s="119"/>
      <c r="AE1949" s="120"/>
      <c r="AF1949" s="119"/>
      <c r="AG1949" s="119"/>
      <c r="AH1949" s="120"/>
      <c r="AI1949" s="121"/>
      <c r="AJ1949" s="121"/>
      <c r="AK1949" s="121"/>
      <c r="AL1949" s="121"/>
      <c r="AM1949" s="122"/>
      <c r="AN1949" s="121"/>
      <c r="AP1949" s="87"/>
    </row>
    <row r="1950" spans="1:42">
      <c r="A1950" s="3"/>
      <c r="B1950" s="3"/>
      <c r="C1950" s="3"/>
      <c r="D1950" s="3"/>
      <c r="E1950" s="3"/>
      <c r="F1950" s="3"/>
      <c r="G1950" s="3"/>
      <c r="H1950" s="3"/>
      <c r="I1950" s="100"/>
      <c r="J1950" s="101"/>
      <c r="K1950" s="101"/>
      <c r="L1950" s="101"/>
      <c r="M1950" s="101"/>
      <c r="N1950" s="101"/>
      <c r="O1950" s="101"/>
      <c r="P1950" s="101"/>
      <c r="Q1950" s="101"/>
      <c r="R1950" s="101"/>
      <c r="S1950" s="101"/>
      <c r="T1950" s="101"/>
      <c r="U1950" s="101"/>
      <c r="V1950" s="101"/>
      <c r="W1950" s="101"/>
      <c r="X1950" s="101"/>
      <c r="Y1950" s="101"/>
      <c r="Z1950" s="101"/>
      <c r="AA1950" s="101"/>
      <c r="AB1950" s="101"/>
      <c r="AC1950" s="119"/>
      <c r="AD1950" s="119"/>
      <c r="AE1950" s="120"/>
      <c r="AF1950" s="119"/>
      <c r="AG1950" s="119"/>
      <c r="AH1950" s="120"/>
      <c r="AI1950" s="121"/>
      <c r="AJ1950" s="121"/>
      <c r="AK1950" s="121"/>
      <c r="AL1950" s="121"/>
      <c r="AM1950" s="122"/>
      <c r="AN1950" s="121"/>
      <c r="AP1950" s="87"/>
    </row>
    <row r="1951" spans="1:42">
      <c r="A1951" s="3"/>
      <c r="B1951" s="3"/>
      <c r="C1951" s="3"/>
      <c r="D1951" s="3"/>
      <c r="E1951" s="3"/>
      <c r="F1951" s="3"/>
      <c r="G1951" s="3"/>
      <c r="H1951" s="3"/>
      <c r="I1951" s="100"/>
      <c r="J1951" s="101"/>
      <c r="K1951" s="101"/>
      <c r="L1951" s="101"/>
      <c r="M1951" s="101"/>
      <c r="N1951" s="101"/>
      <c r="O1951" s="101"/>
      <c r="P1951" s="101"/>
      <c r="Q1951" s="101"/>
      <c r="R1951" s="101"/>
      <c r="S1951" s="101"/>
      <c r="T1951" s="101"/>
      <c r="U1951" s="101"/>
      <c r="V1951" s="101"/>
      <c r="W1951" s="101"/>
      <c r="X1951" s="101"/>
      <c r="Y1951" s="101"/>
      <c r="Z1951" s="101"/>
      <c r="AA1951" s="101"/>
      <c r="AB1951" s="101"/>
      <c r="AC1951" s="119"/>
      <c r="AD1951" s="119"/>
      <c r="AE1951" s="120"/>
      <c r="AF1951" s="119"/>
      <c r="AG1951" s="119"/>
      <c r="AH1951" s="120"/>
      <c r="AI1951" s="121"/>
      <c r="AJ1951" s="121"/>
      <c r="AK1951" s="121"/>
      <c r="AL1951" s="121"/>
      <c r="AM1951" s="122"/>
      <c r="AN1951" s="121"/>
      <c r="AP1951" s="87"/>
    </row>
    <row r="1952" spans="1:42">
      <c r="A1952" s="3"/>
      <c r="B1952" s="3"/>
      <c r="C1952" s="3"/>
      <c r="D1952" s="3"/>
      <c r="E1952" s="3"/>
      <c r="F1952" s="3"/>
      <c r="G1952" s="3"/>
      <c r="H1952" s="3"/>
      <c r="I1952" s="100"/>
      <c r="J1952" s="101"/>
      <c r="K1952" s="101"/>
      <c r="L1952" s="101"/>
      <c r="M1952" s="101"/>
      <c r="N1952" s="101"/>
      <c r="O1952" s="101"/>
      <c r="P1952" s="101"/>
      <c r="Q1952" s="101"/>
      <c r="R1952" s="101"/>
      <c r="S1952" s="101"/>
      <c r="T1952" s="101"/>
      <c r="U1952" s="101"/>
      <c r="V1952" s="101"/>
      <c r="W1952" s="101"/>
      <c r="X1952" s="101"/>
      <c r="Y1952" s="101"/>
      <c r="Z1952" s="101"/>
      <c r="AA1952" s="101"/>
      <c r="AB1952" s="101"/>
      <c r="AC1952" s="119"/>
      <c r="AD1952" s="119"/>
      <c r="AE1952" s="120"/>
      <c r="AF1952" s="119"/>
      <c r="AG1952" s="119"/>
      <c r="AH1952" s="120"/>
      <c r="AI1952" s="121"/>
      <c r="AJ1952" s="121"/>
      <c r="AK1952" s="121"/>
      <c r="AL1952" s="121"/>
      <c r="AM1952" s="122"/>
      <c r="AN1952" s="121"/>
      <c r="AP1952" s="87"/>
    </row>
    <row r="1953" spans="1:42">
      <c r="A1953" s="3"/>
      <c r="B1953" s="3"/>
      <c r="C1953" s="3"/>
      <c r="D1953" s="3"/>
      <c r="E1953" s="3"/>
      <c r="F1953" s="3"/>
      <c r="G1953" s="3"/>
      <c r="H1953" s="3"/>
      <c r="I1953" s="100"/>
      <c r="J1953" s="101"/>
      <c r="K1953" s="101"/>
      <c r="L1953" s="101"/>
      <c r="M1953" s="101"/>
      <c r="N1953" s="101"/>
      <c r="O1953" s="101"/>
      <c r="P1953" s="101"/>
      <c r="Q1953" s="101"/>
      <c r="R1953" s="101"/>
      <c r="S1953" s="101"/>
      <c r="T1953" s="101"/>
      <c r="U1953" s="101"/>
      <c r="V1953" s="101"/>
      <c r="W1953" s="101"/>
      <c r="X1953" s="101"/>
      <c r="Y1953" s="101"/>
      <c r="Z1953" s="101"/>
      <c r="AA1953" s="101"/>
      <c r="AB1953" s="101"/>
      <c r="AC1953" s="119"/>
      <c r="AD1953" s="119"/>
      <c r="AE1953" s="120"/>
      <c r="AF1953" s="119"/>
      <c r="AG1953" s="119"/>
      <c r="AH1953" s="120"/>
      <c r="AI1953" s="121"/>
      <c r="AJ1953" s="121"/>
      <c r="AK1953" s="121"/>
      <c r="AL1953" s="121"/>
      <c r="AM1953" s="122"/>
      <c r="AN1953" s="121"/>
      <c r="AP1953" s="87"/>
    </row>
    <row r="1954" spans="1:42">
      <c r="A1954" s="3"/>
      <c r="B1954" s="3"/>
      <c r="C1954" s="3"/>
      <c r="D1954" s="3"/>
      <c r="E1954" s="3"/>
      <c r="F1954" s="3"/>
      <c r="G1954" s="3"/>
      <c r="H1954" s="3"/>
      <c r="I1954" s="100"/>
      <c r="J1954" s="101"/>
      <c r="K1954" s="101"/>
      <c r="L1954" s="101"/>
      <c r="M1954" s="101"/>
      <c r="N1954" s="101"/>
      <c r="O1954" s="101"/>
      <c r="P1954" s="101"/>
      <c r="Q1954" s="101"/>
      <c r="R1954" s="101"/>
      <c r="S1954" s="101"/>
      <c r="T1954" s="101"/>
      <c r="U1954" s="101"/>
      <c r="V1954" s="101"/>
      <c r="W1954" s="101"/>
      <c r="X1954" s="101"/>
      <c r="Y1954" s="101"/>
      <c r="Z1954" s="101"/>
      <c r="AA1954" s="101"/>
      <c r="AB1954" s="101"/>
      <c r="AC1954" s="119"/>
      <c r="AD1954" s="119"/>
      <c r="AE1954" s="120"/>
      <c r="AF1954" s="119"/>
      <c r="AG1954" s="119"/>
      <c r="AH1954" s="120"/>
      <c r="AI1954" s="121"/>
      <c r="AJ1954" s="121"/>
      <c r="AK1954" s="121"/>
      <c r="AL1954" s="121"/>
      <c r="AM1954" s="122"/>
      <c r="AN1954" s="121"/>
      <c r="AP1954" s="87"/>
    </row>
    <row r="1955" spans="1:42">
      <c r="A1955" s="3"/>
      <c r="B1955" s="3"/>
      <c r="C1955" s="3"/>
      <c r="D1955" s="3"/>
      <c r="E1955" s="3"/>
      <c r="F1955" s="3"/>
      <c r="G1955" s="3"/>
      <c r="H1955" s="3"/>
      <c r="I1955" s="100"/>
      <c r="J1955" s="101"/>
      <c r="K1955" s="101"/>
      <c r="L1955" s="101"/>
      <c r="M1955" s="101"/>
      <c r="N1955" s="101"/>
      <c r="O1955" s="101"/>
      <c r="P1955" s="101"/>
      <c r="Q1955" s="101"/>
      <c r="R1955" s="101"/>
      <c r="S1955" s="101"/>
      <c r="T1955" s="101"/>
      <c r="U1955" s="101"/>
      <c r="V1955" s="101"/>
      <c r="W1955" s="101"/>
      <c r="X1955" s="101"/>
      <c r="Y1955" s="101"/>
      <c r="Z1955" s="101"/>
      <c r="AA1955" s="101"/>
      <c r="AB1955" s="101"/>
      <c r="AC1955" s="119"/>
      <c r="AD1955" s="119"/>
      <c r="AE1955" s="120"/>
      <c r="AF1955" s="119"/>
      <c r="AG1955" s="119"/>
      <c r="AH1955" s="120"/>
      <c r="AI1955" s="121"/>
      <c r="AJ1955" s="121"/>
      <c r="AK1955" s="121"/>
      <c r="AL1955" s="121"/>
      <c r="AM1955" s="122"/>
      <c r="AN1955" s="121"/>
      <c r="AP1955" s="87"/>
    </row>
    <row r="1956" spans="1:42">
      <c r="A1956" s="3"/>
      <c r="B1956" s="3"/>
      <c r="C1956" s="3"/>
      <c r="D1956" s="3"/>
      <c r="E1956" s="3"/>
      <c r="F1956" s="3"/>
      <c r="G1956" s="3"/>
      <c r="H1956" s="3"/>
      <c r="I1956" s="100"/>
      <c r="J1956" s="101"/>
      <c r="K1956" s="101"/>
      <c r="L1956" s="101"/>
      <c r="M1956" s="101"/>
      <c r="N1956" s="101"/>
      <c r="O1956" s="101"/>
      <c r="P1956" s="101"/>
      <c r="Q1956" s="101"/>
      <c r="R1956" s="101"/>
      <c r="S1956" s="101"/>
      <c r="T1956" s="101"/>
      <c r="U1956" s="101"/>
      <c r="V1956" s="101"/>
      <c r="W1956" s="101"/>
      <c r="X1956" s="101"/>
      <c r="Y1956" s="101"/>
      <c r="Z1956" s="101"/>
      <c r="AA1956" s="101"/>
      <c r="AB1956" s="101"/>
      <c r="AC1956" s="119"/>
      <c r="AD1956" s="119"/>
      <c r="AE1956" s="120"/>
      <c r="AF1956" s="119"/>
      <c r="AG1956" s="119"/>
      <c r="AH1956" s="120"/>
      <c r="AI1956" s="121"/>
      <c r="AJ1956" s="121"/>
      <c r="AK1956" s="121"/>
      <c r="AL1956" s="121"/>
      <c r="AM1956" s="122"/>
      <c r="AN1956" s="121"/>
      <c r="AP1956" s="87"/>
    </row>
    <row r="1957" spans="1:42">
      <c r="A1957" s="3"/>
      <c r="B1957" s="3"/>
      <c r="C1957" s="3"/>
      <c r="D1957" s="3"/>
      <c r="E1957" s="3"/>
      <c r="F1957" s="3"/>
      <c r="G1957" s="3"/>
      <c r="H1957" s="3"/>
      <c r="I1957" s="100"/>
      <c r="J1957" s="101"/>
      <c r="K1957" s="101"/>
      <c r="L1957" s="101"/>
      <c r="M1957" s="101"/>
      <c r="N1957" s="101"/>
      <c r="O1957" s="101"/>
      <c r="P1957" s="101"/>
      <c r="Q1957" s="101"/>
      <c r="R1957" s="101"/>
      <c r="S1957" s="101"/>
      <c r="T1957" s="101"/>
      <c r="U1957" s="101"/>
      <c r="V1957" s="101"/>
      <c r="W1957" s="101"/>
      <c r="X1957" s="101"/>
      <c r="Y1957" s="101"/>
      <c r="Z1957" s="101"/>
      <c r="AA1957" s="101"/>
      <c r="AB1957" s="101"/>
      <c r="AC1957" s="119"/>
      <c r="AD1957" s="119"/>
      <c r="AE1957" s="120"/>
      <c r="AF1957" s="119"/>
      <c r="AG1957" s="119"/>
      <c r="AH1957" s="120"/>
      <c r="AI1957" s="121"/>
      <c r="AJ1957" s="121"/>
      <c r="AK1957" s="121"/>
      <c r="AL1957" s="121"/>
      <c r="AM1957" s="122"/>
      <c r="AN1957" s="121"/>
      <c r="AP1957" s="87"/>
    </row>
    <row r="1958" spans="1:42">
      <c r="A1958" s="3"/>
      <c r="B1958" s="3"/>
      <c r="C1958" s="3"/>
      <c r="D1958" s="3"/>
      <c r="E1958" s="3"/>
      <c r="F1958" s="3"/>
      <c r="G1958" s="3"/>
      <c r="H1958" s="3"/>
      <c r="I1958" s="100"/>
      <c r="J1958" s="101"/>
      <c r="K1958" s="101"/>
      <c r="L1958" s="101"/>
      <c r="M1958" s="101"/>
      <c r="N1958" s="101"/>
      <c r="O1958" s="101"/>
      <c r="P1958" s="101"/>
      <c r="Q1958" s="101"/>
      <c r="R1958" s="101"/>
      <c r="S1958" s="101"/>
      <c r="T1958" s="101"/>
      <c r="U1958" s="101"/>
      <c r="V1958" s="101"/>
      <c r="W1958" s="101"/>
      <c r="X1958" s="101"/>
      <c r="Y1958" s="101"/>
      <c r="Z1958" s="101"/>
      <c r="AA1958" s="101"/>
      <c r="AB1958" s="101"/>
      <c r="AC1958" s="119"/>
      <c r="AD1958" s="119"/>
      <c r="AE1958" s="120"/>
      <c r="AF1958" s="119"/>
      <c r="AG1958" s="119"/>
      <c r="AH1958" s="120"/>
      <c r="AI1958" s="121"/>
      <c r="AJ1958" s="121"/>
      <c r="AK1958" s="121"/>
      <c r="AL1958" s="121"/>
      <c r="AM1958" s="122"/>
      <c r="AN1958" s="121"/>
      <c r="AP1958" s="87"/>
    </row>
    <row r="1959" spans="1:42">
      <c r="A1959" s="3"/>
      <c r="B1959" s="3"/>
      <c r="C1959" s="3"/>
      <c r="D1959" s="3"/>
      <c r="E1959" s="3"/>
      <c r="F1959" s="3"/>
      <c r="G1959" s="3"/>
      <c r="H1959" s="3"/>
      <c r="I1959" s="100"/>
      <c r="J1959" s="101"/>
      <c r="K1959" s="101"/>
      <c r="L1959" s="101"/>
      <c r="M1959" s="101"/>
      <c r="N1959" s="101"/>
      <c r="O1959" s="101"/>
      <c r="P1959" s="101"/>
      <c r="Q1959" s="101"/>
      <c r="R1959" s="101"/>
      <c r="S1959" s="101"/>
      <c r="T1959" s="101"/>
      <c r="U1959" s="101"/>
      <c r="V1959" s="101"/>
      <c r="W1959" s="101"/>
      <c r="X1959" s="101"/>
      <c r="Y1959" s="101"/>
      <c r="Z1959" s="101"/>
      <c r="AA1959" s="101"/>
      <c r="AB1959" s="101"/>
      <c r="AC1959" s="119"/>
      <c r="AD1959" s="119"/>
      <c r="AE1959" s="120"/>
      <c r="AF1959" s="119"/>
      <c r="AG1959" s="119"/>
      <c r="AH1959" s="120"/>
      <c r="AI1959" s="121"/>
      <c r="AJ1959" s="121"/>
      <c r="AK1959" s="121"/>
      <c r="AL1959" s="121"/>
      <c r="AM1959" s="122"/>
      <c r="AN1959" s="121"/>
      <c r="AP1959" s="87"/>
    </row>
    <row r="1960" spans="1:42">
      <c r="A1960" s="3"/>
      <c r="B1960" s="3"/>
      <c r="C1960" s="3"/>
      <c r="D1960" s="3"/>
      <c r="E1960" s="3"/>
      <c r="F1960" s="3"/>
      <c r="G1960" s="3"/>
      <c r="H1960" s="3"/>
      <c r="I1960" s="100"/>
      <c r="J1960" s="101"/>
      <c r="K1960" s="101"/>
      <c r="L1960" s="101"/>
      <c r="M1960" s="101"/>
      <c r="N1960" s="101"/>
      <c r="O1960" s="101"/>
      <c r="P1960" s="101"/>
      <c r="Q1960" s="101"/>
      <c r="R1960" s="101"/>
      <c r="S1960" s="101"/>
      <c r="T1960" s="101"/>
      <c r="U1960" s="101"/>
      <c r="V1960" s="101"/>
      <c r="W1960" s="101"/>
      <c r="X1960" s="101"/>
      <c r="Y1960" s="101"/>
      <c r="Z1960" s="101"/>
      <c r="AA1960" s="101"/>
      <c r="AB1960" s="101"/>
      <c r="AC1960" s="119"/>
      <c r="AD1960" s="119"/>
      <c r="AE1960" s="120"/>
      <c r="AF1960" s="119"/>
      <c r="AG1960" s="119"/>
      <c r="AH1960" s="120"/>
      <c r="AI1960" s="121"/>
      <c r="AJ1960" s="121"/>
      <c r="AK1960" s="121"/>
      <c r="AL1960" s="121"/>
      <c r="AM1960" s="122"/>
      <c r="AN1960" s="121"/>
      <c r="AP1960" s="87"/>
    </row>
    <row r="1961" spans="1:42">
      <c r="A1961" s="3"/>
      <c r="B1961" s="3"/>
      <c r="C1961" s="3"/>
      <c r="D1961" s="3"/>
      <c r="E1961" s="3"/>
      <c r="F1961" s="3"/>
      <c r="G1961" s="3"/>
      <c r="H1961" s="3"/>
      <c r="I1961" s="100"/>
      <c r="J1961" s="101"/>
      <c r="K1961" s="101"/>
      <c r="L1961" s="101"/>
      <c r="M1961" s="101"/>
      <c r="N1961" s="101"/>
      <c r="O1961" s="101"/>
      <c r="P1961" s="101"/>
      <c r="Q1961" s="101"/>
      <c r="R1961" s="101"/>
      <c r="S1961" s="101"/>
      <c r="T1961" s="101"/>
      <c r="U1961" s="101"/>
      <c r="V1961" s="101"/>
      <c r="W1961" s="101"/>
      <c r="X1961" s="101"/>
      <c r="Y1961" s="101"/>
      <c r="Z1961" s="101"/>
      <c r="AA1961" s="101"/>
      <c r="AB1961" s="101"/>
      <c r="AC1961" s="119"/>
      <c r="AD1961" s="119"/>
      <c r="AE1961" s="120"/>
      <c r="AF1961" s="119"/>
      <c r="AG1961" s="119"/>
      <c r="AH1961" s="120"/>
      <c r="AI1961" s="121"/>
      <c r="AJ1961" s="121"/>
      <c r="AK1961" s="121"/>
      <c r="AL1961" s="121"/>
      <c r="AM1961" s="122"/>
      <c r="AN1961" s="121"/>
      <c r="AP1961" s="87"/>
    </row>
    <row r="1962" spans="1:42">
      <c r="A1962" s="3"/>
      <c r="B1962" s="3"/>
      <c r="C1962" s="3"/>
      <c r="D1962" s="3"/>
      <c r="E1962" s="3"/>
      <c r="F1962" s="3"/>
      <c r="G1962" s="3"/>
      <c r="H1962" s="3"/>
      <c r="I1962" s="100"/>
      <c r="J1962" s="101"/>
      <c r="K1962" s="101"/>
      <c r="L1962" s="101"/>
      <c r="M1962" s="101"/>
      <c r="N1962" s="101"/>
      <c r="O1962" s="101"/>
      <c r="P1962" s="101"/>
      <c r="Q1962" s="101"/>
      <c r="R1962" s="101"/>
      <c r="S1962" s="101"/>
      <c r="T1962" s="101"/>
      <c r="U1962" s="101"/>
      <c r="V1962" s="101"/>
      <c r="W1962" s="101"/>
      <c r="X1962" s="101"/>
      <c r="Y1962" s="101"/>
      <c r="Z1962" s="101"/>
      <c r="AA1962" s="101"/>
      <c r="AB1962" s="101"/>
      <c r="AC1962" s="119"/>
      <c r="AD1962" s="119"/>
      <c r="AE1962" s="120"/>
      <c r="AF1962" s="119"/>
      <c r="AG1962" s="119"/>
      <c r="AH1962" s="120"/>
      <c r="AI1962" s="121"/>
      <c r="AJ1962" s="121"/>
      <c r="AK1962" s="121"/>
      <c r="AL1962" s="121"/>
      <c r="AM1962" s="122"/>
      <c r="AN1962" s="121"/>
      <c r="AP1962" s="87"/>
    </row>
    <row r="1963" spans="1:42">
      <c r="A1963" s="3"/>
      <c r="B1963" s="3"/>
      <c r="C1963" s="3"/>
      <c r="D1963" s="3"/>
      <c r="E1963" s="3"/>
      <c r="F1963" s="3"/>
      <c r="G1963" s="3"/>
      <c r="H1963" s="3"/>
      <c r="I1963" s="100"/>
      <c r="J1963" s="101"/>
      <c r="K1963" s="101"/>
      <c r="L1963" s="101"/>
      <c r="M1963" s="101"/>
      <c r="N1963" s="101"/>
      <c r="O1963" s="101"/>
      <c r="P1963" s="101"/>
      <c r="Q1963" s="101"/>
      <c r="R1963" s="101"/>
      <c r="S1963" s="101"/>
      <c r="T1963" s="101"/>
      <c r="U1963" s="101"/>
      <c r="V1963" s="101"/>
      <c r="W1963" s="101"/>
      <c r="X1963" s="101"/>
      <c r="Y1963" s="101"/>
      <c r="Z1963" s="101"/>
      <c r="AA1963" s="101"/>
      <c r="AB1963" s="101"/>
      <c r="AC1963" s="119"/>
      <c r="AD1963" s="119"/>
      <c r="AE1963" s="120"/>
      <c r="AF1963" s="119"/>
      <c r="AG1963" s="119"/>
      <c r="AH1963" s="120"/>
      <c r="AI1963" s="121"/>
      <c r="AJ1963" s="121"/>
      <c r="AK1963" s="121"/>
      <c r="AL1963" s="121"/>
      <c r="AM1963" s="122"/>
      <c r="AN1963" s="121"/>
      <c r="AP1963" s="87"/>
    </row>
    <row r="1964" spans="1:42">
      <c r="A1964" s="3"/>
      <c r="B1964" s="3"/>
      <c r="C1964" s="3"/>
      <c r="D1964" s="3"/>
      <c r="E1964" s="3"/>
      <c r="F1964" s="3"/>
      <c r="G1964" s="3"/>
      <c r="H1964" s="3"/>
      <c r="I1964" s="100"/>
      <c r="J1964" s="101"/>
      <c r="K1964" s="101"/>
      <c r="L1964" s="101"/>
      <c r="M1964" s="101"/>
      <c r="N1964" s="101"/>
      <c r="O1964" s="101"/>
      <c r="P1964" s="101"/>
      <c r="Q1964" s="101"/>
      <c r="R1964" s="101"/>
      <c r="S1964" s="101"/>
      <c r="T1964" s="101"/>
      <c r="U1964" s="101"/>
      <c r="V1964" s="101"/>
      <c r="W1964" s="101"/>
      <c r="X1964" s="101"/>
      <c r="Y1964" s="101"/>
      <c r="Z1964" s="101"/>
      <c r="AA1964" s="101"/>
      <c r="AB1964" s="101"/>
      <c r="AC1964" s="119"/>
      <c r="AD1964" s="119"/>
      <c r="AE1964" s="120"/>
      <c r="AF1964" s="119"/>
      <c r="AG1964" s="119"/>
      <c r="AH1964" s="120"/>
      <c r="AI1964" s="121"/>
      <c r="AJ1964" s="121"/>
      <c r="AK1964" s="121"/>
      <c r="AL1964" s="121"/>
      <c r="AM1964" s="122"/>
      <c r="AN1964" s="121"/>
      <c r="AP1964" s="87"/>
    </row>
    <row r="1965" spans="1:42">
      <c r="A1965" s="3"/>
      <c r="B1965" s="3"/>
      <c r="C1965" s="3"/>
      <c r="D1965" s="3"/>
      <c r="E1965" s="3"/>
      <c r="F1965" s="3"/>
      <c r="G1965" s="3"/>
      <c r="H1965" s="3"/>
      <c r="I1965" s="100"/>
      <c r="J1965" s="101"/>
      <c r="K1965" s="101"/>
      <c r="L1965" s="101"/>
      <c r="M1965" s="101"/>
      <c r="N1965" s="101"/>
      <c r="O1965" s="101"/>
      <c r="P1965" s="101"/>
      <c r="Q1965" s="101"/>
      <c r="R1965" s="101"/>
      <c r="S1965" s="101"/>
      <c r="T1965" s="101"/>
      <c r="U1965" s="101"/>
      <c r="V1965" s="101"/>
      <c r="W1965" s="101"/>
      <c r="X1965" s="101"/>
      <c r="Y1965" s="101"/>
      <c r="Z1965" s="101"/>
      <c r="AA1965" s="101"/>
      <c r="AB1965" s="101"/>
      <c r="AC1965" s="119"/>
      <c r="AD1965" s="119"/>
      <c r="AE1965" s="120"/>
      <c r="AF1965" s="119"/>
      <c r="AG1965" s="119"/>
      <c r="AH1965" s="120"/>
      <c r="AI1965" s="121"/>
      <c r="AJ1965" s="121"/>
      <c r="AK1965" s="121"/>
      <c r="AL1965" s="121"/>
      <c r="AM1965" s="122"/>
      <c r="AN1965" s="121"/>
      <c r="AP1965" s="87"/>
    </row>
    <row r="1966" spans="1:42">
      <c r="A1966" s="3"/>
      <c r="B1966" s="3"/>
      <c r="C1966" s="3"/>
      <c r="D1966" s="3"/>
      <c r="E1966" s="3"/>
      <c r="F1966" s="3"/>
      <c r="G1966" s="3"/>
      <c r="H1966" s="3"/>
      <c r="I1966" s="100"/>
      <c r="J1966" s="101"/>
      <c r="K1966" s="101"/>
      <c r="L1966" s="101"/>
      <c r="M1966" s="101"/>
      <c r="N1966" s="101"/>
      <c r="O1966" s="101"/>
      <c r="P1966" s="101"/>
      <c r="Q1966" s="101"/>
      <c r="R1966" s="101"/>
      <c r="S1966" s="101"/>
      <c r="T1966" s="101"/>
      <c r="U1966" s="101"/>
      <c r="V1966" s="101"/>
      <c r="W1966" s="101"/>
      <c r="X1966" s="101"/>
      <c r="Y1966" s="101"/>
      <c r="Z1966" s="101"/>
      <c r="AA1966" s="101"/>
      <c r="AB1966" s="101"/>
      <c r="AC1966" s="119"/>
      <c r="AD1966" s="119"/>
      <c r="AE1966" s="120"/>
      <c r="AF1966" s="119"/>
      <c r="AG1966" s="119"/>
      <c r="AH1966" s="120"/>
      <c r="AI1966" s="121"/>
      <c r="AJ1966" s="121"/>
      <c r="AK1966" s="121"/>
      <c r="AL1966" s="121"/>
      <c r="AM1966" s="122"/>
      <c r="AN1966" s="121"/>
      <c r="AP1966" s="87"/>
    </row>
    <row r="1967" spans="1:42">
      <c r="A1967" s="3"/>
      <c r="B1967" s="3"/>
      <c r="C1967" s="3"/>
      <c r="D1967" s="3"/>
      <c r="E1967" s="3"/>
      <c r="F1967" s="3"/>
      <c r="G1967" s="3"/>
      <c r="H1967" s="3"/>
      <c r="I1967" s="100"/>
      <c r="J1967" s="101"/>
      <c r="K1967" s="101"/>
      <c r="L1967" s="101"/>
      <c r="M1967" s="101"/>
      <c r="N1967" s="101"/>
      <c r="O1967" s="101"/>
      <c r="P1967" s="101"/>
      <c r="Q1967" s="101"/>
      <c r="R1967" s="101"/>
      <c r="S1967" s="101"/>
      <c r="T1967" s="101"/>
      <c r="U1967" s="101"/>
      <c r="V1967" s="101"/>
      <c r="W1967" s="101"/>
      <c r="X1967" s="101"/>
      <c r="Y1967" s="101"/>
      <c r="Z1967" s="101"/>
      <c r="AA1967" s="101"/>
      <c r="AB1967" s="101"/>
      <c r="AC1967" s="119"/>
      <c r="AD1967" s="119"/>
      <c r="AE1967" s="120"/>
      <c r="AF1967" s="119"/>
      <c r="AG1967" s="119"/>
      <c r="AH1967" s="120"/>
      <c r="AI1967" s="121"/>
      <c r="AJ1967" s="121"/>
      <c r="AK1967" s="121"/>
      <c r="AL1967" s="121"/>
      <c r="AM1967" s="122"/>
      <c r="AN1967" s="121"/>
      <c r="AP1967" s="87"/>
    </row>
    <row r="1968" spans="1:42">
      <c r="A1968" s="3"/>
      <c r="B1968" s="3"/>
      <c r="C1968" s="3"/>
      <c r="D1968" s="3"/>
      <c r="E1968" s="3"/>
      <c r="F1968" s="3"/>
      <c r="G1968" s="3"/>
      <c r="H1968" s="3"/>
      <c r="I1968" s="100"/>
      <c r="J1968" s="101"/>
      <c r="K1968" s="101"/>
      <c r="L1968" s="101"/>
      <c r="M1968" s="101"/>
      <c r="N1968" s="101"/>
      <c r="O1968" s="101"/>
      <c r="P1968" s="101"/>
      <c r="Q1968" s="101"/>
      <c r="R1968" s="101"/>
      <c r="S1968" s="101"/>
      <c r="T1968" s="101"/>
      <c r="U1968" s="101"/>
      <c r="V1968" s="101"/>
      <c r="W1968" s="101"/>
      <c r="X1968" s="101"/>
      <c r="Y1968" s="101"/>
      <c r="Z1968" s="101"/>
      <c r="AA1968" s="101"/>
      <c r="AB1968" s="101"/>
      <c r="AC1968" s="119"/>
      <c r="AD1968" s="119"/>
      <c r="AE1968" s="120"/>
      <c r="AF1968" s="119"/>
      <c r="AG1968" s="119"/>
      <c r="AH1968" s="120"/>
      <c r="AI1968" s="121"/>
      <c r="AJ1968" s="121"/>
      <c r="AK1968" s="121"/>
      <c r="AL1968" s="121"/>
      <c r="AM1968" s="122"/>
      <c r="AN1968" s="121"/>
      <c r="AP1968" s="87"/>
    </row>
    <row r="1969" spans="1:42">
      <c r="A1969" s="3"/>
      <c r="B1969" s="3"/>
      <c r="C1969" s="3"/>
      <c r="D1969" s="3"/>
      <c r="E1969" s="3"/>
      <c r="F1969" s="3"/>
      <c r="G1969" s="3"/>
      <c r="H1969" s="3"/>
      <c r="I1969" s="100"/>
      <c r="J1969" s="101"/>
      <c r="K1969" s="101"/>
      <c r="L1969" s="101"/>
      <c r="M1969" s="101"/>
      <c r="N1969" s="101"/>
      <c r="O1969" s="101"/>
      <c r="P1969" s="101"/>
      <c r="Q1969" s="101"/>
      <c r="R1969" s="101"/>
      <c r="S1969" s="101"/>
      <c r="T1969" s="101"/>
      <c r="U1969" s="101"/>
      <c r="V1969" s="101"/>
      <c r="W1969" s="101"/>
      <c r="X1969" s="101"/>
      <c r="Y1969" s="101"/>
      <c r="Z1969" s="101"/>
      <c r="AA1969" s="101"/>
      <c r="AB1969" s="101"/>
      <c r="AC1969" s="119"/>
      <c r="AD1969" s="119"/>
      <c r="AE1969" s="120"/>
      <c r="AF1969" s="119"/>
      <c r="AG1969" s="119"/>
      <c r="AH1969" s="120"/>
      <c r="AI1969" s="121"/>
      <c r="AJ1969" s="121"/>
      <c r="AK1969" s="121"/>
      <c r="AL1969" s="121"/>
      <c r="AM1969" s="122"/>
      <c r="AN1969" s="121"/>
      <c r="AP1969" s="87"/>
    </row>
    <row r="1970" spans="1:42">
      <c r="A1970" s="3"/>
      <c r="B1970" s="3"/>
      <c r="C1970" s="3"/>
      <c r="D1970" s="3"/>
      <c r="E1970" s="3"/>
      <c r="F1970" s="3"/>
      <c r="G1970" s="3"/>
      <c r="H1970" s="3"/>
      <c r="I1970" s="100"/>
      <c r="J1970" s="101"/>
      <c r="K1970" s="101"/>
      <c r="L1970" s="101"/>
      <c r="M1970" s="101"/>
      <c r="N1970" s="101"/>
      <c r="O1970" s="101"/>
      <c r="P1970" s="101"/>
      <c r="Q1970" s="101"/>
      <c r="R1970" s="101"/>
      <c r="S1970" s="101"/>
      <c r="T1970" s="101"/>
      <c r="U1970" s="101"/>
      <c r="V1970" s="101"/>
      <c r="W1970" s="101"/>
      <c r="X1970" s="101"/>
      <c r="Y1970" s="101"/>
      <c r="Z1970" s="101"/>
      <c r="AA1970" s="101"/>
      <c r="AB1970" s="101"/>
      <c r="AC1970" s="119"/>
      <c r="AD1970" s="119"/>
      <c r="AE1970" s="120"/>
      <c r="AF1970" s="119"/>
      <c r="AG1970" s="119"/>
      <c r="AH1970" s="120"/>
      <c r="AI1970" s="121"/>
      <c r="AJ1970" s="121"/>
      <c r="AK1970" s="121"/>
      <c r="AL1970" s="121"/>
      <c r="AM1970" s="122"/>
      <c r="AN1970" s="121"/>
      <c r="AP1970" s="87"/>
    </row>
    <row r="1971" spans="1:42">
      <c r="A1971" s="3"/>
      <c r="B1971" s="3"/>
      <c r="C1971" s="3"/>
      <c r="D1971" s="3"/>
      <c r="E1971" s="3"/>
      <c r="F1971" s="3"/>
      <c r="G1971" s="3"/>
      <c r="H1971" s="3"/>
      <c r="I1971" s="100"/>
      <c r="J1971" s="101"/>
      <c r="K1971" s="101"/>
      <c r="L1971" s="101"/>
      <c r="M1971" s="101"/>
      <c r="N1971" s="101"/>
      <c r="O1971" s="101"/>
      <c r="P1971" s="101"/>
      <c r="Q1971" s="101"/>
      <c r="R1971" s="101"/>
      <c r="S1971" s="101"/>
      <c r="T1971" s="101"/>
      <c r="U1971" s="101"/>
      <c r="V1971" s="101"/>
      <c r="W1971" s="101"/>
      <c r="X1971" s="101"/>
      <c r="Y1971" s="101"/>
      <c r="Z1971" s="101"/>
      <c r="AA1971" s="101"/>
      <c r="AB1971" s="101"/>
      <c r="AC1971" s="119"/>
      <c r="AD1971" s="119"/>
      <c r="AE1971" s="120"/>
      <c r="AF1971" s="119"/>
      <c r="AG1971" s="119"/>
      <c r="AH1971" s="120"/>
      <c r="AI1971" s="121"/>
      <c r="AJ1971" s="121"/>
      <c r="AK1971" s="121"/>
      <c r="AL1971" s="121"/>
      <c r="AM1971" s="122"/>
      <c r="AN1971" s="121"/>
      <c r="AP1971" s="87"/>
    </row>
    <row r="1972" spans="1:42">
      <c r="A1972" s="3"/>
      <c r="B1972" s="3"/>
      <c r="C1972" s="3"/>
      <c r="D1972" s="3"/>
      <c r="E1972" s="3"/>
      <c r="F1972" s="3"/>
      <c r="G1972" s="3"/>
      <c r="H1972" s="3"/>
      <c r="I1972" s="100"/>
      <c r="J1972" s="101"/>
      <c r="K1972" s="101"/>
      <c r="L1972" s="101"/>
      <c r="M1972" s="101"/>
      <c r="N1972" s="101"/>
      <c r="O1972" s="101"/>
      <c r="P1972" s="101"/>
      <c r="Q1972" s="101"/>
      <c r="R1972" s="101"/>
      <c r="S1972" s="101"/>
      <c r="T1972" s="101"/>
      <c r="U1972" s="101"/>
      <c r="V1972" s="101"/>
      <c r="W1972" s="101"/>
      <c r="X1972" s="101"/>
      <c r="Y1972" s="101"/>
      <c r="Z1972" s="101"/>
      <c r="AA1972" s="101"/>
      <c r="AB1972" s="101"/>
      <c r="AC1972" s="119"/>
      <c r="AD1972" s="119"/>
      <c r="AE1972" s="120"/>
      <c r="AF1972" s="119"/>
      <c r="AG1972" s="119"/>
      <c r="AH1972" s="120"/>
      <c r="AI1972" s="121"/>
      <c r="AJ1972" s="121"/>
      <c r="AK1972" s="121"/>
      <c r="AL1972" s="121"/>
      <c r="AM1972" s="122"/>
      <c r="AN1972" s="121"/>
      <c r="AP1972" s="87"/>
    </row>
    <row r="1973" spans="1:42">
      <c r="A1973" s="3"/>
      <c r="B1973" s="3"/>
      <c r="C1973" s="3"/>
      <c r="D1973" s="3"/>
      <c r="E1973" s="3"/>
      <c r="F1973" s="3"/>
      <c r="G1973" s="3"/>
      <c r="H1973" s="3"/>
      <c r="I1973" s="100"/>
      <c r="J1973" s="101"/>
      <c r="K1973" s="101"/>
      <c r="L1973" s="101"/>
      <c r="M1973" s="101"/>
      <c r="N1973" s="101"/>
      <c r="O1973" s="101"/>
      <c r="P1973" s="101"/>
      <c r="Q1973" s="101"/>
      <c r="R1973" s="101"/>
      <c r="S1973" s="101"/>
      <c r="T1973" s="101"/>
      <c r="U1973" s="101"/>
      <c r="V1973" s="101"/>
      <c r="W1973" s="101"/>
      <c r="X1973" s="101"/>
      <c r="Y1973" s="101"/>
      <c r="Z1973" s="101"/>
      <c r="AA1973" s="101"/>
      <c r="AB1973" s="101"/>
      <c r="AC1973" s="119"/>
      <c r="AD1973" s="119"/>
      <c r="AE1973" s="120"/>
      <c r="AF1973" s="119"/>
      <c r="AG1973" s="119"/>
      <c r="AH1973" s="120"/>
      <c r="AI1973" s="121"/>
      <c r="AJ1973" s="121"/>
      <c r="AK1973" s="121"/>
      <c r="AL1973" s="121"/>
      <c r="AM1973" s="122"/>
      <c r="AN1973" s="121"/>
      <c r="AP1973" s="87"/>
    </row>
    <row r="1974" spans="1:42">
      <c r="A1974" s="3"/>
      <c r="B1974" s="3"/>
      <c r="C1974" s="3"/>
      <c r="D1974" s="3"/>
      <c r="E1974" s="3"/>
      <c r="F1974" s="3"/>
      <c r="G1974" s="3"/>
      <c r="H1974" s="3"/>
      <c r="I1974" s="100"/>
      <c r="J1974" s="101"/>
      <c r="K1974" s="101"/>
      <c r="L1974" s="101"/>
      <c r="M1974" s="101"/>
      <c r="N1974" s="101"/>
      <c r="O1974" s="101"/>
      <c r="P1974" s="101"/>
      <c r="Q1974" s="101"/>
      <c r="R1974" s="101"/>
      <c r="S1974" s="101"/>
      <c r="T1974" s="101"/>
      <c r="U1974" s="101"/>
      <c r="V1974" s="101"/>
      <c r="W1974" s="101"/>
      <c r="X1974" s="101"/>
      <c r="Y1974" s="101"/>
      <c r="Z1974" s="101"/>
      <c r="AA1974" s="101"/>
      <c r="AB1974" s="101"/>
      <c r="AC1974" s="119"/>
      <c r="AD1974" s="119"/>
      <c r="AE1974" s="120"/>
      <c r="AF1974" s="119"/>
      <c r="AG1974" s="119"/>
      <c r="AH1974" s="120"/>
      <c r="AI1974" s="121"/>
      <c r="AJ1974" s="121"/>
      <c r="AK1974" s="121"/>
      <c r="AL1974" s="121"/>
      <c r="AM1974" s="122"/>
      <c r="AN1974" s="121"/>
      <c r="AP1974" s="87"/>
    </row>
    <row r="1975" spans="1:42">
      <c r="A1975" s="3"/>
      <c r="B1975" s="3"/>
      <c r="C1975" s="3"/>
      <c r="D1975" s="3"/>
      <c r="E1975" s="3"/>
      <c r="F1975" s="3"/>
      <c r="G1975" s="3"/>
      <c r="H1975" s="3"/>
      <c r="I1975" s="100"/>
      <c r="J1975" s="101"/>
      <c r="K1975" s="101"/>
      <c r="L1975" s="101"/>
      <c r="M1975" s="101"/>
      <c r="N1975" s="101"/>
      <c r="O1975" s="101"/>
      <c r="P1975" s="101"/>
      <c r="Q1975" s="101"/>
      <c r="R1975" s="101"/>
      <c r="S1975" s="101"/>
      <c r="T1975" s="101"/>
      <c r="U1975" s="101"/>
      <c r="V1975" s="101"/>
      <c r="W1975" s="101"/>
      <c r="X1975" s="101"/>
      <c r="Y1975" s="101"/>
      <c r="Z1975" s="101"/>
      <c r="AA1975" s="101"/>
      <c r="AB1975" s="101"/>
      <c r="AC1975" s="119"/>
      <c r="AD1975" s="119"/>
      <c r="AE1975" s="120"/>
      <c r="AF1975" s="119"/>
      <c r="AG1975" s="119"/>
      <c r="AH1975" s="120"/>
      <c r="AI1975" s="121"/>
      <c r="AJ1975" s="121"/>
      <c r="AK1975" s="121"/>
      <c r="AL1975" s="121"/>
      <c r="AM1975" s="122"/>
      <c r="AN1975" s="121"/>
      <c r="AP1975" s="87"/>
    </row>
    <row r="1976" spans="1:42">
      <c r="A1976" s="3"/>
      <c r="B1976" s="3"/>
      <c r="C1976" s="3"/>
      <c r="D1976" s="3"/>
      <c r="E1976" s="3"/>
      <c r="F1976" s="3"/>
      <c r="G1976" s="3"/>
      <c r="H1976" s="3"/>
      <c r="I1976" s="100"/>
      <c r="J1976" s="101"/>
      <c r="K1976" s="101"/>
      <c r="L1976" s="101"/>
      <c r="M1976" s="101"/>
      <c r="N1976" s="101"/>
      <c r="O1976" s="101"/>
      <c r="P1976" s="101"/>
      <c r="Q1976" s="101"/>
      <c r="R1976" s="101"/>
      <c r="S1976" s="101"/>
      <c r="T1976" s="101"/>
      <c r="U1976" s="101"/>
      <c r="V1976" s="101"/>
      <c r="W1976" s="101"/>
      <c r="X1976" s="101"/>
      <c r="Y1976" s="101"/>
      <c r="Z1976" s="101"/>
      <c r="AA1976" s="101"/>
      <c r="AB1976" s="101"/>
      <c r="AC1976" s="119"/>
      <c r="AD1976" s="119"/>
      <c r="AE1976" s="120"/>
      <c r="AF1976" s="119"/>
      <c r="AG1976" s="119"/>
      <c r="AH1976" s="120"/>
      <c r="AI1976" s="121"/>
      <c r="AJ1976" s="121"/>
      <c r="AK1976" s="121"/>
      <c r="AL1976" s="121"/>
      <c r="AM1976" s="122"/>
      <c r="AN1976" s="121"/>
      <c r="AP1976" s="87"/>
    </row>
    <row r="1977" spans="1:42">
      <c r="A1977" s="3"/>
      <c r="B1977" s="3"/>
      <c r="C1977" s="3"/>
      <c r="D1977" s="3"/>
      <c r="E1977" s="3"/>
      <c r="F1977" s="3"/>
      <c r="G1977" s="3"/>
      <c r="H1977" s="3"/>
      <c r="I1977" s="100"/>
      <c r="J1977" s="101"/>
      <c r="K1977" s="101"/>
      <c r="L1977" s="101"/>
      <c r="M1977" s="101"/>
      <c r="N1977" s="101"/>
      <c r="O1977" s="101"/>
      <c r="P1977" s="101"/>
      <c r="Q1977" s="101"/>
      <c r="R1977" s="101"/>
      <c r="S1977" s="101"/>
      <c r="T1977" s="101"/>
      <c r="U1977" s="101"/>
      <c r="V1977" s="101"/>
      <c r="W1977" s="101"/>
      <c r="X1977" s="101"/>
      <c r="Y1977" s="101"/>
      <c r="Z1977" s="101"/>
      <c r="AA1977" s="101"/>
      <c r="AB1977" s="101"/>
      <c r="AC1977" s="119"/>
      <c r="AD1977" s="119"/>
      <c r="AE1977" s="120"/>
      <c r="AF1977" s="119"/>
      <c r="AG1977" s="119"/>
      <c r="AH1977" s="120"/>
      <c r="AI1977" s="121"/>
      <c r="AJ1977" s="121"/>
      <c r="AK1977" s="121"/>
      <c r="AL1977" s="121"/>
      <c r="AM1977" s="122"/>
      <c r="AN1977" s="121"/>
      <c r="AP1977" s="87"/>
    </row>
    <row r="1978" spans="1:42">
      <c r="A1978" s="3"/>
      <c r="B1978" s="3"/>
      <c r="C1978" s="3"/>
      <c r="D1978" s="3"/>
      <c r="E1978" s="3"/>
      <c r="F1978" s="3"/>
      <c r="G1978" s="3"/>
      <c r="H1978" s="3"/>
      <c r="I1978" s="100"/>
      <c r="J1978" s="101"/>
      <c r="K1978" s="101"/>
      <c r="L1978" s="101"/>
      <c r="M1978" s="101"/>
      <c r="N1978" s="101"/>
      <c r="O1978" s="101"/>
      <c r="P1978" s="101"/>
      <c r="Q1978" s="101"/>
      <c r="R1978" s="101"/>
      <c r="S1978" s="101"/>
      <c r="T1978" s="101"/>
      <c r="U1978" s="101"/>
      <c r="V1978" s="101"/>
      <c r="W1978" s="101"/>
      <c r="X1978" s="101"/>
      <c r="Y1978" s="101"/>
      <c r="Z1978" s="101"/>
      <c r="AA1978" s="101"/>
      <c r="AB1978" s="101"/>
      <c r="AC1978" s="119"/>
      <c r="AD1978" s="119"/>
      <c r="AE1978" s="120"/>
      <c r="AF1978" s="119"/>
      <c r="AG1978" s="119"/>
      <c r="AH1978" s="120"/>
      <c r="AI1978" s="121"/>
      <c r="AJ1978" s="121"/>
      <c r="AK1978" s="121"/>
      <c r="AL1978" s="121"/>
      <c r="AM1978" s="122"/>
      <c r="AN1978" s="121"/>
      <c r="AP1978" s="87"/>
    </row>
    <row r="1979" spans="1:42">
      <c r="A1979" s="3"/>
      <c r="B1979" s="3"/>
      <c r="C1979" s="3"/>
      <c r="D1979" s="3"/>
      <c r="E1979" s="3"/>
      <c r="F1979" s="3"/>
      <c r="G1979" s="3"/>
      <c r="H1979" s="3"/>
      <c r="I1979" s="100"/>
      <c r="J1979" s="101"/>
      <c r="K1979" s="101"/>
      <c r="L1979" s="101"/>
      <c r="M1979" s="101"/>
      <c r="N1979" s="101"/>
      <c r="O1979" s="101"/>
      <c r="P1979" s="101"/>
      <c r="Q1979" s="101"/>
      <c r="R1979" s="101"/>
      <c r="S1979" s="101"/>
      <c r="T1979" s="101"/>
      <c r="U1979" s="101"/>
      <c r="V1979" s="101"/>
      <c r="W1979" s="101"/>
      <c r="X1979" s="101"/>
      <c r="Y1979" s="101"/>
      <c r="Z1979" s="101"/>
      <c r="AA1979" s="101"/>
      <c r="AB1979" s="101"/>
      <c r="AC1979" s="119"/>
      <c r="AD1979" s="119"/>
      <c r="AE1979" s="120"/>
      <c r="AF1979" s="119"/>
      <c r="AG1979" s="119"/>
      <c r="AH1979" s="120"/>
      <c r="AI1979" s="121"/>
      <c r="AJ1979" s="121"/>
      <c r="AK1979" s="121"/>
      <c r="AL1979" s="121"/>
      <c r="AM1979" s="122"/>
      <c r="AN1979" s="121"/>
      <c r="AP1979" s="87"/>
    </row>
    <row r="1980" spans="1:42">
      <c r="A1980" s="3"/>
      <c r="B1980" s="3"/>
      <c r="C1980" s="3"/>
      <c r="D1980" s="3"/>
      <c r="E1980" s="3"/>
      <c r="F1980" s="3"/>
      <c r="G1980" s="3"/>
      <c r="H1980" s="3"/>
      <c r="I1980" s="100"/>
      <c r="J1980" s="101"/>
      <c r="K1980" s="101"/>
      <c r="L1980" s="101"/>
      <c r="M1980" s="101"/>
      <c r="N1980" s="101"/>
      <c r="O1980" s="101"/>
      <c r="P1980" s="101"/>
      <c r="Q1980" s="101"/>
      <c r="R1980" s="101"/>
      <c r="S1980" s="101"/>
      <c r="T1980" s="101"/>
      <c r="U1980" s="101"/>
      <c r="V1980" s="101"/>
      <c r="W1980" s="101"/>
      <c r="X1980" s="101"/>
      <c r="Y1980" s="101"/>
      <c r="Z1980" s="101"/>
      <c r="AA1980" s="101"/>
      <c r="AB1980" s="101"/>
      <c r="AC1980" s="119"/>
      <c r="AD1980" s="119"/>
      <c r="AE1980" s="120"/>
      <c r="AF1980" s="119"/>
      <c r="AG1980" s="119"/>
      <c r="AH1980" s="120"/>
      <c r="AI1980" s="121"/>
      <c r="AJ1980" s="121"/>
      <c r="AK1980" s="121"/>
      <c r="AL1980" s="121"/>
      <c r="AM1980" s="122"/>
      <c r="AN1980" s="121"/>
      <c r="AP1980" s="87"/>
    </row>
    <row r="1981" spans="1:42">
      <c r="A1981" s="3"/>
      <c r="B1981" s="3"/>
      <c r="C1981" s="3"/>
      <c r="D1981" s="3"/>
      <c r="E1981" s="3"/>
      <c r="F1981" s="3"/>
      <c r="G1981" s="3"/>
      <c r="H1981" s="3"/>
      <c r="I1981" s="100"/>
      <c r="J1981" s="101"/>
      <c r="K1981" s="101"/>
      <c r="L1981" s="101"/>
      <c r="M1981" s="101"/>
      <c r="N1981" s="101"/>
      <c r="O1981" s="101"/>
      <c r="P1981" s="101"/>
      <c r="Q1981" s="101"/>
      <c r="R1981" s="101"/>
      <c r="S1981" s="101"/>
      <c r="T1981" s="101"/>
      <c r="U1981" s="101"/>
      <c r="V1981" s="101"/>
      <c r="W1981" s="101"/>
      <c r="X1981" s="101"/>
      <c r="Y1981" s="101"/>
      <c r="Z1981" s="101"/>
      <c r="AA1981" s="101"/>
      <c r="AB1981" s="101"/>
      <c r="AC1981" s="119"/>
      <c r="AD1981" s="119"/>
      <c r="AE1981" s="120"/>
      <c r="AF1981" s="119"/>
      <c r="AG1981" s="119"/>
      <c r="AH1981" s="120"/>
      <c r="AI1981" s="121"/>
      <c r="AJ1981" s="121"/>
      <c r="AK1981" s="121"/>
      <c r="AL1981" s="121"/>
      <c r="AM1981" s="122"/>
      <c r="AN1981" s="121"/>
      <c r="AP1981" s="87"/>
    </row>
    <row r="1982" spans="1:42">
      <c r="A1982" s="3"/>
      <c r="B1982" s="3"/>
      <c r="C1982" s="3"/>
      <c r="D1982" s="3"/>
      <c r="E1982" s="3"/>
      <c r="F1982" s="3"/>
      <c r="G1982" s="3"/>
      <c r="H1982" s="3"/>
      <c r="I1982" s="100"/>
      <c r="J1982" s="101"/>
      <c r="K1982" s="101"/>
      <c r="L1982" s="101"/>
      <c r="M1982" s="101"/>
      <c r="N1982" s="101"/>
      <c r="O1982" s="101"/>
      <c r="P1982" s="101"/>
      <c r="Q1982" s="101"/>
      <c r="R1982" s="101"/>
      <c r="S1982" s="101"/>
      <c r="T1982" s="101"/>
      <c r="U1982" s="101"/>
      <c r="V1982" s="101"/>
      <c r="W1982" s="101"/>
      <c r="X1982" s="101"/>
      <c r="Y1982" s="101"/>
      <c r="Z1982" s="101"/>
      <c r="AA1982" s="101"/>
      <c r="AB1982" s="101"/>
      <c r="AC1982" s="119"/>
      <c r="AD1982" s="119"/>
      <c r="AE1982" s="120"/>
      <c r="AF1982" s="119"/>
      <c r="AG1982" s="119"/>
      <c r="AH1982" s="120"/>
      <c r="AI1982" s="121"/>
      <c r="AJ1982" s="121"/>
      <c r="AK1982" s="121"/>
      <c r="AL1982" s="121"/>
      <c r="AM1982" s="122"/>
      <c r="AN1982" s="121"/>
      <c r="AP1982" s="87"/>
    </row>
    <row r="1983" spans="1:42">
      <c r="A1983" s="3"/>
      <c r="B1983" s="3"/>
      <c r="C1983" s="3"/>
      <c r="D1983" s="3"/>
      <c r="E1983" s="3"/>
      <c r="F1983" s="3"/>
      <c r="G1983" s="3"/>
      <c r="H1983" s="3"/>
      <c r="I1983" s="100"/>
      <c r="J1983" s="101"/>
      <c r="K1983" s="101"/>
      <c r="L1983" s="101"/>
      <c r="M1983" s="101"/>
      <c r="N1983" s="101"/>
      <c r="O1983" s="101"/>
      <c r="P1983" s="101"/>
      <c r="Q1983" s="101"/>
      <c r="R1983" s="101"/>
      <c r="S1983" s="101"/>
      <c r="T1983" s="101"/>
      <c r="U1983" s="101"/>
      <c r="V1983" s="101"/>
      <c r="W1983" s="101"/>
      <c r="X1983" s="101"/>
      <c r="Y1983" s="101"/>
      <c r="Z1983" s="101"/>
      <c r="AA1983" s="101"/>
      <c r="AB1983" s="101"/>
      <c r="AC1983" s="119"/>
      <c r="AD1983" s="119"/>
      <c r="AE1983" s="120"/>
      <c r="AF1983" s="119"/>
      <c r="AG1983" s="119"/>
      <c r="AH1983" s="120"/>
      <c r="AI1983" s="121"/>
      <c r="AJ1983" s="121"/>
      <c r="AK1983" s="121"/>
      <c r="AL1983" s="121"/>
      <c r="AM1983" s="122"/>
      <c r="AN1983" s="121"/>
      <c r="AP1983" s="87"/>
    </row>
    <row r="1984" spans="1:42">
      <c r="A1984" s="3"/>
      <c r="B1984" s="3"/>
      <c r="C1984" s="3"/>
      <c r="D1984" s="3"/>
      <c r="E1984" s="3"/>
      <c r="F1984" s="3"/>
      <c r="G1984" s="3"/>
      <c r="H1984" s="3"/>
      <c r="I1984" s="100"/>
      <c r="J1984" s="101"/>
      <c r="K1984" s="101"/>
      <c r="L1984" s="101"/>
      <c r="M1984" s="101"/>
      <c r="N1984" s="101"/>
      <c r="O1984" s="101"/>
      <c r="P1984" s="101"/>
      <c r="Q1984" s="101"/>
      <c r="R1984" s="101"/>
      <c r="S1984" s="101"/>
      <c r="T1984" s="101"/>
      <c r="U1984" s="101"/>
      <c r="V1984" s="101"/>
      <c r="W1984" s="101"/>
      <c r="X1984" s="101"/>
      <c r="Y1984" s="101"/>
      <c r="Z1984" s="101"/>
      <c r="AA1984" s="101"/>
      <c r="AB1984" s="101"/>
      <c r="AC1984" s="119"/>
      <c r="AD1984" s="119"/>
      <c r="AE1984" s="120"/>
      <c r="AF1984" s="119"/>
      <c r="AG1984" s="119"/>
      <c r="AH1984" s="120"/>
      <c r="AI1984" s="121"/>
      <c r="AJ1984" s="121"/>
      <c r="AK1984" s="121"/>
      <c r="AL1984" s="121"/>
      <c r="AM1984" s="122"/>
      <c r="AN1984" s="121"/>
      <c r="AP1984" s="87"/>
    </row>
    <row r="1985" spans="1:42">
      <c r="A1985" s="3"/>
      <c r="B1985" s="3"/>
      <c r="C1985" s="3"/>
      <c r="D1985" s="3"/>
      <c r="E1985" s="3"/>
      <c r="F1985" s="3"/>
      <c r="G1985" s="3"/>
      <c r="H1985" s="3"/>
      <c r="I1985" s="100"/>
      <c r="J1985" s="101"/>
      <c r="K1985" s="101"/>
      <c r="L1985" s="101"/>
      <c r="M1985" s="101"/>
      <c r="N1985" s="101"/>
      <c r="O1985" s="101"/>
      <c r="P1985" s="101"/>
      <c r="Q1985" s="101"/>
      <c r="R1985" s="101"/>
      <c r="S1985" s="101"/>
      <c r="T1985" s="101"/>
      <c r="U1985" s="101"/>
      <c r="V1985" s="101"/>
      <c r="W1985" s="101"/>
      <c r="X1985" s="101"/>
      <c r="Y1985" s="101"/>
      <c r="Z1985" s="101"/>
      <c r="AA1985" s="101"/>
      <c r="AB1985" s="101"/>
      <c r="AC1985" s="119"/>
      <c r="AD1985" s="119"/>
      <c r="AE1985" s="120"/>
      <c r="AF1985" s="119"/>
      <c r="AG1985" s="119"/>
      <c r="AH1985" s="120"/>
      <c r="AI1985" s="121"/>
      <c r="AJ1985" s="121"/>
      <c r="AK1985" s="121"/>
      <c r="AL1985" s="121"/>
      <c r="AM1985" s="122"/>
      <c r="AN1985" s="121"/>
      <c r="AP1985" s="87"/>
    </row>
    <row r="1986" spans="1:42">
      <c r="A1986" s="3"/>
      <c r="B1986" s="3"/>
      <c r="C1986" s="3"/>
      <c r="D1986" s="3"/>
      <c r="E1986" s="3"/>
      <c r="F1986" s="3"/>
      <c r="G1986" s="3"/>
      <c r="H1986" s="3"/>
      <c r="I1986" s="100"/>
      <c r="J1986" s="101"/>
      <c r="K1986" s="101"/>
      <c r="L1986" s="101"/>
      <c r="M1986" s="101"/>
      <c r="N1986" s="101"/>
      <c r="O1986" s="101"/>
      <c r="P1986" s="101"/>
      <c r="Q1986" s="101"/>
      <c r="R1986" s="101"/>
      <c r="S1986" s="101"/>
      <c r="T1986" s="101"/>
      <c r="U1986" s="101"/>
      <c r="V1986" s="101"/>
      <c r="W1986" s="101"/>
      <c r="X1986" s="101"/>
      <c r="Y1986" s="101"/>
      <c r="Z1986" s="101"/>
      <c r="AA1986" s="101"/>
      <c r="AB1986" s="101"/>
      <c r="AC1986" s="119"/>
      <c r="AD1986" s="119"/>
      <c r="AE1986" s="120"/>
      <c r="AF1986" s="119"/>
      <c r="AG1986" s="119"/>
      <c r="AH1986" s="120"/>
      <c r="AI1986" s="121"/>
      <c r="AJ1986" s="121"/>
      <c r="AK1986" s="121"/>
      <c r="AL1986" s="121"/>
      <c r="AM1986" s="122"/>
      <c r="AN1986" s="121"/>
      <c r="AP1986" s="87"/>
    </row>
    <row r="1987" spans="1:42">
      <c r="A1987" s="3"/>
      <c r="B1987" s="3"/>
      <c r="C1987" s="3"/>
      <c r="D1987" s="3"/>
      <c r="E1987" s="3"/>
      <c r="F1987" s="3"/>
      <c r="G1987" s="3"/>
      <c r="H1987" s="3"/>
      <c r="I1987" s="100"/>
      <c r="J1987" s="101"/>
      <c r="K1987" s="101"/>
      <c r="L1987" s="101"/>
      <c r="M1987" s="101"/>
      <c r="N1987" s="101"/>
      <c r="O1987" s="101"/>
      <c r="P1987" s="101"/>
      <c r="Q1987" s="101"/>
      <c r="R1987" s="101"/>
      <c r="S1987" s="101"/>
      <c r="T1987" s="101"/>
      <c r="U1987" s="101"/>
      <c r="V1987" s="101"/>
      <c r="W1987" s="101"/>
      <c r="X1987" s="101"/>
      <c r="Y1987" s="101"/>
      <c r="Z1987" s="101"/>
      <c r="AA1987" s="101"/>
      <c r="AB1987" s="101"/>
      <c r="AC1987" s="119"/>
      <c r="AD1987" s="119"/>
      <c r="AE1987" s="120"/>
      <c r="AF1987" s="119"/>
      <c r="AG1987" s="119"/>
      <c r="AH1987" s="120"/>
      <c r="AI1987" s="121"/>
      <c r="AJ1987" s="121"/>
      <c r="AK1987" s="121"/>
      <c r="AL1987" s="121"/>
      <c r="AM1987" s="122"/>
      <c r="AN1987" s="121"/>
      <c r="AP1987" s="87"/>
    </row>
    <row r="1988" spans="1:42">
      <c r="A1988" s="3"/>
      <c r="B1988" s="3"/>
      <c r="C1988" s="3"/>
      <c r="D1988" s="3"/>
      <c r="E1988" s="3"/>
      <c r="F1988" s="3"/>
      <c r="G1988" s="3"/>
      <c r="H1988" s="3"/>
      <c r="I1988" s="100"/>
      <c r="J1988" s="101"/>
      <c r="K1988" s="101"/>
      <c r="L1988" s="101"/>
      <c r="M1988" s="101"/>
      <c r="N1988" s="101"/>
      <c r="O1988" s="101"/>
      <c r="P1988" s="101"/>
      <c r="Q1988" s="101"/>
      <c r="R1988" s="101"/>
      <c r="S1988" s="101"/>
      <c r="T1988" s="101"/>
      <c r="U1988" s="101"/>
      <c r="V1988" s="101"/>
      <c r="W1988" s="101"/>
      <c r="X1988" s="101"/>
      <c r="Y1988" s="101"/>
      <c r="Z1988" s="101"/>
      <c r="AA1988" s="101"/>
      <c r="AB1988" s="101"/>
      <c r="AC1988" s="119"/>
      <c r="AD1988" s="119"/>
      <c r="AE1988" s="120"/>
      <c r="AF1988" s="119"/>
      <c r="AG1988" s="119"/>
      <c r="AH1988" s="120"/>
      <c r="AI1988" s="121"/>
      <c r="AJ1988" s="121"/>
      <c r="AK1988" s="121"/>
      <c r="AL1988" s="121"/>
      <c r="AM1988" s="122"/>
      <c r="AN1988" s="121"/>
      <c r="AP1988" s="87"/>
    </row>
    <row r="1989" spans="1:42">
      <c r="A1989" s="3"/>
      <c r="B1989" s="3"/>
      <c r="C1989" s="3"/>
      <c r="D1989" s="3"/>
      <c r="E1989" s="3"/>
      <c r="F1989" s="3"/>
      <c r="G1989" s="3"/>
      <c r="H1989" s="3"/>
      <c r="I1989" s="100"/>
      <c r="J1989" s="101"/>
      <c r="K1989" s="101"/>
      <c r="L1989" s="101"/>
      <c r="M1989" s="101"/>
      <c r="N1989" s="101"/>
      <c r="O1989" s="101"/>
      <c r="P1989" s="101"/>
      <c r="Q1989" s="101"/>
      <c r="R1989" s="101"/>
      <c r="S1989" s="101"/>
      <c r="T1989" s="101"/>
      <c r="U1989" s="101"/>
      <c r="V1989" s="101"/>
      <c r="W1989" s="101"/>
      <c r="X1989" s="101"/>
      <c r="Y1989" s="101"/>
      <c r="Z1989" s="101"/>
      <c r="AA1989" s="101"/>
      <c r="AB1989" s="101"/>
      <c r="AC1989" s="119"/>
      <c r="AD1989" s="119"/>
      <c r="AE1989" s="120"/>
      <c r="AF1989" s="119"/>
      <c r="AG1989" s="119"/>
      <c r="AH1989" s="120"/>
      <c r="AI1989" s="121"/>
      <c r="AJ1989" s="121"/>
      <c r="AK1989" s="121"/>
      <c r="AL1989" s="121"/>
      <c r="AM1989" s="122"/>
      <c r="AN1989" s="121"/>
      <c r="AP1989" s="87"/>
    </row>
    <row r="1990" spans="1:42">
      <c r="A1990" s="3"/>
      <c r="B1990" s="3"/>
      <c r="C1990" s="3"/>
      <c r="D1990" s="3"/>
      <c r="E1990" s="3"/>
      <c r="F1990" s="3"/>
      <c r="G1990" s="3"/>
      <c r="H1990" s="3"/>
      <c r="I1990" s="100"/>
      <c r="J1990" s="101"/>
      <c r="K1990" s="101"/>
      <c r="L1990" s="101"/>
      <c r="M1990" s="101"/>
      <c r="N1990" s="101"/>
      <c r="O1990" s="101"/>
      <c r="P1990" s="101"/>
      <c r="Q1990" s="101"/>
      <c r="R1990" s="101"/>
      <c r="S1990" s="101"/>
      <c r="T1990" s="101"/>
      <c r="U1990" s="101"/>
      <c r="V1990" s="101"/>
      <c r="W1990" s="101"/>
      <c r="X1990" s="101"/>
      <c r="Y1990" s="101"/>
      <c r="Z1990" s="101"/>
      <c r="AA1990" s="101"/>
      <c r="AB1990" s="101"/>
      <c r="AC1990" s="119"/>
      <c r="AD1990" s="119"/>
      <c r="AE1990" s="120"/>
      <c r="AF1990" s="119"/>
      <c r="AG1990" s="119"/>
      <c r="AH1990" s="120"/>
      <c r="AI1990" s="121"/>
      <c r="AJ1990" s="121"/>
      <c r="AK1990" s="121"/>
      <c r="AL1990" s="121"/>
      <c r="AM1990" s="122"/>
      <c r="AN1990" s="121"/>
      <c r="AP1990" s="87"/>
    </row>
    <row r="1991" spans="1:42">
      <c r="A1991" s="3"/>
      <c r="B1991" s="3"/>
      <c r="C1991" s="3"/>
      <c r="D1991" s="3"/>
      <c r="E1991" s="3"/>
      <c r="F1991" s="3"/>
      <c r="G1991" s="3"/>
      <c r="H1991" s="3"/>
      <c r="I1991" s="100"/>
      <c r="J1991" s="101"/>
      <c r="K1991" s="101"/>
      <c r="L1991" s="101"/>
      <c r="M1991" s="101"/>
      <c r="N1991" s="101"/>
      <c r="O1991" s="101"/>
      <c r="P1991" s="101"/>
      <c r="Q1991" s="101"/>
      <c r="R1991" s="101"/>
      <c r="S1991" s="101"/>
      <c r="T1991" s="101"/>
      <c r="U1991" s="101"/>
      <c r="V1991" s="101"/>
      <c r="W1991" s="101"/>
      <c r="X1991" s="101"/>
      <c r="Y1991" s="101"/>
      <c r="Z1991" s="101"/>
      <c r="AA1991" s="101"/>
      <c r="AB1991" s="101"/>
      <c r="AC1991" s="119"/>
      <c r="AD1991" s="119"/>
      <c r="AE1991" s="120"/>
      <c r="AF1991" s="119"/>
      <c r="AG1991" s="119"/>
      <c r="AH1991" s="120"/>
      <c r="AI1991" s="121"/>
      <c r="AJ1991" s="121"/>
      <c r="AK1991" s="121"/>
      <c r="AL1991" s="121"/>
      <c r="AM1991" s="122"/>
      <c r="AN1991" s="121"/>
      <c r="AP1991" s="87"/>
    </row>
    <row r="1992" spans="1:42">
      <c r="A1992" s="3"/>
      <c r="B1992" s="3"/>
      <c r="C1992" s="3"/>
      <c r="D1992" s="3"/>
      <c r="E1992" s="3"/>
      <c r="F1992" s="3"/>
      <c r="G1992" s="3"/>
      <c r="H1992" s="3"/>
      <c r="I1992" s="100"/>
      <c r="J1992" s="101"/>
      <c r="K1992" s="101"/>
      <c r="L1992" s="101"/>
      <c r="M1992" s="101"/>
      <c r="N1992" s="101"/>
      <c r="O1992" s="101"/>
      <c r="P1992" s="101"/>
      <c r="Q1992" s="101"/>
      <c r="R1992" s="101"/>
      <c r="S1992" s="101"/>
      <c r="T1992" s="101"/>
      <c r="U1992" s="101"/>
      <c r="V1992" s="101"/>
      <c r="W1992" s="101"/>
      <c r="X1992" s="101"/>
      <c r="Y1992" s="101"/>
      <c r="Z1992" s="101"/>
      <c r="AA1992" s="101"/>
      <c r="AB1992" s="101"/>
      <c r="AC1992" s="119"/>
      <c r="AD1992" s="119"/>
      <c r="AE1992" s="120"/>
      <c r="AF1992" s="119"/>
      <c r="AG1992" s="119"/>
      <c r="AH1992" s="120"/>
      <c r="AI1992" s="121"/>
      <c r="AJ1992" s="121"/>
      <c r="AK1992" s="121"/>
      <c r="AL1992" s="121"/>
      <c r="AM1992" s="122"/>
      <c r="AN1992" s="121"/>
      <c r="AP1992" s="87"/>
    </row>
    <row r="1993" spans="1:42">
      <c r="A1993" s="3"/>
      <c r="B1993" s="3"/>
      <c r="C1993" s="3"/>
      <c r="D1993" s="3"/>
      <c r="E1993" s="3"/>
      <c r="F1993" s="3"/>
      <c r="G1993" s="3"/>
      <c r="H1993" s="3"/>
      <c r="I1993" s="100"/>
      <c r="J1993" s="101"/>
      <c r="K1993" s="101"/>
      <c r="L1993" s="101"/>
      <c r="M1993" s="101"/>
      <c r="N1993" s="101"/>
      <c r="O1993" s="101"/>
      <c r="P1993" s="101"/>
      <c r="Q1993" s="101"/>
      <c r="R1993" s="101"/>
      <c r="S1993" s="101"/>
      <c r="T1993" s="101"/>
      <c r="U1993" s="101"/>
      <c r="V1993" s="101"/>
      <c r="W1993" s="101"/>
      <c r="X1993" s="101"/>
      <c r="Y1993" s="101"/>
      <c r="Z1993" s="101"/>
      <c r="AA1993" s="101"/>
      <c r="AB1993" s="101"/>
      <c r="AC1993" s="119"/>
      <c r="AD1993" s="119"/>
      <c r="AE1993" s="120"/>
      <c r="AF1993" s="119"/>
      <c r="AG1993" s="119"/>
      <c r="AH1993" s="120"/>
      <c r="AI1993" s="121"/>
      <c r="AJ1993" s="121"/>
      <c r="AK1993" s="121"/>
      <c r="AL1993" s="121"/>
      <c r="AM1993" s="122"/>
      <c r="AN1993" s="121"/>
      <c r="AP1993" s="87"/>
    </row>
    <row r="1994" spans="1:42">
      <c r="A1994" s="3"/>
      <c r="B1994" s="3"/>
      <c r="C1994" s="3"/>
      <c r="D1994" s="3"/>
      <c r="E1994" s="3"/>
      <c r="F1994" s="3"/>
      <c r="G1994" s="3"/>
      <c r="H1994" s="3"/>
      <c r="I1994" s="100"/>
      <c r="J1994" s="101"/>
      <c r="K1994" s="101"/>
      <c r="L1994" s="101"/>
      <c r="M1994" s="101"/>
      <c r="N1994" s="101"/>
      <c r="O1994" s="101"/>
      <c r="P1994" s="101"/>
      <c r="Q1994" s="101"/>
      <c r="R1994" s="101"/>
      <c r="S1994" s="101"/>
      <c r="T1994" s="101"/>
      <c r="U1994" s="101"/>
      <c r="V1994" s="101"/>
      <c r="W1994" s="101"/>
      <c r="X1994" s="101"/>
      <c r="Y1994" s="101"/>
      <c r="Z1994" s="101"/>
      <c r="AA1994" s="101"/>
      <c r="AB1994" s="101"/>
      <c r="AC1994" s="119"/>
      <c r="AD1994" s="119"/>
      <c r="AE1994" s="120"/>
      <c r="AF1994" s="119"/>
      <c r="AG1994" s="119"/>
      <c r="AH1994" s="120"/>
      <c r="AI1994" s="121"/>
      <c r="AJ1994" s="121"/>
      <c r="AK1994" s="121"/>
      <c r="AL1994" s="121"/>
      <c r="AM1994" s="122"/>
      <c r="AN1994" s="121"/>
      <c r="AP1994" s="87"/>
    </row>
    <row r="1995" spans="1:42">
      <c r="A1995" s="3"/>
      <c r="B1995" s="3"/>
      <c r="C1995" s="3"/>
      <c r="D1995" s="3"/>
      <c r="E1995" s="3"/>
      <c r="F1995" s="3"/>
      <c r="G1995" s="3"/>
      <c r="H1995" s="3"/>
      <c r="I1995" s="100"/>
      <c r="J1995" s="101"/>
      <c r="K1995" s="101"/>
      <c r="L1995" s="101"/>
      <c r="M1995" s="101"/>
      <c r="N1995" s="101"/>
      <c r="O1995" s="101"/>
      <c r="P1995" s="101"/>
      <c r="Q1995" s="101"/>
      <c r="R1995" s="101"/>
      <c r="S1995" s="101"/>
      <c r="T1995" s="101"/>
      <c r="U1995" s="101"/>
      <c r="V1995" s="101"/>
      <c r="W1995" s="101"/>
      <c r="X1995" s="101"/>
      <c r="Y1995" s="101"/>
      <c r="Z1995" s="101"/>
      <c r="AA1995" s="101"/>
      <c r="AB1995" s="101"/>
      <c r="AC1995" s="119"/>
      <c r="AD1995" s="119"/>
      <c r="AE1995" s="120"/>
      <c r="AF1995" s="119"/>
      <c r="AG1995" s="119"/>
      <c r="AH1995" s="120"/>
      <c r="AI1995" s="121"/>
      <c r="AJ1995" s="121"/>
      <c r="AK1995" s="121"/>
      <c r="AL1995" s="121"/>
      <c r="AM1995" s="122"/>
      <c r="AN1995" s="121"/>
      <c r="AP1995" s="87"/>
    </row>
    <row r="1996" spans="1:42">
      <c r="A1996" s="3"/>
      <c r="B1996" s="3"/>
      <c r="C1996" s="3"/>
      <c r="D1996" s="3"/>
      <c r="E1996" s="3"/>
      <c r="F1996" s="3"/>
      <c r="G1996" s="3"/>
      <c r="H1996" s="3"/>
      <c r="I1996" s="100"/>
      <c r="J1996" s="101"/>
      <c r="K1996" s="101"/>
      <c r="L1996" s="101"/>
      <c r="M1996" s="101"/>
      <c r="N1996" s="101"/>
      <c r="O1996" s="101"/>
      <c r="P1996" s="101"/>
      <c r="Q1996" s="101"/>
      <c r="R1996" s="101"/>
      <c r="S1996" s="101"/>
      <c r="T1996" s="101"/>
      <c r="U1996" s="101"/>
      <c r="V1996" s="101"/>
      <c r="W1996" s="101"/>
      <c r="X1996" s="101"/>
      <c r="Y1996" s="101"/>
      <c r="Z1996" s="101"/>
      <c r="AA1996" s="101"/>
      <c r="AB1996" s="101"/>
      <c r="AC1996" s="119"/>
      <c r="AD1996" s="119"/>
      <c r="AE1996" s="120"/>
      <c r="AF1996" s="119"/>
      <c r="AG1996" s="119"/>
      <c r="AH1996" s="120"/>
      <c r="AI1996" s="121"/>
      <c r="AJ1996" s="121"/>
      <c r="AK1996" s="121"/>
      <c r="AL1996" s="121"/>
      <c r="AM1996" s="122"/>
      <c r="AN1996" s="121"/>
      <c r="AP1996" s="87"/>
    </row>
    <row r="1997" spans="1:42">
      <c r="A1997" s="3"/>
      <c r="B1997" s="3"/>
      <c r="C1997" s="3"/>
      <c r="D1997" s="3"/>
      <c r="E1997" s="3"/>
      <c r="F1997" s="3"/>
      <c r="G1997" s="3"/>
      <c r="H1997" s="3"/>
      <c r="I1997" s="100"/>
      <c r="J1997" s="101"/>
      <c r="K1997" s="101"/>
      <c r="L1997" s="101"/>
      <c r="M1997" s="101"/>
      <c r="N1997" s="101"/>
      <c r="O1997" s="101"/>
      <c r="P1997" s="101"/>
      <c r="Q1997" s="101"/>
      <c r="R1997" s="101"/>
      <c r="S1997" s="101"/>
      <c r="T1997" s="101"/>
      <c r="U1997" s="101"/>
      <c r="V1997" s="101"/>
      <c r="W1997" s="101"/>
      <c r="X1997" s="101"/>
      <c r="Y1997" s="101"/>
      <c r="Z1997" s="101"/>
      <c r="AA1997" s="101"/>
      <c r="AB1997" s="101"/>
      <c r="AC1997" s="119"/>
      <c r="AD1997" s="119"/>
      <c r="AE1997" s="120"/>
      <c r="AF1997" s="119"/>
      <c r="AG1997" s="119"/>
      <c r="AH1997" s="120"/>
      <c r="AI1997" s="121"/>
      <c r="AJ1997" s="121"/>
      <c r="AK1997" s="121"/>
      <c r="AL1997" s="121"/>
      <c r="AM1997" s="122"/>
      <c r="AN1997" s="121"/>
      <c r="AP1997" s="87"/>
    </row>
    <row r="1998" spans="1:42">
      <c r="A1998" s="3"/>
      <c r="B1998" s="3"/>
      <c r="C1998" s="3"/>
      <c r="D1998" s="3"/>
      <c r="E1998" s="3"/>
      <c r="F1998" s="3"/>
      <c r="G1998" s="3"/>
      <c r="H1998" s="3"/>
      <c r="I1998" s="100"/>
      <c r="J1998" s="101"/>
      <c r="K1998" s="101"/>
      <c r="L1998" s="101"/>
      <c r="M1998" s="101"/>
      <c r="N1998" s="101"/>
      <c r="O1998" s="101"/>
      <c r="P1998" s="101"/>
      <c r="Q1998" s="101"/>
      <c r="R1998" s="101"/>
      <c r="S1998" s="101"/>
      <c r="T1998" s="101"/>
      <c r="U1998" s="101"/>
      <c r="V1998" s="101"/>
      <c r="W1998" s="101"/>
      <c r="X1998" s="101"/>
      <c r="Y1998" s="101"/>
      <c r="Z1998" s="101"/>
      <c r="AA1998" s="101"/>
      <c r="AB1998" s="101"/>
      <c r="AC1998" s="119"/>
      <c r="AD1998" s="119"/>
      <c r="AE1998" s="120"/>
      <c r="AF1998" s="119"/>
      <c r="AG1998" s="119"/>
      <c r="AH1998" s="120"/>
      <c r="AI1998" s="121"/>
      <c r="AJ1998" s="121"/>
      <c r="AK1998" s="121"/>
      <c r="AL1998" s="121"/>
      <c r="AM1998" s="122"/>
      <c r="AN1998" s="121"/>
      <c r="AP1998" s="87"/>
    </row>
    <row r="1999" spans="1:42">
      <c r="A1999" s="3"/>
      <c r="B1999" s="3"/>
      <c r="C1999" s="3"/>
      <c r="D1999" s="3"/>
      <c r="E1999" s="3"/>
      <c r="F1999" s="3"/>
      <c r="G1999" s="3"/>
      <c r="H1999" s="3"/>
      <c r="I1999" s="100"/>
      <c r="J1999" s="101"/>
      <c r="K1999" s="101"/>
      <c r="L1999" s="101"/>
      <c r="M1999" s="101"/>
      <c r="N1999" s="101"/>
      <c r="O1999" s="101"/>
      <c r="P1999" s="101"/>
      <c r="Q1999" s="101"/>
      <c r="R1999" s="101"/>
      <c r="S1999" s="101"/>
      <c r="T1999" s="101"/>
      <c r="U1999" s="101"/>
      <c r="V1999" s="101"/>
      <c r="W1999" s="101"/>
      <c r="X1999" s="101"/>
      <c r="Y1999" s="101"/>
      <c r="Z1999" s="101"/>
      <c r="AA1999" s="101"/>
      <c r="AB1999" s="101"/>
      <c r="AC1999" s="119"/>
      <c r="AD1999" s="119"/>
      <c r="AE1999" s="120"/>
      <c r="AF1999" s="119"/>
      <c r="AG1999" s="119"/>
      <c r="AH1999" s="120"/>
      <c r="AI1999" s="121"/>
      <c r="AJ1999" s="121"/>
      <c r="AK1999" s="121"/>
      <c r="AL1999" s="121"/>
      <c r="AM1999" s="122"/>
      <c r="AN1999" s="121"/>
      <c r="AP1999" s="87"/>
    </row>
    <row r="2000" spans="1:42">
      <c r="A2000" s="71" t="s">
        <v>99</v>
      </c>
      <c r="B2000" s="72" t="s">
        <v>44</v>
      </c>
      <c r="C2000" s="71" t="s">
        <v>45</v>
      </c>
      <c r="D2000" s="72" t="s">
        <v>46</v>
      </c>
      <c r="E2000" s="71" t="s">
        <v>47</v>
      </c>
      <c r="F2000" s="71" t="s">
        <v>111</v>
      </c>
      <c r="G2000" s="77"/>
      <c r="H2000" s="72" t="str">
        <f>CONCATENATE(A2000," ",B2000," ",C2000," ",D2000," ",E2000," ",F2000)</f>
        <v>ACC Isobutane 50 Hz 230V VSD HKK70VSD</v>
      </c>
      <c r="I2000" s="91"/>
      <c r="J2000" s="92"/>
      <c r="K2000" s="92"/>
      <c r="L2000" s="92"/>
      <c r="M2000" s="92"/>
      <c r="N2000" s="92"/>
      <c r="O2000" s="92"/>
      <c r="P2000" s="92"/>
      <c r="Q2000" s="92"/>
      <c r="R2000" s="92"/>
      <c r="S2000" s="92"/>
      <c r="T2000" s="92"/>
      <c r="U2000" s="92"/>
      <c r="V2000" s="92"/>
      <c r="W2000" s="92"/>
      <c r="X2000" s="92"/>
      <c r="Y2000" s="92"/>
      <c r="Z2000" s="92"/>
      <c r="AA2000" s="92"/>
      <c r="AB2000" s="92"/>
      <c r="AC2000" s="119"/>
      <c r="AD2000" s="119"/>
      <c r="AE2000" s="120"/>
      <c r="AF2000" s="119"/>
      <c r="AG2000" s="119"/>
      <c r="AH2000" s="120"/>
      <c r="AI2000" s="121"/>
      <c r="AJ2000" s="121"/>
      <c r="AK2000" s="121"/>
      <c r="AL2000" s="121"/>
      <c r="AM2000" s="122"/>
      <c r="AN2000" s="121"/>
      <c r="AP2000" s="87"/>
    </row>
    <row r="2001" spans="1:42">
      <c r="A2001" s="71"/>
      <c r="B2001" s="72"/>
      <c r="C2001" s="71"/>
      <c r="D2001" s="72"/>
      <c r="E2001" s="71"/>
      <c r="F2001" s="72"/>
      <c r="G2001" s="77">
        <v>1400</v>
      </c>
      <c r="H2001" s="72"/>
      <c r="I2001" s="91">
        <v>262.85945308080738</v>
      </c>
      <c r="J2001" s="92">
        <v>8.6743449899719636</v>
      </c>
      <c r="K2001" s="92">
        <v>-3.3984086665982489</v>
      </c>
      <c r="L2001" s="92">
        <v>0.10621479176386604</v>
      </c>
      <c r="M2001" s="92">
        <v>-6.8420276214190265E-2</v>
      </c>
      <c r="N2001" s="92">
        <v>2.9067862886285913E-2</v>
      </c>
      <c r="O2001" s="92">
        <v>3.9191178828860802E-5</v>
      </c>
      <c r="P2001" s="92">
        <v>-9.6569866673308028E-4</v>
      </c>
      <c r="Q2001" s="92">
        <v>2.9703720079536414E-5</v>
      </c>
      <c r="R2001" s="92">
        <v>-1.7199251305675663E-4</v>
      </c>
      <c r="S2001" s="92">
        <v>49.014340915250735</v>
      </c>
      <c r="T2001" s="92">
        <v>2.4260992274744613</v>
      </c>
      <c r="U2001" s="92">
        <v>-0.11295894343734875</v>
      </c>
      <c r="V2001" s="92">
        <v>4.9977793966515693E-2</v>
      </c>
      <c r="W2001" s="92">
        <v>-3.4542935650080195E-2</v>
      </c>
      <c r="X2001" s="92">
        <v>1.484415323024197E-3</v>
      </c>
      <c r="Y2001" s="92">
        <v>1.1601135169917522E-5</v>
      </c>
      <c r="Z2001" s="92">
        <v>-9.8094410048023923E-4</v>
      </c>
      <c r="AA2001" s="92">
        <v>3.1041698977689486E-5</v>
      </c>
      <c r="AB2001" s="92">
        <v>-4.1576101001308027E-6</v>
      </c>
      <c r="AC2001" s="119"/>
      <c r="AD2001" s="119"/>
      <c r="AE2001" s="120"/>
      <c r="AF2001" s="119"/>
      <c r="AG2001" s="119"/>
      <c r="AH2001" s="120"/>
      <c r="AI2001" s="121"/>
      <c r="AJ2001" s="121"/>
      <c r="AK2001" s="121"/>
      <c r="AL2001" s="121"/>
      <c r="AM2001" s="122"/>
      <c r="AN2001" s="121"/>
      <c r="AP2001" s="87"/>
    </row>
    <row r="2002" spans="1:42">
      <c r="A2002" s="71"/>
      <c r="B2002" s="72"/>
      <c r="C2002" s="71"/>
      <c r="D2002" s="72"/>
      <c r="E2002" s="71"/>
      <c r="F2002" s="72"/>
      <c r="G2002" s="77">
        <v>1600</v>
      </c>
      <c r="H2002" s="72"/>
      <c r="I2002" s="91">
        <v>294.97919723730416</v>
      </c>
      <c r="J2002" s="92">
        <v>10.385115064693714</v>
      </c>
      <c r="K2002" s="92">
        <v>-3.630237242432055</v>
      </c>
      <c r="L2002" s="92">
        <v>0.1326378870882311</v>
      </c>
      <c r="M2002" s="92">
        <v>-9.2986459425679777E-2</v>
      </c>
      <c r="N2002" s="92">
        <v>2.5083767261672836E-2</v>
      </c>
      <c r="O2002" s="92">
        <v>3.8603048665794115E-5</v>
      </c>
      <c r="P2002" s="92">
        <v>-1.4196198370465447E-3</v>
      </c>
      <c r="Q2002" s="92">
        <v>2.6828317880112181E-5</v>
      </c>
      <c r="R2002" s="92">
        <v>-1.4262403127109449E-4</v>
      </c>
      <c r="S2002" s="92">
        <v>49.880338426734156</v>
      </c>
      <c r="T2002" s="92">
        <v>2.2199789748848069</v>
      </c>
      <c r="U2002" s="92">
        <v>-2.1669672832590595E-3</v>
      </c>
      <c r="V2002" s="92">
        <v>4.8008222930291916E-2</v>
      </c>
      <c r="W2002" s="92">
        <v>-2.8695000253159214E-2</v>
      </c>
      <c r="X2002" s="92">
        <v>1.3471225393748938E-3</v>
      </c>
      <c r="Y2002" s="92">
        <v>1.2230069466687759E-5</v>
      </c>
      <c r="Z2002" s="92">
        <v>-9.4068652264114937E-4</v>
      </c>
      <c r="AA2002" s="92">
        <v>5.2485869655448772E-5</v>
      </c>
      <c r="AB2002" s="92">
        <v>7.5534413053487154E-7</v>
      </c>
      <c r="AC2002" s="119"/>
      <c r="AD2002" s="119"/>
      <c r="AE2002" s="120"/>
      <c r="AF2002" s="119"/>
      <c r="AG2002" s="119"/>
      <c r="AH2002" s="120"/>
      <c r="AI2002" s="121"/>
      <c r="AJ2002" s="121"/>
      <c r="AK2002" s="121"/>
      <c r="AL2002" s="121"/>
      <c r="AM2002" s="122"/>
      <c r="AN2002" s="121"/>
      <c r="AP2002" s="87"/>
    </row>
    <row r="2003" spans="1:42">
      <c r="A2003" s="71"/>
      <c r="B2003" s="72"/>
      <c r="C2003" s="71"/>
      <c r="D2003" s="72"/>
      <c r="E2003" s="71"/>
      <c r="F2003" s="72"/>
      <c r="G2003" s="77">
        <v>1800</v>
      </c>
      <c r="H2003" s="72"/>
      <c r="I2003" s="91">
        <v>329.27344476572085</v>
      </c>
      <c r="J2003" s="92">
        <v>11.251213741405088</v>
      </c>
      <c r="K2003" s="92">
        <v>-3.8765894008109019</v>
      </c>
      <c r="L2003" s="92">
        <v>0.13410247978913725</v>
      </c>
      <c r="M2003" s="92">
        <v>-9.3785783216481899E-2</v>
      </c>
      <c r="N2003" s="92">
        <v>2.4826919224046614E-2</v>
      </c>
      <c r="O2003" s="92">
        <v>3.850766225648857E-5</v>
      </c>
      <c r="P2003" s="92">
        <v>-1.2712809386405501E-3</v>
      </c>
      <c r="Q2003" s="92">
        <v>2.6697477920358326E-5</v>
      </c>
      <c r="R2003" s="92">
        <v>-1.3847729934288462E-4</v>
      </c>
      <c r="S2003" s="92">
        <v>50.511897223952587</v>
      </c>
      <c r="T2003" s="92">
        <v>2.2834421810151597</v>
      </c>
      <c r="U2003" s="92">
        <v>-3.0093373660295061E-3</v>
      </c>
      <c r="V2003" s="92">
        <v>5.8031135797610975E-2</v>
      </c>
      <c r="W2003" s="92">
        <v>-2.4856493542400417E-2</v>
      </c>
      <c r="X2003" s="92">
        <v>5.5541236997099794E-3</v>
      </c>
      <c r="Y2003" s="92">
        <v>-5.3589028697327299E-6</v>
      </c>
      <c r="Z2003" s="92">
        <v>-1.1590454147505521E-3</v>
      </c>
      <c r="AA2003" s="92">
        <v>-2.1015577120784967E-5</v>
      </c>
      <c r="AB2003" s="92">
        <v>-4.0964540622679351E-5</v>
      </c>
      <c r="AC2003" s="119"/>
      <c r="AD2003" s="119"/>
      <c r="AE2003" s="120"/>
      <c r="AF2003" s="119"/>
      <c r="AG2003" s="119"/>
      <c r="AH2003" s="120"/>
      <c r="AI2003" s="121"/>
      <c r="AJ2003" s="121"/>
      <c r="AK2003" s="121"/>
      <c r="AL2003" s="121"/>
      <c r="AM2003" s="122"/>
      <c r="AN2003" s="121"/>
      <c r="AP2003" s="87"/>
    </row>
    <row r="2004" spans="1:42">
      <c r="A2004" s="71"/>
      <c r="B2004" s="72"/>
      <c r="C2004" s="71"/>
      <c r="D2004" s="72"/>
      <c r="E2004" s="71"/>
      <c r="F2004" s="72"/>
      <c r="G2004" s="77">
        <v>2400</v>
      </c>
      <c r="I2004" s="91">
        <v>428.07357601249436</v>
      </c>
      <c r="J2004" s="92">
        <v>13.935796019033557</v>
      </c>
      <c r="K2004" s="92">
        <v>-4.4782353677447926</v>
      </c>
      <c r="L2004" s="92">
        <v>0.13300885090371745</v>
      </c>
      <c r="M2004" s="92">
        <v>-8.8778189115025566E-2</v>
      </c>
      <c r="N2004" s="92">
        <v>2.3821375191858399E-2</v>
      </c>
      <c r="O2004" s="92">
        <v>3.852023521859014E-5</v>
      </c>
      <c r="P2004" s="92">
        <v>-4.821395055132224E-4</v>
      </c>
      <c r="Q2004" s="92">
        <v>2.6686917171839919E-5</v>
      </c>
      <c r="R2004" s="92">
        <v>-1.2998367372221635E-4</v>
      </c>
      <c r="S2004" s="92">
        <v>57.904930984334634</v>
      </c>
      <c r="T2004" s="92">
        <v>0.52378685449723328</v>
      </c>
      <c r="U2004" s="92">
        <v>-2.9203627719356961E-3</v>
      </c>
      <c r="V2004" s="92">
        <v>4.4582655286895239E-3</v>
      </c>
      <c r="W2004" s="92">
        <v>1.9540839516017268E-2</v>
      </c>
      <c r="X2004" s="92">
        <v>1.431904672548326E-2</v>
      </c>
      <c r="Y2004" s="92">
        <v>-1.887743349381783E-5</v>
      </c>
      <c r="Z2004" s="92">
        <v>-2.2699613894903134E-5</v>
      </c>
      <c r="AA2004" s="92">
        <v>-8.3222007750334541E-6</v>
      </c>
      <c r="AB2004" s="92">
        <v>-9.6708892642348001E-5</v>
      </c>
      <c r="AC2004" s="119"/>
      <c r="AD2004" s="119"/>
      <c r="AE2004" s="120"/>
      <c r="AF2004" s="119"/>
      <c r="AG2004" s="119"/>
      <c r="AH2004" s="120"/>
      <c r="AI2004" s="121"/>
      <c r="AJ2004" s="121"/>
      <c r="AK2004" s="121"/>
      <c r="AL2004" s="121"/>
      <c r="AM2004" s="122"/>
      <c r="AN2004" s="121"/>
      <c r="AP2004" s="87"/>
    </row>
    <row r="2005" spans="1:42">
      <c r="A2005" s="71"/>
      <c r="B2005" s="72"/>
      <c r="C2005" s="71"/>
      <c r="D2005" s="72"/>
      <c r="E2005" s="71"/>
      <c r="F2005" s="72"/>
      <c r="G2005" s="77">
        <v>3000</v>
      </c>
      <c r="I2005" s="91">
        <v>511.59705308092538</v>
      </c>
      <c r="J2005" s="92">
        <v>17.3010360295598</v>
      </c>
      <c r="K2005" s="92">
        <v>-5.0575975646646807</v>
      </c>
      <c r="L2005" s="92">
        <v>0.19571027948640812</v>
      </c>
      <c r="M2005" s="92">
        <v>-0.12276577152855826</v>
      </c>
      <c r="N2005" s="92">
        <v>2.3554554659367153E-2</v>
      </c>
      <c r="O2005" s="92">
        <v>3.8024703538596474E-5</v>
      </c>
      <c r="P2005" s="92">
        <v>-1.558545380873582E-3</v>
      </c>
      <c r="Q2005" s="92">
        <v>2.548677343942894E-5</v>
      </c>
      <c r="R2005" s="92">
        <v>-1.1949289555731693E-4</v>
      </c>
      <c r="S2005" s="92">
        <v>67.632724660310885</v>
      </c>
      <c r="T2005" s="92">
        <v>-2.1723824753776322E-2</v>
      </c>
      <c r="U2005" s="92">
        <v>-2.7584521117064299E-3</v>
      </c>
      <c r="V2005" s="92">
        <v>4.1919719631768867E-4</v>
      </c>
      <c r="W2005" s="92">
        <v>3.2704377216130842E-2</v>
      </c>
      <c r="X2005" s="92">
        <v>2.1883913655034615E-2</v>
      </c>
      <c r="Y2005" s="92">
        <v>-8.34720967563686E-5</v>
      </c>
      <c r="Z2005" s="92">
        <v>-1.37333111002489E-4</v>
      </c>
      <c r="AA2005" s="92">
        <v>-1.3737742422466878E-5</v>
      </c>
      <c r="AB2005" s="92">
        <v>-1.4849276143505204E-4</v>
      </c>
      <c r="AC2005" s="119"/>
      <c r="AD2005" s="119"/>
      <c r="AE2005" s="120"/>
      <c r="AF2005" s="119"/>
      <c r="AG2005" s="119"/>
      <c r="AH2005" s="120"/>
      <c r="AI2005" s="121"/>
      <c r="AJ2005" s="121"/>
      <c r="AK2005" s="121"/>
      <c r="AL2005" s="121"/>
      <c r="AM2005" s="122"/>
      <c r="AN2005" s="121"/>
      <c r="AP2005" s="87"/>
    </row>
    <row r="2006" spans="1:42">
      <c r="A2006" s="71"/>
      <c r="B2006" s="72"/>
      <c r="C2006" s="71"/>
      <c r="D2006" s="72"/>
      <c r="E2006" s="71"/>
      <c r="F2006" s="72"/>
      <c r="G2006" s="77">
        <v>4000</v>
      </c>
      <c r="I2006" s="91">
        <v>586.84283072339861</v>
      </c>
      <c r="J2006" s="92">
        <v>14.621120625307057</v>
      </c>
      <c r="K2006" s="92">
        <v>-4.8175266319320516</v>
      </c>
      <c r="L2006" s="92">
        <v>8.1459154350299656E-2</v>
      </c>
      <c r="M2006" s="92">
        <v>-1.7699515533844749E-2</v>
      </c>
      <c r="N2006" s="92">
        <v>2.3873420980421219E-2</v>
      </c>
      <c r="O2006" s="92">
        <v>3.8334144533551362E-5</v>
      </c>
      <c r="P2006" s="92">
        <v>8.1270393686394234E-4</v>
      </c>
      <c r="Q2006" s="92">
        <v>2.5144982689725835E-5</v>
      </c>
      <c r="R2006" s="92">
        <v>-1.1220134672644074E-4</v>
      </c>
      <c r="S2006" s="92">
        <v>62.376344960176702</v>
      </c>
      <c r="T2006" s="92">
        <v>-0.58612502434197811</v>
      </c>
      <c r="U2006" s="92">
        <v>1.6742757142063749</v>
      </c>
      <c r="V2006" s="92">
        <v>-5.7329989521686262E-5</v>
      </c>
      <c r="W2006" s="92">
        <v>5.0374324576742638E-2</v>
      </c>
      <c r="X2006" s="92">
        <v>-4.5828141041985267E-3</v>
      </c>
      <c r="Y2006" s="92">
        <v>1.7411593833345864E-4</v>
      </c>
      <c r="Z2006" s="92">
        <v>-1.1782367520439308E-4</v>
      </c>
      <c r="AA2006" s="92">
        <v>3.4461171979636133E-5</v>
      </c>
      <c r="AB2006" s="92">
        <v>3.4102079396329599E-5</v>
      </c>
      <c r="AC2006" s="119"/>
      <c r="AD2006" s="119"/>
      <c r="AE2006" s="120"/>
      <c r="AF2006" s="119"/>
      <c r="AG2006" s="119"/>
      <c r="AH2006" s="120"/>
      <c r="AI2006" s="121"/>
      <c r="AJ2006" s="121"/>
      <c r="AK2006" s="121"/>
      <c r="AL2006" s="121"/>
      <c r="AM2006" s="122"/>
      <c r="AN2006" s="121"/>
      <c r="AP2006" s="87"/>
    </row>
    <row r="2007" spans="1:42">
      <c r="A2007" s="71" t="s">
        <v>99</v>
      </c>
      <c r="B2007" s="72" t="s">
        <v>44</v>
      </c>
      <c r="C2007" s="71" t="s">
        <v>45</v>
      </c>
      <c r="D2007" s="72" t="s">
        <v>46</v>
      </c>
      <c r="E2007" s="71" t="s">
        <v>47</v>
      </c>
      <c r="F2007" s="71" t="s">
        <v>114</v>
      </c>
      <c r="G2007" s="77"/>
      <c r="H2007" s="72" t="str">
        <f>CONCATENATE(A2007," ",B2007," ",C2007," ",D2007," ",E2007," ",F2007)</f>
        <v>ACC Isobutane 50 Hz 230V VSD HKK95VSD</v>
      </c>
      <c r="I2007" s="91"/>
      <c r="J2007" s="92"/>
      <c r="K2007" s="92"/>
      <c r="L2007" s="92"/>
      <c r="M2007" s="92"/>
      <c r="N2007" s="92"/>
      <c r="O2007" s="92"/>
      <c r="P2007" s="92"/>
      <c r="Q2007" s="92"/>
      <c r="R2007" s="92"/>
      <c r="S2007" s="92"/>
      <c r="T2007" s="92"/>
      <c r="U2007" s="92"/>
      <c r="V2007" s="92"/>
      <c r="W2007" s="92"/>
      <c r="X2007" s="92"/>
      <c r="Y2007" s="92"/>
      <c r="Z2007" s="92"/>
      <c r="AA2007" s="92"/>
      <c r="AB2007" s="92"/>
      <c r="AC2007" s="119"/>
      <c r="AD2007" s="119"/>
      <c r="AE2007" s="120"/>
      <c r="AF2007" s="119"/>
      <c r="AG2007" s="119"/>
      <c r="AH2007" s="120"/>
      <c r="AI2007" s="121"/>
      <c r="AJ2007" s="121"/>
      <c r="AK2007" s="121"/>
      <c r="AL2007" s="121"/>
      <c r="AM2007" s="122"/>
      <c r="AN2007" s="121"/>
      <c r="AP2007" s="87"/>
    </row>
    <row r="2008" spans="1:42">
      <c r="A2008" s="71"/>
      <c r="B2008" s="72"/>
      <c r="C2008" s="71"/>
      <c r="D2008" s="72"/>
      <c r="E2008" s="71"/>
      <c r="F2008" s="72"/>
      <c r="G2008" s="77">
        <v>1400</v>
      </c>
      <c r="H2008" s="3"/>
      <c r="I2008" s="91">
        <v>325.92351101596273</v>
      </c>
      <c r="J2008" s="92">
        <v>11.527911457974371</v>
      </c>
      <c r="K2008" s="92">
        <v>-2.8577728859920417</v>
      </c>
      <c r="L2008" s="92">
        <v>0.13365290197647658</v>
      </c>
      <c r="M2008" s="92">
        <v>-9.6552947286688576E-2</v>
      </c>
      <c r="N2008" s="92">
        <v>3.1700433007690034E-3</v>
      </c>
      <c r="O2008" s="92">
        <v>-1.1788122335196372E-5</v>
      </c>
      <c r="P2008" s="92">
        <v>-1.3839789855205939E-3</v>
      </c>
      <c r="Q2008" s="92">
        <v>-6.3208830749568763E-6</v>
      </c>
      <c r="R2008" s="92">
        <v>-8.724172877952061E-7</v>
      </c>
      <c r="S2008" s="92">
        <v>53.392745195762778</v>
      </c>
      <c r="T2008" s="92">
        <v>1.7471597175963907</v>
      </c>
      <c r="U2008" s="92">
        <v>-7.8274936360049993E-2</v>
      </c>
      <c r="V2008" s="92">
        <v>4.6127333893065191E-2</v>
      </c>
      <c r="W2008" s="92">
        <v>-4.074077429365117E-3</v>
      </c>
      <c r="X2008" s="92">
        <v>1.289676895537102E-2</v>
      </c>
      <c r="Y2008" s="92">
        <v>-4.4512069296067635E-6</v>
      </c>
      <c r="Z2008" s="92">
        <v>-8.6490951896600339E-4</v>
      </c>
      <c r="AA2008" s="92">
        <v>-8.6522182277297256E-5</v>
      </c>
      <c r="AB2008" s="92">
        <v>-9.9545255997186038E-5</v>
      </c>
      <c r="AC2008" s="119">
        <v>1.3562580896378982E-3</v>
      </c>
      <c r="AD2008" s="119">
        <v>3.6423300924017681E-2</v>
      </c>
      <c r="AE2008" s="120">
        <v>7.5910698460972981E-2</v>
      </c>
      <c r="AF2008" s="119">
        <v>3.0772160306542029E-3</v>
      </c>
      <c r="AG2008" s="119">
        <v>9.3743052970590685E-2</v>
      </c>
      <c r="AH2008" s="120"/>
      <c r="AI2008" s="121"/>
      <c r="AJ2008" s="121"/>
      <c r="AK2008" s="121"/>
      <c r="AL2008" s="121"/>
      <c r="AM2008" s="122"/>
      <c r="AN2008" s="121"/>
      <c r="AP2008" s="87"/>
    </row>
    <row r="2009" spans="1:42">
      <c r="A2009" s="71"/>
      <c r="B2009" s="72"/>
      <c r="C2009" s="71"/>
      <c r="D2009" s="72"/>
      <c r="E2009" s="71"/>
      <c r="F2009" s="72"/>
      <c r="G2009" s="77">
        <v>1600</v>
      </c>
      <c r="H2009" s="3"/>
      <c r="I2009" s="91">
        <v>413.40357558042496</v>
      </c>
      <c r="J2009" s="92">
        <v>15.138962771483193</v>
      </c>
      <c r="K2009" s="92">
        <v>-4.7228762505233588</v>
      </c>
      <c r="L2009" s="92">
        <v>0.19279963044205151</v>
      </c>
      <c r="M2009" s="92">
        <v>-0.1475020859299106</v>
      </c>
      <c r="N2009" s="92">
        <v>2.4052450477378622E-2</v>
      </c>
      <c r="O2009" s="92">
        <v>3.8111067357654537E-5</v>
      </c>
      <c r="P2009" s="92">
        <v>-2.2796868753337737E-3</v>
      </c>
      <c r="Q2009" s="92">
        <v>2.6105417907471397E-5</v>
      </c>
      <c r="R2009" s="92">
        <v>-1.3101167661077316E-4</v>
      </c>
      <c r="S2009" s="92">
        <v>85.801325158213231</v>
      </c>
      <c r="T2009" s="92">
        <v>5.700981515495319</v>
      </c>
      <c r="U2009" s="92">
        <v>0.3015971497879491</v>
      </c>
      <c r="V2009" s="92">
        <v>0.21916642073792678</v>
      </c>
      <c r="W2009" s="92">
        <v>8.984837254790887E-3</v>
      </c>
      <c r="X2009" s="92">
        <v>8.298874065719131E-3</v>
      </c>
      <c r="Y2009" s="92">
        <v>2.550511685979113E-3</v>
      </c>
      <c r="Z2009" s="92">
        <v>-4.723799402285287E-4</v>
      </c>
      <c r="AA2009" s="92">
        <v>-4.2217168354539181E-6</v>
      </c>
      <c r="AB2009" s="92">
        <v>-5.4750839061037111E-5</v>
      </c>
      <c r="AC2009" s="119">
        <v>4.438445763442548E-3</v>
      </c>
      <c r="AD2009" s="119">
        <v>0.11045326267220959</v>
      </c>
      <c r="AE2009" s="120">
        <v>0.13705718204545292</v>
      </c>
      <c r="AF2009" s="119">
        <v>0.30546190594381151</v>
      </c>
      <c r="AG2009" s="119">
        <v>10.477990410387978</v>
      </c>
      <c r="AH2009" s="120"/>
      <c r="AI2009" s="121"/>
      <c r="AJ2009" s="121"/>
      <c r="AK2009" s="121"/>
      <c r="AL2009" s="121"/>
      <c r="AM2009" s="122"/>
      <c r="AN2009" s="121"/>
      <c r="AP2009" s="87"/>
    </row>
    <row r="2010" spans="1:42">
      <c r="A2010" s="71"/>
      <c r="B2010" s="72"/>
      <c r="C2010" s="71"/>
      <c r="D2010" s="72"/>
      <c r="E2010" s="71"/>
      <c r="F2010" s="72"/>
      <c r="G2010" s="77">
        <v>1800</v>
      </c>
      <c r="H2010" s="3"/>
      <c r="I2010" s="91">
        <v>426.17577450514068</v>
      </c>
      <c r="J2010" s="92">
        <v>12.640935166146699</v>
      </c>
      <c r="K2010" s="92">
        <v>-4.1663590951111988</v>
      </c>
      <c r="L2010" s="92">
        <v>0.10094088184046947</v>
      </c>
      <c r="M2010" s="92">
        <v>-7.0506108792417449E-2</v>
      </c>
      <c r="N2010" s="92">
        <v>1.9100342896191551E-2</v>
      </c>
      <c r="O2010" s="92">
        <v>2.2340962741987249E-5</v>
      </c>
      <c r="P2010" s="92">
        <v>-1.3363739100929174E-4</v>
      </c>
      <c r="Q2010" s="92">
        <v>3.4017373831631086E-5</v>
      </c>
      <c r="R2010" s="92">
        <v>-9.4919371262806987E-5</v>
      </c>
      <c r="S2010" s="92">
        <v>48.133237857924939</v>
      </c>
      <c r="T2010" s="92">
        <v>0.83739072870202858</v>
      </c>
      <c r="U2010" s="92">
        <v>0.82015006584599159</v>
      </c>
      <c r="V2010" s="92">
        <v>1.9286966380755596E-2</v>
      </c>
      <c r="W2010" s="92">
        <v>2.1613470977045586E-2</v>
      </c>
      <c r="X2010" s="92">
        <v>5.6194337255478593E-4</v>
      </c>
      <c r="Y2010" s="92">
        <v>2.8474969741916011E-6</v>
      </c>
      <c r="Z2010" s="92">
        <v>-1.9046579388261905E-4</v>
      </c>
      <c r="AA2010" s="92">
        <v>-2.636658316626242E-6</v>
      </c>
      <c r="AB2010" s="92">
        <v>-3.3048997813903164E-6</v>
      </c>
      <c r="AC2010" s="119">
        <v>1.6968709228023092E-2</v>
      </c>
      <c r="AD2010" s="119">
        <v>0.16536928443167428</v>
      </c>
      <c r="AE2010" s="120">
        <v>0.31793726314877802</v>
      </c>
      <c r="AF2010" s="119">
        <v>6.6794828842985988E-4</v>
      </c>
      <c r="AG2010" s="119">
        <v>1.7531470948974032E-2</v>
      </c>
      <c r="AH2010" s="120"/>
      <c r="AI2010" s="121"/>
      <c r="AJ2010" s="121"/>
      <c r="AK2010" s="121"/>
      <c r="AL2010" s="121"/>
      <c r="AM2010" s="122"/>
      <c r="AN2010" s="121"/>
      <c r="AP2010" s="87"/>
    </row>
    <row r="2011" spans="1:42">
      <c r="A2011" s="71"/>
      <c r="B2011" s="72"/>
      <c r="C2011" s="71"/>
      <c r="D2011" s="72"/>
      <c r="E2011" s="71"/>
      <c r="F2011" s="72"/>
      <c r="G2011" s="77">
        <v>2400</v>
      </c>
      <c r="H2011" s="3"/>
      <c r="I2011" s="91">
        <v>579.13413502737251</v>
      </c>
      <c r="J2011" s="92">
        <v>19.611247235396306</v>
      </c>
      <c r="K2011" s="92">
        <v>-5.4580630673601238</v>
      </c>
      <c r="L2011" s="92">
        <v>0.1792697750657519</v>
      </c>
      <c r="M2011" s="92">
        <v>-0.15209818309602827</v>
      </c>
      <c r="N2011" s="92">
        <v>1.5104715879433859E-2</v>
      </c>
      <c r="O2011" s="92">
        <v>1.0561185380942972E-5</v>
      </c>
      <c r="P2011" s="92">
        <v>-9.2844710225216366E-4</v>
      </c>
      <c r="Q2011" s="92">
        <v>2.0548249144451008E-4</v>
      </c>
      <c r="R2011" s="92">
        <v>-4.4393687843871108E-5</v>
      </c>
      <c r="S2011" s="92">
        <v>50.651987633376713</v>
      </c>
      <c r="T2011" s="92">
        <v>-2.0715921643128357</v>
      </c>
      <c r="U2011" s="92">
        <v>1.3724285584167677</v>
      </c>
      <c r="V2011" s="92">
        <v>-7.6843768871396156E-2</v>
      </c>
      <c r="W2011" s="92">
        <v>8.992639139331636E-2</v>
      </c>
      <c r="X2011" s="92">
        <v>6.322343322661591E-4</v>
      </c>
      <c r="Y2011" s="92">
        <v>7.6646931499909526E-5</v>
      </c>
      <c r="Z2011" s="92">
        <v>1.8269641630413143E-3</v>
      </c>
      <c r="AA2011" s="92">
        <v>4.8621868536637685E-5</v>
      </c>
      <c r="AB2011" s="92">
        <v>3.1440399337204818E-6</v>
      </c>
      <c r="AC2011" s="119">
        <v>1.3766579164030285E-2</v>
      </c>
      <c r="AD2011" s="119">
        <v>0.11716388802397858</v>
      </c>
      <c r="AE2011" s="120">
        <v>0.28647078783303925</v>
      </c>
      <c r="AF2011" s="119">
        <v>1.9428596080255712E-3</v>
      </c>
      <c r="AG2011" s="119">
        <v>5.4480493306505756E-2</v>
      </c>
      <c r="AH2011" s="120"/>
      <c r="AI2011" s="121"/>
      <c r="AJ2011" s="121"/>
      <c r="AK2011" s="121"/>
      <c r="AL2011" s="121"/>
      <c r="AM2011" s="122"/>
      <c r="AN2011" s="121"/>
      <c r="AP2011" s="87"/>
    </row>
    <row r="2012" spans="1:42">
      <c r="A2012" s="71"/>
      <c r="B2012" s="72"/>
      <c r="C2012" s="71"/>
      <c r="D2012" s="72"/>
      <c r="E2012" s="71"/>
      <c r="F2012" s="72"/>
      <c r="G2012" s="77">
        <v>3000</v>
      </c>
      <c r="H2012" s="3"/>
      <c r="I2012" s="91">
        <v>576.45905113645711</v>
      </c>
      <c r="J2012" s="92">
        <v>16.71052213155739</v>
      </c>
      <c r="K2012" s="92">
        <v>-3.0206687929275509</v>
      </c>
      <c r="L2012" s="92">
        <v>0.14191480859303393</v>
      </c>
      <c r="M2012" s="92">
        <v>-2.9073115178990014E-2</v>
      </c>
      <c r="N2012" s="92">
        <v>-5.5162957035270917E-3</v>
      </c>
      <c r="O2012" s="92">
        <v>1.3069587097731774E-6</v>
      </c>
      <c r="P2012" s="92">
        <v>-5.7332335869992428E-5</v>
      </c>
      <c r="Q2012" s="92">
        <v>-2.9656630235317099E-4</v>
      </c>
      <c r="R2012" s="92">
        <v>1.5915443467216887E-5</v>
      </c>
      <c r="S2012" s="92">
        <v>157.28505419505342</v>
      </c>
      <c r="T2012" s="92">
        <v>7.2121957477845307</v>
      </c>
      <c r="U2012" s="92">
        <v>-0.12898970075421776</v>
      </c>
      <c r="V2012" s="92">
        <v>0.14199748541675825</v>
      </c>
      <c r="W2012" s="92">
        <v>-8.6993512759490438E-2</v>
      </c>
      <c r="X2012" s="92">
        <v>6.0303846373832635E-4</v>
      </c>
      <c r="Y2012" s="92">
        <v>4.0248856373401091E-5</v>
      </c>
      <c r="Z2012" s="92">
        <v>-2.6435876643589825E-3</v>
      </c>
      <c r="AA2012" s="92">
        <v>2.4931428063804735E-5</v>
      </c>
      <c r="AB2012" s="92">
        <v>-7.2696907097642678E-7</v>
      </c>
      <c r="AC2012" s="119">
        <v>9.0454643883928539E-3</v>
      </c>
      <c r="AD2012" s="119">
        <v>0.12807446577781254</v>
      </c>
      <c r="AE2012" s="120">
        <v>0.23068412462146171</v>
      </c>
      <c r="AF2012" s="119">
        <v>3.7592948882056504E-3</v>
      </c>
      <c r="AG2012" s="119">
        <v>0.11053444402995335</v>
      </c>
      <c r="AH2012" s="120"/>
      <c r="AI2012" s="121"/>
      <c r="AJ2012" s="121"/>
      <c r="AK2012" s="121"/>
      <c r="AL2012" s="121"/>
      <c r="AM2012" s="122"/>
      <c r="AN2012" s="121"/>
      <c r="AP2012" s="87"/>
    </row>
    <row r="2013" spans="1:42">
      <c r="A2013" s="71"/>
      <c r="B2013" s="72"/>
      <c r="C2013" s="71"/>
      <c r="D2013" s="72"/>
      <c r="E2013" s="71"/>
      <c r="F2013" s="72"/>
      <c r="G2013" s="77">
        <v>4000</v>
      </c>
      <c r="H2013" s="3"/>
      <c r="I2013" s="91">
        <v>706.18118659166373</v>
      </c>
      <c r="J2013" s="92">
        <v>19.245187407804686</v>
      </c>
      <c r="K2013" s="92">
        <v>-4.3684765206530463</v>
      </c>
      <c r="L2013" s="92">
        <v>0.22181606519125038</v>
      </c>
      <c r="M2013" s="92">
        <v>-5.207155574380299E-2</v>
      </c>
      <c r="N2013" s="92">
        <v>3.8884298570080107E-3</v>
      </c>
      <c r="O2013" s="92">
        <v>1.875251022639618E-5</v>
      </c>
      <c r="P2013" s="92">
        <v>-2.8012361942811787E-3</v>
      </c>
      <c r="Q2013" s="92">
        <v>-9.1320561410023816E-4</v>
      </c>
      <c r="R2013" s="92">
        <v>-1.0521699700828042E-4</v>
      </c>
      <c r="S2013" s="92">
        <v>160.70891149265901</v>
      </c>
      <c r="T2013" s="92">
        <v>5.8147356956346448</v>
      </c>
      <c r="U2013" s="92">
        <v>0.66668096386480324</v>
      </c>
      <c r="V2013" s="92">
        <v>0.13489557092465068</v>
      </c>
      <c r="W2013" s="92">
        <v>-5.2219671208147397E-2</v>
      </c>
      <c r="X2013" s="92">
        <v>1.4853655126047562E-3</v>
      </c>
      <c r="Y2013" s="92">
        <v>-1.0521632499731916E-5</v>
      </c>
      <c r="Z2013" s="92">
        <v>-2.7958725317059766E-3</v>
      </c>
      <c r="AA2013" s="92">
        <v>4.4045869067830561E-5</v>
      </c>
      <c r="AB2013" s="92">
        <v>-3.1307689916181968E-6</v>
      </c>
      <c r="AC2013" s="119">
        <v>2.2598171737593153E-2</v>
      </c>
      <c r="AD2013" s="119">
        <v>0.32806573807711487</v>
      </c>
      <c r="AE2013" s="120">
        <v>0.35512478800742997</v>
      </c>
      <c r="AF2013" s="119">
        <v>6.6947569956272871E-4</v>
      </c>
      <c r="AG2013" s="119">
        <v>2.0282623339971509E-2</v>
      </c>
      <c r="AH2013" s="120"/>
      <c r="AI2013" s="121"/>
      <c r="AJ2013" s="121"/>
      <c r="AK2013" s="121"/>
      <c r="AL2013" s="121"/>
      <c r="AM2013" s="122"/>
      <c r="AN2013" s="121"/>
      <c r="AP2013" s="87"/>
    </row>
    <row r="2014" spans="1:42">
      <c r="A2014" s="71" t="s">
        <v>99</v>
      </c>
      <c r="B2014" s="72" t="s">
        <v>44</v>
      </c>
      <c r="C2014" s="71" t="s">
        <v>45</v>
      </c>
      <c r="D2014" s="72" t="s">
        <v>46</v>
      </c>
      <c r="E2014" s="71" t="s">
        <v>47</v>
      </c>
      <c r="F2014" s="71" t="s">
        <v>117</v>
      </c>
      <c r="G2014" s="77"/>
      <c r="H2014" s="72" t="str">
        <f>CONCATENATE(A2014," ",B2014," ",C2014," ",D2014," ",E2014," ",F2014)</f>
        <v>ACC Isobutane 50 Hz 230V VSD HQT60FSD</v>
      </c>
      <c r="I2014" s="91"/>
      <c r="J2014" s="92"/>
      <c r="K2014" s="92"/>
      <c r="L2014" s="92"/>
      <c r="M2014" s="92"/>
      <c r="N2014" s="92"/>
      <c r="O2014" s="92"/>
      <c r="P2014" s="92"/>
      <c r="Q2014" s="92"/>
      <c r="R2014" s="92"/>
      <c r="S2014" s="92"/>
      <c r="T2014" s="92"/>
      <c r="U2014" s="92"/>
      <c r="V2014" s="92"/>
      <c r="W2014" s="92"/>
      <c r="X2014" s="92"/>
      <c r="Y2014" s="92"/>
      <c r="Z2014" s="92"/>
      <c r="AA2014" s="92"/>
      <c r="AB2014" s="92"/>
      <c r="AC2014" s="119"/>
      <c r="AD2014" s="119"/>
      <c r="AE2014" s="120"/>
      <c r="AF2014" s="119"/>
      <c r="AG2014" s="119"/>
      <c r="AH2014" s="120"/>
      <c r="AI2014" s="121"/>
      <c r="AJ2014" s="121"/>
      <c r="AK2014" s="121"/>
      <c r="AL2014" s="121"/>
      <c r="AM2014" s="122"/>
      <c r="AN2014" s="121"/>
      <c r="AP2014" s="87"/>
    </row>
    <row r="2015" spans="1:42">
      <c r="A2015" s="71"/>
      <c r="B2015" s="72"/>
      <c r="C2015" s="71"/>
      <c r="D2015" s="72"/>
      <c r="E2015" s="71"/>
      <c r="F2015" s="72"/>
      <c r="G2015" s="77">
        <v>1600</v>
      </c>
      <c r="H2015" s="3"/>
      <c r="I2015" s="91">
        <v>246.49535590133777</v>
      </c>
      <c r="J2015" s="92">
        <v>7.755590882709031</v>
      </c>
      <c r="K2015" s="92">
        <v>-3.5874536540969904</v>
      </c>
      <c r="L2015" s="92">
        <v>8.8200230668896318E-2</v>
      </c>
      <c r="M2015" s="92">
        <v>-7.1430941989966551E-2</v>
      </c>
      <c r="N2015" s="92">
        <v>3.450588872909699E-2</v>
      </c>
      <c r="O2015" s="92">
        <v>4.7545901337792644E-4</v>
      </c>
      <c r="P2015" s="92">
        <v>-4.0952914715719062E-4</v>
      </c>
      <c r="Q2015" s="92">
        <v>2.8569125418060205E-4</v>
      </c>
      <c r="R2015" s="92">
        <v>-1.9209090301003343E-4</v>
      </c>
      <c r="S2015" s="92">
        <v>37.246287933333335</v>
      </c>
      <c r="T2015" s="92">
        <v>1.1982306303703705</v>
      </c>
      <c r="U2015" s="92">
        <v>1.834020888888889E-2</v>
      </c>
      <c r="V2015" s="92">
        <v>2.386599777777778E-2</v>
      </c>
      <c r="W2015" s="92">
        <v>-1.2645934074074074E-2</v>
      </c>
      <c r="X2015" s="92">
        <v>4.9068170370370374E-3</v>
      </c>
      <c r="Y2015" s="92">
        <v>2.2387851851851851E-4</v>
      </c>
      <c r="Z2015" s="92">
        <v>-1.3766444444444442E-4</v>
      </c>
      <c r="AA2015" s="92">
        <v>2.0502222222222222E-4</v>
      </c>
      <c r="AB2015" s="92">
        <v>-1.7872962962962961E-5</v>
      </c>
      <c r="AC2015" s="119"/>
      <c r="AD2015" s="119"/>
      <c r="AE2015" s="120"/>
      <c r="AF2015" s="119"/>
      <c r="AG2015" s="119"/>
      <c r="AH2015" s="120"/>
      <c r="AI2015" s="121"/>
      <c r="AJ2015" s="121"/>
      <c r="AK2015" s="121"/>
      <c r="AL2015" s="121"/>
      <c r="AM2015" s="122"/>
      <c r="AN2015" s="121"/>
      <c r="AP2015" s="87"/>
    </row>
    <row r="2016" spans="1:42">
      <c r="A2016" s="71"/>
      <c r="B2016" s="72"/>
      <c r="C2016" s="71"/>
      <c r="D2016" s="72"/>
      <c r="E2016" s="71"/>
      <c r="F2016" s="72"/>
      <c r="G2016" s="77">
        <v>2400</v>
      </c>
      <c r="H2016" s="3"/>
      <c r="I2016" s="91">
        <v>381.8261395334448</v>
      </c>
      <c r="J2016" s="92">
        <v>12.013562347725754</v>
      </c>
      <c r="K2016" s="92">
        <v>-5.55703605242475</v>
      </c>
      <c r="L2016" s="92">
        <v>0.13662388672240802</v>
      </c>
      <c r="M2016" s="92">
        <v>-0.11064792974916389</v>
      </c>
      <c r="N2016" s="92">
        <v>5.3450298227424753E-2</v>
      </c>
      <c r="O2016" s="92">
        <v>7.3649533444816056E-4</v>
      </c>
      <c r="P2016" s="92">
        <v>-6.3436867892976588E-4</v>
      </c>
      <c r="Q2016" s="92">
        <v>4.425413545150502E-4</v>
      </c>
      <c r="R2016" s="92">
        <v>-2.9755257525083614E-4</v>
      </c>
      <c r="S2016" s="92">
        <v>59.594060693333333</v>
      </c>
      <c r="T2016" s="92">
        <v>1.9171690085925925</v>
      </c>
      <c r="U2016" s="92">
        <v>2.9344334222222219E-2</v>
      </c>
      <c r="V2016" s="92">
        <v>3.8185596444444442E-2</v>
      </c>
      <c r="W2016" s="92">
        <v>-2.0233494518518517E-2</v>
      </c>
      <c r="X2016" s="92">
        <v>7.8509072592592589E-3</v>
      </c>
      <c r="Y2016" s="92">
        <v>3.5820562962962963E-4</v>
      </c>
      <c r="Z2016" s="92">
        <v>-2.2026311111111109E-4</v>
      </c>
      <c r="AA2016" s="92">
        <v>3.2803555555555557E-4</v>
      </c>
      <c r="AB2016" s="92">
        <v>-2.8596740740740741E-5</v>
      </c>
      <c r="AC2016" s="119"/>
      <c r="AD2016" s="119"/>
      <c r="AE2016" s="120"/>
      <c r="AF2016" s="119"/>
      <c r="AG2016" s="119"/>
      <c r="AH2016" s="120"/>
      <c r="AI2016" s="121"/>
      <c r="AJ2016" s="121"/>
      <c r="AK2016" s="121"/>
      <c r="AL2016" s="121"/>
      <c r="AM2016" s="122"/>
      <c r="AN2016" s="121"/>
      <c r="AP2016" s="87"/>
    </row>
    <row r="2017" spans="1:42">
      <c r="A2017" s="71"/>
      <c r="B2017" s="72"/>
      <c r="C2017" s="71"/>
      <c r="D2017" s="72"/>
      <c r="E2017" s="71"/>
      <c r="F2017" s="72"/>
      <c r="G2017" s="77">
        <v>3600</v>
      </c>
      <c r="H2017" s="3"/>
      <c r="I2017" s="91">
        <v>509.29499245444799</v>
      </c>
      <c r="J2017" s="92">
        <v>18.212522111897105</v>
      </c>
      <c r="K2017" s="92">
        <v>-5.6288596784994631</v>
      </c>
      <c r="L2017" s="92">
        <v>0.2207614413290461</v>
      </c>
      <c r="M2017" s="92">
        <v>-0.16698678795284028</v>
      </c>
      <c r="N2017" s="92">
        <v>3.2190995884244372E-2</v>
      </c>
      <c r="O2017" s="92">
        <v>8.6480673097534826E-4</v>
      </c>
      <c r="P2017" s="92">
        <v>-1.4551000214362271E-3</v>
      </c>
      <c r="Q2017" s="92">
        <v>3.7221826366559484E-4</v>
      </c>
      <c r="R2017" s="92">
        <v>-1.8421371918542334E-4</v>
      </c>
      <c r="S2017" s="92">
        <v>114.82102020910683</v>
      </c>
      <c r="T2017" s="92">
        <v>4.2448856501926446</v>
      </c>
      <c r="U2017" s="92">
        <v>-0.72583096469352004</v>
      </c>
      <c r="V2017" s="92">
        <v>7.4749688686514881E-2</v>
      </c>
      <c r="W2017" s="92">
        <v>-5.8145737162872149E-2</v>
      </c>
      <c r="X2017" s="92">
        <v>2.1390846935201397E-2</v>
      </c>
      <c r="Y2017" s="92">
        <v>5.7377863397548154E-4</v>
      </c>
      <c r="Z2017" s="92">
        <v>-5.1947870402802097E-4</v>
      </c>
      <c r="AA2017" s="92">
        <v>6.5538339754816111E-4</v>
      </c>
      <c r="AB2017" s="92">
        <v>-7.7441194395796843E-5</v>
      </c>
      <c r="AC2017" s="119"/>
      <c r="AD2017" s="119"/>
      <c r="AE2017" s="120"/>
      <c r="AF2017" s="119"/>
      <c r="AG2017" s="119"/>
      <c r="AH2017" s="120"/>
      <c r="AI2017" s="121"/>
      <c r="AJ2017" s="121"/>
      <c r="AK2017" s="121"/>
      <c r="AL2017" s="121"/>
      <c r="AM2017" s="122"/>
      <c r="AN2017" s="121"/>
      <c r="AP2017" s="87"/>
    </row>
    <row r="2018" spans="1:42">
      <c r="A2018" s="71" t="s">
        <v>99</v>
      </c>
      <c r="B2018" s="72" t="s">
        <v>44</v>
      </c>
      <c r="C2018" s="71" t="s">
        <v>45</v>
      </c>
      <c r="D2018" s="72" t="s">
        <v>46</v>
      </c>
      <c r="E2018" s="71" t="s">
        <v>47</v>
      </c>
      <c r="F2018" s="71" t="s">
        <v>120</v>
      </c>
      <c r="G2018" s="77"/>
      <c r="H2018" s="72" t="str">
        <f>CONCATENATE(A2018," ",B2018," ",C2018," ",D2018," ",E2018," ",F2018)</f>
        <v>ACC Isobutane 50 Hz 230V VSD HQT80FSD</v>
      </c>
      <c r="I2018" s="91"/>
      <c r="J2018" s="92"/>
      <c r="K2018" s="92"/>
      <c r="L2018" s="92"/>
      <c r="M2018" s="92"/>
      <c r="N2018" s="92"/>
      <c r="O2018" s="92"/>
      <c r="P2018" s="92"/>
      <c r="Q2018" s="92"/>
      <c r="R2018" s="92"/>
      <c r="S2018" s="92"/>
      <c r="T2018" s="92"/>
      <c r="U2018" s="92"/>
      <c r="V2018" s="92"/>
      <c r="W2018" s="92"/>
      <c r="X2018" s="92"/>
      <c r="Y2018" s="92"/>
      <c r="Z2018" s="92"/>
      <c r="AA2018" s="92"/>
      <c r="AB2018" s="92"/>
      <c r="AC2018" s="119"/>
      <c r="AD2018" s="119"/>
      <c r="AE2018" s="120"/>
      <c r="AF2018" s="119"/>
      <c r="AG2018" s="119"/>
      <c r="AH2018" s="120"/>
      <c r="AI2018" s="121"/>
      <c r="AJ2018" s="121"/>
      <c r="AK2018" s="121"/>
      <c r="AL2018" s="121"/>
      <c r="AM2018" s="122"/>
      <c r="AN2018" s="121"/>
      <c r="AP2018" s="87"/>
    </row>
    <row r="2019" spans="1:42">
      <c r="A2019" s="71"/>
      <c r="B2019" s="72"/>
      <c r="C2019" s="71"/>
      <c r="D2019" s="72"/>
      <c r="E2019" s="71"/>
      <c r="F2019" s="72"/>
      <c r="G2019" s="77">
        <v>1600</v>
      </c>
      <c r="H2019" s="3"/>
      <c r="I2019" s="91">
        <v>324.89508139335476</v>
      </c>
      <c r="J2019" s="92">
        <v>11.618333071382636</v>
      </c>
      <c r="K2019" s="92">
        <v>-3.5908242776634509</v>
      </c>
      <c r="L2019" s="92">
        <v>0.1408305746409432</v>
      </c>
      <c r="M2019" s="92">
        <v>-0.10652605438370846</v>
      </c>
      <c r="N2019" s="92">
        <v>2.0535635305466236E-2</v>
      </c>
      <c r="O2019" s="92">
        <v>5.5168705251875674E-4</v>
      </c>
      <c r="P2019" s="92">
        <v>-9.2825346195069664E-4</v>
      </c>
      <c r="Q2019" s="92">
        <v>2.3744958199356912E-4</v>
      </c>
      <c r="R2019" s="92">
        <v>-1.1751564844587351E-4</v>
      </c>
      <c r="S2019" s="92">
        <v>66.720322553940449</v>
      </c>
      <c r="T2019" s="92">
        <v>2.4666227426795095</v>
      </c>
      <c r="U2019" s="92">
        <v>-0.42176664164623462</v>
      </c>
      <c r="V2019" s="92">
        <v>4.3435629912434319E-2</v>
      </c>
      <c r="W2019" s="92">
        <v>-3.378738781085814E-2</v>
      </c>
      <c r="X2019" s="92">
        <v>1.2429816462346758E-2</v>
      </c>
      <c r="Y2019" s="92">
        <v>3.3341190893169877E-4</v>
      </c>
      <c r="Z2019" s="92">
        <v>-3.0185924693520137E-4</v>
      </c>
      <c r="AA2019" s="92">
        <v>3.8083089316987738E-4</v>
      </c>
      <c r="AB2019" s="92">
        <v>-4.4999612959719786E-5</v>
      </c>
      <c r="AC2019" s="119"/>
      <c r="AD2019" s="119"/>
      <c r="AE2019" s="120"/>
      <c r="AF2019" s="119"/>
      <c r="AG2019" s="119"/>
      <c r="AH2019" s="120"/>
      <c r="AI2019" s="121"/>
      <c r="AJ2019" s="121"/>
      <c r="AK2019" s="121"/>
      <c r="AL2019" s="121"/>
      <c r="AM2019" s="122"/>
      <c r="AN2019" s="121"/>
      <c r="AP2019" s="87"/>
    </row>
    <row r="2020" spans="1:42">
      <c r="A2020" s="71"/>
      <c r="B2020" s="72"/>
      <c r="C2020" s="71"/>
      <c r="D2020" s="72"/>
      <c r="E2020" s="71"/>
      <c r="F2020" s="72"/>
      <c r="G2020" s="77">
        <v>2400</v>
      </c>
      <c r="H2020" s="3"/>
      <c r="I2020" s="91">
        <v>487.34262209003219</v>
      </c>
      <c r="J2020" s="92">
        <v>17.427499607073955</v>
      </c>
      <c r="K2020" s="92">
        <v>-5.3862364164951773</v>
      </c>
      <c r="L2020" s="92">
        <v>0.21124586196141482</v>
      </c>
      <c r="M2020" s="92">
        <v>-0.15978908157556271</v>
      </c>
      <c r="N2020" s="92">
        <v>3.0803452958199359E-2</v>
      </c>
      <c r="O2020" s="92">
        <v>8.2753057877813516E-4</v>
      </c>
      <c r="P2020" s="92">
        <v>-1.3923801929260451E-3</v>
      </c>
      <c r="Q2020" s="92">
        <v>3.5617437299035373E-4</v>
      </c>
      <c r="R2020" s="92">
        <v>-1.762734726688103E-4</v>
      </c>
      <c r="S2020" s="92">
        <v>99.304666126795098</v>
      </c>
      <c r="T2020" s="92">
        <v>3.6712524542206655</v>
      </c>
      <c r="U2020" s="92">
        <v>-0.62774569919439582</v>
      </c>
      <c r="V2020" s="92">
        <v>6.464837940455341E-2</v>
      </c>
      <c r="W2020" s="92">
        <v>-5.0288205113835374E-2</v>
      </c>
      <c r="X2020" s="92">
        <v>1.8500191943957967E-2</v>
      </c>
      <c r="Y2020" s="92">
        <v>4.962409807355517E-4</v>
      </c>
      <c r="Z2020" s="92">
        <v>-4.4927887915936949E-4</v>
      </c>
      <c r="AA2020" s="92">
        <v>5.6681807355516637E-4</v>
      </c>
      <c r="AB2020" s="92">
        <v>-6.6976168126094566E-5</v>
      </c>
      <c r="AC2020" s="119"/>
      <c r="AD2020" s="119"/>
      <c r="AE2020" s="120"/>
      <c r="AF2020" s="119"/>
      <c r="AG2020" s="119"/>
      <c r="AH2020" s="120"/>
      <c r="AI2020" s="121"/>
      <c r="AJ2020" s="121"/>
      <c r="AK2020" s="121"/>
      <c r="AL2020" s="121"/>
      <c r="AM2020" s="122"/>
      <c r="AN2020" s="121"/>
      <c r="AP2020" s="87"/>
    </row>
    <row r="2021" spans="1:42">
      <c r="A2021" s="71"/>
      <c r="B2021" s="72"/>
      <c r="C2021" s="71"/>
      <c r="D2021" s="72"/>
      <c r="E2021" s="71"/>
      <c r="F2021" s="72"/>
      <c r="G2021" s="77">
        <v>3600</v>
      </c>
      <c r="H2021" s="3"/>
      <c r="I2021" s="91">
        <v>662.9615850053591</v>
      </c>
      <c r="J2021" s="92">
        <v>23.707679645659166</v>
      </c>
      <c r="K2021" s="92">
        <v>-7.3272225125294748</v>
      </c>
      <c r="L2021" s="92">
        <v>0.28737049690246519</v>
      </c>
      <c r="M2021" s="92">
        <v>-0.21737073259378348</v>
      </c>
      <c r="N2021" s="92">
        <v>4.1903796366559484E-2</v>
      </c>
      <c r="O2021" s="92">
        <v>1.1257397963558415E-3</v>
      </c>
      <c r="P2021" s="92">
        <v>-1.8941388210075027E-3</v>
      </c>
      <c r="Q2021" s="92">
        <v>4.8452549839228298E-4</v>
      </c>
      <c r="R2021" s="92">
        <v>-2.3979544480171489E-4</v>
      </c>
      <c r="S2021" s="92">
        <v>148.95699919019265</v>
      </c>
      <c r="T2021" s="92">
        <v>5.5068786813309982</v>
      </c>
      <c r="U2021" s="92">
        <v>-0.94161854879159368</v>
      </c>
      <c r="V2021" s="92">
        <v>9.6972569106830123E-2</v>
      </c>
      <c r="W2021" s="92">
        <v>-7.5432307670753068E-2</v>
      </c>
      <c r="X2021" s="92">
        <v>2.775028791593695E-2</v>
      </c>
      <c r="Y2021" s="92">
        <v>7.4436147110332749E-4</v>
      </c>
      <c r="Z2021" s="92">
        <v>-6.7391831873905427E-4</v>
      </c>
      <c r="AA2021" s="92">
        <v>8.5022711033274961E-4</v>
      </c>
      <c r="AB2021" s="92">
        <v>-1.0046425218914186E-4</v>
      </c>
      <c r="AC2021" s="119"/>
      <c r="AD2021" s="119"/>
      <c r="AE2021" s="120"/>
      <c r="AF2021" s="119"/>
      <c r="AG2021" s="119"/>
      <c r="AH2021" s="120"/>
      <c r="AI2021" s="121"/>
      <c r="AJ2021" s="121"/>
      <c r="AK2021" s="121"/>
      <c r="AL2021" s="121"/>
      <c r="AM2021" s="122"/>
      <c r="AN2021" s="121"/>
      <c r="AP2021" s="87"/>
    </row>
    <row r="2022" spans="1:42">
      <c r="A2022" s="71" t="s">
        <v>99</v>
      </c>
      <c r="B2022" s="72" t="s">
        <v>44</v>
      </c>
      <c r="C2022" s="71" t="s">
        <v>45</v>
      </c>
      <c r="D2022" s="72" t="s">
        <v>46</v>
      </c>
      <c r="E2022" s="71" t="s">
        <v>47</v>
      </c>
      <c r="F2022" s="71" t="s">
        <v>123</v>
      </c>
      <c r="G2022" s="77"/>
      <c r="H2022" s="72" t="str">
        <f>CONCATENATE(A2022," ",B2022," ",C2022," ",D2022," ",E2022," ",F2022)</f>
        <v>ACC Isobutane 50 Hz 230V VSD HQT99FSD</v>
      </c>
      <c r="I2022" s="91"/>
      <c r="J2022" s="92"/>
      <c r="K2022" s="92"/>
      <c r="L2022" s="92"/>
      <c r="M2022" s="92"/>
      <c r="N2022" s="92"/>
      <c r="O2022" s="92"/>
      <c r="P2022" s="92"/>
      <c r="Q2022" s="92"/>
      <c r="R2022" s="92"/>
      <c r="S2022" s="92"/>
      <c r="T2022" s="92"/>
      <c r="U2022" s="92"/>
      <c r="V2022" s="92"/>
      <c r="W2022" s="92"/>
      <c r="X2022" s="92"/>
      <c r="Y2022" s="92"/>
      <c r="Z2022" s="92"/>
      <c r="AA2022" s="92"/>
      <c r="AB2022" s="92"/>
      <c r="AC2022" s="119"/>
      <c r="AD2022" s="119"/>
      <c r="AE2022" s="120"/>
      <c r="AF2022" s="119"/>
      <c r="AG2022" s="119"/>
      <c r="AH2022" s="120"/>
      <c r="AI2022" s="121"/>
      <c r="AJ2022" s="121"/>
      <c r="AK2022" s="121"/>
      <c r="AL2022" s="121"/>
      <c r="AM2022" s="122"/>
      <c r="AN2022" s="121"/>
      <c r="AP2022" s="87"/>
    </row>
    <row r="2023" spans="1:42">
      <c r="A2023" s="71"/>
      <c r="B2023" s="72"/>
      <c r="C2023" s="71"/>
      <c r="D2023" s="72"/>
      <c r="E2023" s="71"/>
      <c r="F2023" s="72"/>
      <c r="G2023" s="77">
        <v>1600</v>
      </c>
      <c r="H2023" s="3"/>
      <c r="I2023" s="91">
        <v>417.09503692390138</v>
      </c>
      <c r="J2023" s="92">
        <v>14.915427591639871</v>
      </c>
      <c r="K2023" s="92">
        <v>-4.609841978081457</v>
      </c>
      <c r="L2023" s="92">
        <v>0.18079600798499465</v>
      </c>
      <c r="M2023" s="92">
        <v>-0.13675642116827436</v>
      </c>
      <c r="N2023" s="92">
        <v>2.6363315594855302E-2</v>
      </c>
      <c r="O2023" s="92">
        <v>7.0824689174705255E-4</v>
      </c>
      <c r="P2023" s="92">
        <v>-1.1916767416934619E-3</v>
      </c>
      <c r="Q2023" s="92">
        <v>3.0483392282958197E-4</v>
      </c>
      <c r="R2023" s="92">
        <v>-1.5086468381564843E-4</v>
      </c>
      <c r="S2023" s="92">
        <v>82.236676636252199</v>
      </c>
      <c r="T2023" s="92">
        <v>3.0402559386514887</v>
      </c>
      <c r="U2023" s="92">
        <v>-0.519851907145359</v>
      </c>
      <c r="V2023" s="92">
        <v>5.3536939194395797E-2</v>
      </c>
      <c r="W2023" s="92">
        <v>-4.1644919859894922E-2</v>
      </c>
      <c r="X2023" s="92">
        <v>1.532047145359019E-2</v>
      </c>
      <c r="Y2023" s="92">
        <v>4.1094956217162872E-4</v>
      </c>
      <c r="Z2023" s="92">
        <v>-3.7205907180385284E-4</v>
      </c>
      <c r="AA2023" s="92">
        <v>4.6939621716287212E-4</v>
      </c>
      <c r="AB2023" s="92">
        <v>-5.5464639229422063E-5</v>
      </c>
      <c r="AC2023" s="119"/>
      <c r="AD2023" s="119"/>
      <c r="AE2023" s="120"/>
      <c r="AF2023" s="119"/>
      <c r="AG2023" s="119"/>
      <c r="AH2023" s="120"/>
      <c r="AI2023" s="121"/>
      <c r="AJ2023" s="121"/>
      <c r="AK2023" s="121"/>
      <c r="AL2023" s="121"/>
      <c r="AM2023" s="122"/>
      <c r="AN2023" s="121"/>
      <c r="AP2023" s="87"/>
    </row>
    <row r="2024" spans="1:42">
      <c r="A2024" s="71"/>
      <c r="B2024" s="72"/>
      <c r="C2024" s="71"/>
      <c r="D2024" s="72"/>
      <c r="E2024" s="71"/>
      <c r="F2024" s="72"/>
      <c r="G2024" s="77">
        <v>2400</v>
      </c>
      <c r="H2024" s="3"/>
      <c r="I2024" s="91">
        <v>572.05101084473677</v>
      </c>
      <c r="J2024" s="92">
        <v>20.208585175197367</v>
      </c>
      <c r="K2024" s="92">
        <v>-6.2457736254013154</v>
      </c>
      <c r="L2024" s="92">
        <v>0.24495653988815788</v>
      </c>
      <c r="M2024" s="92">
        <v>-0.18528827102631579</v>
      </c>
      <c r="N2024" s="92">
        <v>3.5719077138157897E-2</v>
      </c>
      <c r="O2024" s="92">
        <v>9.5958765789473676E-4</v>
      </c>
      <c r="P2024" s="92">
        <v>-1.614577447368421E-3</v>
      </c>
      <c r="Q2024" s="92">
        <v>4.1301263815789473E-4</v>
      </c>
      <c r="R2024" s="92">
        <v>-2.0440219736842104E-4</v>
      </c>
      <c r="S2024" s="92">
        <v>124.68385193435446</v>
      </c>
      <c r="T2024" s="92">
        <v>4.5376277286761493</v>
      </c>
      <c r="U2024" s="92">
        <v>-0.77588679239606118</v>
      </c>
      <c r="V2024" s="92">
        <v>7.9904687691466081E-2</v>
      </c>
      <c r="W2024" s="92">
        <v>-6.2155669037199116E-2</v>
      </c>
      <c r="X2024" s="92">
        <v>2.2866034135667394E-2</v>
      </c>
      <c r="Y2024" s="92">
        <v>6.1334812910284451E-4</v>
      </c>
      <c r="Z2024" s="92">
        <v>-5.553037417943107E-4</v>
      </c>
      <c r="AA2024" s="92">
        <v>7.0058176148796495E-4</v>
      </c>
      <c r="AB2024" s="92">
        <v>-8.2781822757111592E-5</v>
      </c>
      <c r="AC2024" s="119"/>
      <c r="AD2024" s="119"/>
      <c r="AE2024" s="120"/>
      <c r="AF2024" s="119"/>
      <c r="AG2024" s="119"/>
      <c r="AH2024" s="120"/>
      <c r="AI2024" s="121"/>
      <c r="AJ2024" s="121"/>
      <c r="AK2024" s="121"/>
      <c r="AL2024" s="121"/>
      <c r="AM2024" s="122"/>
      <c r="AN2024" s="121"/>
      <c r="AP2024" s="87"/>
    </row>
    <row r="2025" spans="1:42">
      <c r="A2025" s="71"/>
      <c r="B2025" s="72"/>
      <c r="C2025" s="71"/>
      <c r="D2025" s="72"/>
      <c r="E2025" s="71"/>
      <c r="F2025" s="72"/>
      <c r="G2025" s="77">
        <v>3600</v>
      </c>
      <c r="H2025" s="3"/>
      <c r="I2025" s="91">
        <v>801.70652614736832</v>
      </c>
      <c r="J2025" s="92">
        <v>28.32152082947368</v>
      </c>
      <c r="K2025" s="92">
        <v>-8.7532009932631567</v>
      </c>
      <c r="L2025" s="92">
        <v>0.34329675663157894</v>
      </c>
      <c r="M2025" s="92">
        <v>-0.25967407326315789</v>
      </c>
      <c r="N2025" s="92">
        <v>5.005885263157895E-2</v>
      </c>
      <c r="O2025" s="92">
        <v>1.3448235789473683E-3</v>
      </c>
      <c r="P2025" s="92">
        <v>-2.2627654736842103E-3</v>
      </c>
      <c r="Q2025" s="92">
        <v>5.7882063157894731E-4</v>
      </c>
      <c r="R2025" s="92">
        <v>-2.8646147368421052E-4</v>
      </c>
      <c r="S2025" s="92">
        <v>186.25612449452953</v>
      </c>
      <c r="T2025" s="92">
        <v>6.7784315453063462</v>
      </c>
      <c r="U2025" s="92">
        <v>-1.1590407639496718</v>
      </c>
      <c r="V2025" s="92">
        <v>0.11936379272428885</v>
      </c>
      <c r="W2025" s="92">
        <v>-9.2849826586433259E-2</v>
      </c>
      <c r="X2025" s="92">
        <v>3.4157902844638946E-2</v>
      </c>
      <c r="Y2025" s="92">
        <v>9.1623609409190361E-4</v>
      </c>
      <c r="Z2025" s="92">
        <v>-8.2952781181619255E-4</v>
      </c>
      <c r="AA2025" s="92">
        <v>1.0465480634573303E-3</v>
      </c>
      <c r="AB2025" s="92">
        <v>-1.236617352297593E-4</v>
      </c>
      <c r="AC2025" s="119"/>
      <c r="AD2025" s="119"/>
      <c r="AE2025" s="120"/>
      <c r="AF2025" s="119"/>
      <c r="AG2025" s="119"/>
      <c r="AH2025" s="120"/>
      <c r="AI2025" s="121"/>
      <c r="AJ2025" s="121"/>
      <c r="AK2025" s="121"/>
      <c r="AL2025" s="121"/>
      <c r="AM2025" s="122"/>
      <c r="AN2025" s="121"/>
      <c r="AP2025" s="87"/>
    </row>
    <row r="2026" spans="1:42">
      <c r="A2026" s="71" t="s">
        <v>43</v>
      </c>
      <c r="B2026" s="72" t="s">
        <v>44</v>
      </c>
      <c r="C2026" s="71" t="s">
        <v>45</v>
      </c>
      <c r="D2026" s="72" t="s">
        <v>46</v>
      </c>
      <c r="E2026" s="71" t="s">
        <v>47</v>
      </c>
      <c r="F2026" s="72" t="s">
        <v>48</v>
      </c>
      <c r="G2026" s="77"/>
      <c r="H2026" s="72" t="str">
        <f>CONCATENATE(A2026," ",B2026," ",C2026," ",D2026," ",E2026," ",F2026)</f>
        <v>Embraco Isobutane 50 Hz 230V VSD VESD9C(MA)</v>
      </c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  <c r="AA2026" s="4"/>
      <c r="AB2026" s="4"/>
      <c r="AC2026" s="119"/>
      <c r="AD2026" s="119"/>
      <c r="AE2026" s="120"/>
      <c r="AF2026" s="119"/>
      <c r="AG2026" s="119"/>
      <c r="AH2026" s="120"/>
      <c r="AI2026" s="121"/>
      <c r="AJ2026" s="121"/>
      <c r="AK2026" s="121"/>
      <c r="AL2026" s="121"/>
      <c r="AM2026" s="122"/>
      <c r="AN2026" s="121"/>
      <c r="AP2026" s="87"/>
    </row>
    <row r="2027" spans="1:42">
      <c r="A2027" s="71"/>
      <c r="B2027" s="72"/>
      <c r="C2027" s="71"/>
      <c r="D2027" s="72"/>
      <c r="E2027" s="71"/>
      <c r="F2027" s="72"/>
      <c r="G2027" s="77">
        <v>1300</v>
      </c>
      <c r="H2027" s="72"/>
      <c r="I2027" s="4">
        <v>1.2385206955335177</v>
      </c>
      <c r="J2027" s="4">
        <v>7.6123731126055203</v>
      </c>
      <c r="K2027" s="4">
        <v>15.689090084229937</v>
      </c>
      <c r="L2027" s="4">
        <v>0.12193248659299756</v>
      </c>
      <c r="M2027" s="4">
        <v>5.8433857616805529E-2</v>
      </c>
      <c r="N2027" s="4">
        <v>-0.35810431521590252</v>
      </c>
      <c r="O2027" s="4">
        <v>4.4501894763485919E-4</v>
      </c>
      <c r="P2027" s="4">
        <v>-4.2716550874589249E-4</v>
      </c>
      <c r="Q2027" s="4">
        <v>-1.2425892666761624E-3</v>
      </c>
      <c r="R2027" s="4">
        <v>2.3455873579406659E-3</v>
      </c>
      <c r="S2027" s="4">
        <v>6.5983245971105858E-2</v>
      </c>
      <c r="T2027" s="4">
        <v>-1.4799080327363041</v>
      </c>
      <c r="U2027" s="4">
        <v>1.3357229323515851</v>
      </c>
      <c r="V2027" s="4">
        <v>-3.1294723237990631E-2</v>
      </c>
      <c r="W2027" s="4">
        <v>6.0170423290737345E-2</v>
      </c>
      <c r="X2027" s="4">
        <v>1.3409273915084372E-3</v>
      </c>
      <c r="Y2027" s="4">
        <v>-4.0499505907700599E-4</v>
      </c>
      <c r="Z2027" s="4">
        <v>9.5161312123620602E-5</v>
      </c>
      <c r="AA2027" s="4">
        <v>-3.8484595224010673E-4</v>
      </c>
      <c r="AB2027" s="4">
        <v>-1.0169639905096078E-4</v>
      </c>
      <c r="AC2027" s="119">
        <v>3.5920236691316741E-2</v>
      </c>
      <c r="AD2027" s="119">
        <v>1.7994550165651337</v>
      </c>
      <c r="AE2027" s="120">
        <v>9.5897990522988055E-3</v>
      </c>
      <c r="AF2027" s="119">
        <v>1.4187550030233179E-2</v>
      </c>
      <c r="AG2027" s="119">
        <v>0.49795518620897394</v>
      </c>
      <c r="AH2027" s="120">
        <v>9.3118141288728914E-3</v>
      </c>
      <c r="AI2027" s="121">
        <v>-35</v>
      </c>
      <c r="AJ2027" s="121">
        <v>-10</v>
      </c>
      <c r="AK2027" s="121">
        <v>35</v>
      </c>
      <c r="AL2027" s="121">
        <v>55</v>
      </c>
      <c r="AM2027" s="122">
        <v>43742</v>
      </c>
      <c r="AN2027" s="121" t="s">
        <v>49</v>
      </c>
      <c r="AP2027" s="87"/>
    </row>
    <row r="2028" spans="1:42">
      <c r="A2028" s="71"/>
      <c r="B2028" s="72"/>
      <c r="C2028" s="71"/>
      <c r="D2028" s="72"/>
      <c r="E2028" s="71"/>
      <c r="F2028" s="72"/>
      <c r="G2028" s="77">
        <v>1600</v>
      </c>
      <c r="H2028" s="72"/>
      <c r="I2028" s="4">
        <v>1.2591928027659136</v>
      </c>
      <c r="J2028" s="4">
        <v>7.5308331378149784</v>
      </c>
      <c r="K2028" s="4">
        <v>17.989434993227167</v>
      </c>
      <c r="L2028" s="4">
        <v>0.18905676177323313</v>
      </c>
      <c r="M2028" s="4">
        <v>0.1926379793837934</v>
      </c>
      <c r="N2028" s="4">
        <v>-0.3712766909289999</v>
      </c>
      <c r="O2028" s="4">
        <v>1.1278404123805505E-3</v>
      </c>
      <c r="P2028" s="4">
        <v>-5.34632144677731E-4</v>
      </c>
      <c r="Q2028" s="4">
        <v>-2.8968563915706194E-3</v>
      </c>
      <c r="R2028" s="4">
        <v>2.0775001336163406E-3</v>
      </c>
      <c r="S2028" s="4">
        <v>-5.8632436232799936</v>
      </c>
      <c r="T2028" s="4">
        <v>-3.0314522823076921</v>
      </c>
      <c r="U2028" s="4">
        <v>1.4568523404856446</v>
      </c>
      <c r="V2028" s="4">
        <v>-4.2311601750595978E-2</v>
      </c>
      <c r="W2028" s="4">
        <v>0.12747560264032046</v>
      </c>
      <c r="X2028" s="4">
        <v>2.1352506397102788E-2</v>
      </c>
      <c r="Y2028" s="4">
        <v>-2.7781825021135179E-4</v>
      </c>
      <c r="Z2028" s="4">
        <v>5.8586093844919715E-4</v>
      </c>
      <c r="AA2028" s="4">
        <v>-8.5629027270890776E-4</v>
      </c>
      <c r="AB2028" s="4">
        <v>-3.6941330103088937E-4</v>
      </c>
      <c r="AC2028" s="119">
        <v>3.3988041676991813E-2</v>
      </c>
      <c r="AD2028" s="119">
        <v>1.1208952150380527</v>
      </c>
      <c r="AE2028" s="120">
        <v>6.5499837510579082E-3</v>
      </c>
      <c r="AF2028" s="119">
        <v>3.9751201412161263E-2</v>
      </c>
      <c r="AG2028" s="119">
        <v>1.3257775729566637</v>
      </c>
      <c r="AH2028" s="120">
        <v>1.2042554924309659E-2</v>
      </c>
      <c r="AI2028" s="121">
        <v>-35</v>
      </c>
      <c r="AJ2028" s="121">
        <v>-10</v>
      </c>
      <c r="AK2028" s="121">
        <v>35</v>
      </c>
      <c r="AL2028" s="121">
        <v>55</v>
      </c>
      <c r="AM2028" s="122">
        <v>43742</v>
      </c>
      <c r="AN2028" s="121" t="s">
        <v>49</v>
      </c>
      <c r="AP2028" s="87"/>
    </row>
    <row r="2029" spans="1:42">
      <c r="A2029" s="71"/>
      <c r="B2029" s="72"/>
      <c r="C2029" s="71"/>
      <c r="D2029" s="72"/>
      <c r="E2029" s="71"/>
      <c r="F2029" s="72"/>
      <c r="G2029" s="77">
        <v>2000</v>
      </c>
      <c r="H2029" s="72"/>
      <c r="I2029" s="4">
        <v>-0.31387028317312088</v>
      </c>
      <c r="J2029" s="4">
        <v>16.410633089533697</v>
      </c>
      <c r="K2029" s="4">
        <v>27.337926748371633</v>
      </c>
      <c r="L2029" s="4">
        <v>0.23552673571815413</v>
      </c>
      <c r="M2029" s="4">
        <v>-8.367748641403365E-2</v>
      </c>
      <c r="N2029" s="4">
        <v>-0.68292528062593261</v>
      </c>
      <c r="O2029" s="4">
        <v>1.2144593735843939E-3</v>
      </c>
      <c r="P2029" s="4">
        <v>-1.1267192599285392E-3</v>
      </c>
      <c r="Q2029" s="4">
        <v>-3.0286894345020156E-4</v>
      </c>
      <c r="R2029" s="4">
        <v>4.9595643984400653E-3</v>
      </c>
      <c r="S2029" s="4">
        <v>-1.021451241435096</v>
      </c>
      <c r="T2029" s="4">
        <v>-1.2555448279492891</v>
      </c>
      <c r="U2029" s="4">
        <v>3.1341136651450774</v>
      </c>
      <c r="V2029" s="4">
        <v>-6.4333220013455483E-2</v>
      </c>
      <c r="W2029" s="4">
        <v>3.4874482193743277E-2</v>
      </c>
      <c r="X2029" s="4">
        <v>-4.3126234896721224E-2</v>
      </c>
      <c r="Y2029" s="4">
        <v>-5.6412825338484989E-4</v>
      </c>
      <c r="Z2029" s="4">
        <v>6.1053280396989945E-4</v>
      </c>
      <c r="AA2029" s="4">
        <v>2.0371814361426542E-4</v>
      </c>
      <c r="AB2029" s="4">
        <v>3.2244388939120305E-4</v>
      </c>
      <c r="AC2029" s="119">
        <v>1.2155809519928115E-2</v>
      </c>
      <c r="AD2029" s="119">
        <v>0.58482532567301337</v>
      </c>
      <c r="AE2029" s="120">
        <v>3.6933421128507076E-3</v>
      </c>
      <c r="AF2029" s="119">
        <v>2.8537304795275501E-2</v>
      </c>
      <c r="AG2029" s="119">
        <v>1.3891148926917587</v>
      </c>
      <c r="AH2029" s="120">
        <v>8.9333692872821911E-3</v>
      </c>
      <c r="AI2029" s="121">
        <v>-35</v>
      </c>
      <c r="AJ2029" s="121">
        <v>-10</v>
      </c>
      <c r="AK2029" s="121">
        <v>35</v>
      </c>
      <c r="AL2029" s="121">
        <v>55</v>
      </c>
      <c r="AM2029" s="122">
        <v>43742</v>
      </c>
      <c r="AN2029" s="121" t="s">
        <v>49</v>
      </c>
      <c r="AP2029" s="87"/>
    </row>
    <row r="2030" spans="1:42">
      <c r="A2030" s="71"/>
      <c r="B2030" s="72"/>
      <c r="C2030" s="71"/>
      <c r="D2030" s="72"/>
      <c r="E2030" s="71"/>
      <c r="F2030" s="72"/>
      <c r="G2030" s="77">
        <v>3000</v>
      </c>
      <c r="H2030" s="72"/>
      <c r="I2030" s="4">
        <v>6.4163548449823766</v>
      </c>
      <c r="J2030" s="4">
        <v>19.045023952600761</v>
      </c>
      <c r="K2030" s="4">
        <v>38.463596477836717</v>
      </c>
      <c r="L2030" s="4">
        <v>0.23432452875254337</v>
      </c>
      <c r="M2030" s="4">
        <v>5.9209479244227538E-3</v>
      </c>
      <c r="N2030" s="4">
        <v>-0.94193559470340038</v>
      </c>
      <c r="O2030" s="4">
        <v>9.1185481487528501E-4</v>
      </c>
      <c r="P2030" s="4">
        <v>-6.5837989759443699E-4</v>
      </c>
      <c r="Q2030" s="4">
        <v>-1.3611897285262106E-3</v>
      </c>
      <c r="R2030" s="4">
        <v>6.7326505666555356E-3</v>
      </c>
      <c r="S2030" s="4">
        <v>0.3614852226027685</v>
      </c>
      <c r="T2030" s="4">
        <v>-1.2244257558547549</v>
      </c>
      <c r="U2030" s="4">
        <v>5.6696733257600487</v>
      </c>
      <c r="V2030" s="4">
        <v>-2.2317951089769635E-2</v>
      </c>
      <c r="W2030" s="4">
        <v>0.11441600217340497</v>
      </c>
      <c r="X2030" s="4">
        <v>-7.3748884972304321E-2</v>
      </c>
      <c r="Y2030" s="4">
        <v>-8.3107782066360107E-5</v>
      </c>
      <c r="Z2030" s="4">
        <v>5.1416433422705912E-4</v>
      </c>
      <c r="AA2030" s="4">
        <v>-6.3556208792233933E-4</v>
      </c>
      <c r="AB2030" s="4">
        <v>3.8712666777072907E-4</v>
      </c>
      <c r="AC2030" s="119">
        <v>2.6234528164810738E-2</v>
      </c>
      <c r="AD2030" s="119">
        <v>1.0056094809236156</v>
      </c>
      <c r="AE2030" s="120">
        <v>3.1069323167598121E-3</v>
      </c>
      <c r="AF2030" s="119">
        <v>4.2882095413746019E-2</v>
      </c>
      <c r="AG2030" s="119">
        <v>1.4645657749145777</v>
      </c>
      <c r="AH2030" s="120">
        <v>5.7544635185157482E-3</v>
      </c>
      <c r="AI2030" s="121">
        <v>-35</v>
      </c>
      <c r="AJ2030" s="121">
        <v>-10</v>
      </c>
      <c r="AK2030" s="121">
        <v>35</v>
      </c>
      <c r="AL2030" s="121">
        <v>55</v>
      </c>
      <c r="AM2030" s="122">
        <v>43742</v>
      </c>
      <c r="AN2030" s="121" t="s">
        <v>49</v>
      </c>
      <c r="AP2030" s="87"/>
    </row>
    <row r="2031" spans="1:42">
      <c r="A2031" s="71"/>
      <c r="B2031" s="72"/>
      <c r="C2031" s="71"/>
      <c r="D2031" s="72"/>
      <c r="E2031" s="71"/>
      <c r="F2031" s="72"/>
      <c r="G2031" s="77">
        <v>4500</v>
      </c>
      <c r="H2031" s="72"/>
      <c r="I2031" s="4">
        <v>3.3369377378658456</v>
      </c>
      <c r="J2031" s="4">
        <v>48.028788140765215</v>
      </c>
      <c r="K2031" s="4">
        <v>60.413692889055447</v>
      </c>
      <c r="L2031" s="4">
        <v>0.82284885128329099</v>
      </c>
      <c r="M2031" s="4">
        <v>-0.55325222762781168</v>
      </c>
      <c r="N2031" s="4">
        <v>-1.5821812607245616</v>
      </c>
      <c r="O2031" s="4">
        <v>6.6558761188946483E-3</v>
      </c>
      <c r="P2031" s="4">
        <v>-3.6047808051722832E-3</v>
      </c>
      <c r="Q2031" s="4">
        <v>3.1818906714278609E-3</v>
      </c>
      <c r="R2031" s="4">
        <v>1.2191626581817251E-2</v>
      </c>
      <c r="S2031" s="4">
        <v>0.51307978520118913</v>
      </c>
      <c r="T2031" s="4">
        <v>8.2061342314328307</v>
      </c>
      <c r="U2031" s="4">
        <v>12.991025335614896</v>
      </c>
      <c r="V2031" s="4">
        <v>0.18534166122741075</v>
      </c>
      <c r="W2031" s="4">
        <v>-9.1609851939214629E-2</v>
      </c>
      <c r="X2031" s="4">
        <v>-0.28747262616997926</v>
      </c>
      <c r="Y2031" s="4">
        <v>2.1924889398514027E-3</v>
      </c>
      <c r="Z2031" s="4">
        <v>-6.2205619287779485E-4</v>
      </c>
      <c r="AA2031" s="4">
        <v>1.1960955680909145E-3</v>
      </c>
      <c r="AB2031" s="4">
        <v>2.3241555870062414E-3</v>
      </c>
      <c r="AC2031" s="119">
        <v>6.0232326366337324E-2</v>
      </c>
      <c r="AD2031" s="119">
        <v>2.1732476420092484</v>
      </c>
      <c r="AE2031" s="120">
        <v>3.6361508848927596E-3</v>
      </c>
      <c r="AF2031" s="119">
        <v>3.75745164668633E-2</v>
      </c>
      <c r="AG2031" s="119">
        <v>0.85220331277387451</v>
      </c>
      <c r="AH2031" s="120">
        <v>3.2498381113928838E-3</v>
      </c>
      <c r="AI2031" s="121">
        <v>-35</v>
      </c>
      <c r="AJ2031" s="121">
        <v>-10</v>
      </c>
      <c r="AK2031" s="121">
        <v>35</v>
      </c>
      <c r="AL2031" s="121">
        <v>55</v>
      </c>
      <c r="AM2031" s="122">
        <v>43742</v>
      </c>
      <c r="AN2031" s="121" t="s">
        <v>49</v>
      </c>
      <c r="AP2031" s="87"/>
    </row>
    <row r="2032" spans="1:42">
      <c r="A2032" s="71" t="s">
        <v>43</v>
      </c>
      <c r="B2032" s="72" t="s">
        <v>44</v>
      </c>
      <c r="C2032" s="71" t="s">
        <v>45</v>
      </c>
      <c r="D2032" s="72" t="s">
        <v>46</v>
      </c>
      <c r="E2032" s="71" t="s">
        <v>47</v>
      </c>
      <c r="F2032" s="72" t="s">
        <v>127</v>
      </c>
      <c r="G2032" s="77"/>
      <c r="H2032" s="72" t="str">
        <f>CONCATENATE(A2032," ",B2032," ",C2032," ",D2032," ",E2032," ",F2032)</f>
        <v>Embraco Isobutane 50 Hz 230V VSD VESD7C(MA)</v>
      </c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  <c r="AA2032" s="4"/>
      <c r="AB2032" s="4"/>
      <c r="AC2032" s="119"/>
      <c r="AD2032" s="119"/>
      <c r="AE2032" s="120"/>
      <c r="AF2032" s="119"/>
      <c r="AG2032" s="119"/>
      <c r="AH2032" s="120"/>
      <c r="AI2032" s="121"/>
      <c r="AJ2032" s="121"/>
      <c r="AK2032" s="121"/>
      <c r="AL2032" s="121"/>
      <c r="AM2032" s="122"/>
      <c r="AN2032" s="121"/>
      <c r="AP2032" s="87"/>
    </row>
    <row r="2033" spans="1:42">
      <c r="A2033" s="71"/>
      <c r="B2033" s="72"/>
      <c r="C2033" s="71"/>
      <c r="D2033" s="72"/>
      <c r="E2033" s="71"/>
      <c r="F2033" s="72"/>
      <c r="G2033" s="77">
        <v>1300</v>
      </c>
      <c r="H2033" s="72"/>
      <c r="I2033" s="4">
        <v>2.1325613677849602</v>
      </c>
      <c r="J2033" s="4">
        <v>10.436389427999202</v>
      </c>
      <c r="K2033" s="4">
        <v>14.893675404918374</v>
      </c>
      <c r="L2033" s="4">
        <v>0.1466837669209913</v>
      </c>
      <c r="M2033" s="4">
        <v>-0.11218085262268961</v>
      </c>
      <c r="N2033" s="4">
        <v>-0.3914345406436624</v>
      </c>
      <c r="O2033" s="4">
        <v>8.2043753428147478E-4</v>
      </c>
      <c r="P2033" s="4">
        <v>-7.8921006663503174E-4</v>
      </c>
      <c r="Q2033" s="4">
        <v>5.5478273605437563E-4</v>
      </c>
      <c r="R2033" s="4">
        <v>2.9776018924359041E-3</v>
      </c>
      <c r="S2033" s="4">
        <v>0.10425682591096293</v>
      </c>
      <c r="T2033" s="4">
        <v>-0.31300623225195373</v>
      </c>
      <c r="U2033" s="4">
        <v>1.7277720097829561</v>
      </c>
      <c r="V2033" s="4">
        <v>-1.928882917370453E-2</v>
      </c>
      <c r="W2033" s="4">
        <v>1.3093556015344596E-2</v>
      </c>
      <c r="X2033" s="4">
        <v>-2.7915573787964425E-2</v>
      </c>
      <c r="Y2033" s="4">
        <v>-1.720672196550717E-4</v>
      </c>
      <c r="Z2033" s="4">
        <v>1.7598041778459382E-4</v>
      </c>
      <c r="AA2033" s="4">
        <v>1.0859681353716598E-4</v>
      </c>
      <c r="AB2033" s="4">
        <v>2.1765068285246761E-4</v>
      </c>
      <c r="AC2033" s="119">
        <v>3.9596752217342324E-2</v>
      </c>
      <c r="AD2033" s="119">
        <v>1.2633881672120761</v>
      </c>
      <c r="AE2033" s="120">
        <v>1.0554356786726279E-2</v>
      </c>
      <c r="AF2033" s="119">
        <v>2.6440675043701473E-2</v>
      </c>
      <c r="AG2033" s="119">
        <v>1.0505189044115122</v>
      </c>
      <c r="AH2033" s="120">
        <v>1.5571920730025113E-2</v>
      </c>
      <c r="AI2033" s="121">
        <v>-35</v>
      </c>
      <c r="AJ2033" s="121">
        <v>-10</v>
      </c>
      <c r="AK2033" s="121">
        <v>35</v>
      </c>
      <c r="AL2033" s="121">
        <v>55</v>
      </c>
      <c r="AM2033" s="122">
        <v>43742</v>
      </c>
      <c r="AN2033" s="121" t="s">
        <v>49</v>
      </c>
      <c r="AP2033" s="87"/>
    </row>
    <row r="2034" spans="1:42">
      <c r="A2034" s="71"/>
      <c r="B2034" s="72"/>
      <c r="C2034" s="71"/>
      <c r="D2034" s="72"/>
      <c r="E2034" s="71"/>
      <c r="F2034" s="72"/>
      <c r="G2034" s="77">
        <v>1600</v>
      </c>
      <c r="H2034" s="72"/>
      <c r="I2034" s="4">
        <v>0.63382387874550417</v>
      </c>
      <c r="J2034" s="4">
        <v>12.137695465202574</v>
      </c>
      <c r="K2034" s="4">
        <v>18.313908144012622</v>
      </c>
      <c r="L2034" s="4">
        <v>0.17053444028685152</v>
      </c>
      <c r="M2034" s="4">
        <v>-0.11569105201199537</v>
      </c>
      <c r="N2034" s="4">
        <v>-0.4779598354460482</v>
      </c>
      <c r="O2034" s="4">
        <v>9.90576613184298E-4</v>
      </c>
      <c r="P2034" s="4">
        <v>-9.9070416831870166E-4</v>
      </c>
      <c r="Q2034" s="4">
        <v>3.5601486817184917E-4</v>
      </c>
      <c r="R2034" s="4">
        <v>3.5973792061366537E-3</v>
      </c>
      <c r="S2034" s="4">
        <v>0.12250008360359027</v>
      </c>
      <c r="T2034" s="4">
        <v>-4.002018384755486E-2</v>
      </c>
      <c r="U2034" s="4">
        <v>2.1007655885965701</v>
      </c>
      <c r="V2034" s="4">
        <v>-1.8821135504880206E-2</v>
      </c>
      <c r="W2034" s="4">
        <v>9.1842225239520262E-4</v>
      </c>
      <c r="X2034" s="4">
        <v>-3.3931464514439375E-2</v>
      </c>
      <c r="Y2034" s="4">
        <v>-3.1350042429084243E-5</v>
      </c>
      <c r="Z2034" s="4">
        <v>3.3446408427715175E-4</v>
      </c>
      <c r="AA2034" s="4">
        <v>3.7696351837666572E-4</v>
      </c>
      <c r="AB2034" s="4">
        <v>2.778509124847013E-4</v>
      </c>
      <c r="AC2034" s="119">
        <v>1.5454308413302201E-2</v>
      </c>
      <c r="AD2034" s="119">
        <v>0.73678035862871571</v>
      </c>
      <c r="AE2034" s="120">
        <v>6.4958184063305443E-3</v>
      </c>
      <c r="AF2034" s="119">
        <v>3.1373523318970961E-2</v>
      </c>
      <c r="AG2034" s="119">
        <v>1.1206089676691116</v>
      </c>
      <c r="AH2034" s="120">
        <v>1.2484402799559731E-2</v>
      </c>
      <c r="AI2034" s="121">
        <v>-35</v>
      </c>
      <c r="AJ2034" s="121">
        <v>-10</v>
      </c>
      <c r="AK2034" s="121">
        <v>35</v>
      </c>
      <c r="AL2034" s="121">
        <v>55</v>
      </c>
      <c r="AM2034" s="122">
        <v>43742</v>
      </c>
      <c r="AN2034" s="121" t="s">
        <v>49</v>
      </c>
      <c r="AP2034" s="87"/>
    </row>
    <row r="2035" spans="1:42">
      <c r="A2035" s="71"/>
      <c r="B2035" s="72"/>
      <c r="C2035" s="71"/>
      <c r="D2035" s="72"/>
      <c r="E2035" s="71"/>
      <c r="F2035" s="72"/>
      <c r="G2035" s="77">
        <v>2000</v>
      </c>
      <c r="H2035" s="72"/>
      <c r="I2035" s="4">
        <v>-7.8101701104179364</v>
      </c>
      <c r="J2035" s="4">
        <v>11.231146806405077</v>
      </c>
      <c r="K2035" s="4">
        <v>21.532733301666116</v>
      </c>
      <c r="L2035" s="4">
        <v>0.1392859425303514</v>
      </c>
      <c r="M2035" s="4">
        <v>-2.4342439808419103E-2</v>
      </c>
      <c r="N2035" s="4">
        <v>-0.53360197688765909</v>
      </c>
      <c r="O2035" s="4">
        <v>4.2943757717358867E-4</v>
      </c>
      <c r="P2035" s="4">
        <v>-5.8446069818535217E-4</v>
      </c>
      <c r="Q2035" s="4">
        <v>-5.4278276247748372E-4</v>
      </c>
      <c r="R2035" s="4">
        <v>3.857880272612611E-3</v>
      </c>
      <c r="S2035" s="4">
        <v>0.153253564473944</v>
      </c>
      <c r="T2035" s="4">
        <v>-1.5997943991332493</v>
      </c>
      <c r="U2035" s="4">
        <v>2.037562851785323</v>
      </c>
      <c r="V2035" s="4">
        <v>-6.2977744727195639E-2</v>
      </c>
      <c r="W2035" s="4">
        <v>3.813172238721612E-2</v>
      </c>
      <c r="X2035" s="4">
        <v>-2.1357329033790416E-2</v>
      </c>
      <c r="Y2035" s="4">
        <v>-4.3780005223771113E-4</v>
      </c>
      <c r="Z2035" s="4">
        <v>7.8768625622585304E-4</v>
      </c>
      <c r="AA2035" s="4">
        <v>2.3453052128483999E-4</v>
      </c>
      <c r="AB2035" s="4">
        <v>1.5747630242297363E-4</v>
      </c>
      <c r="AC2035" s="119">
        <v>2.786683868919081E-2</v>
      </c>
      <c r="AD2035" s="119">
        <v>1.0792831830197482</v>
      </c>
      <c r="AE2035" s="120">
        <v>6.8007216810254583E-3</v>
      </c>
      <c r="AF2035" s="119">
        <v>3.6664138942199637E-2</v>
      </c>
      <c r="AG2035" s="119">
        <v>1.3337228406565393</v>
      </c>
      <c r="AH2035" s="120">
        <v>1.1927484935218257E-2</v>
      </c>
      <c r="AI2035" s="121">
        <v>-35</v>
      </c>
      <c r="AJ2035" s="121">
        <v>-10</v>
      </c>
      <c r="AK2035" s="121">
        <v>35</v>
      </c>
      <c r="AL2035" s="121">
        <v>55</v>
      </c>
      <c r="AM2035" s="122">
        <v>43742</v>
      </c>
      <c r="AN2035" s="121" t="s">
        <v>49</v>
      </c>
      <c r="AP2035" s="87"/>
    </row>
    <row r="2036" spans="1:42">
      <c r="A2036" s="71"/>
      <c r="B2036" s="72"/>
      <c r="C2036" s="71"/>
      <c r="D2036" s="72"/>
      <c r="E2036" s="71"/>
      <c r="F2036" s="72"/>
      <c r="G2036" s="77">
        <v>3000</v>
      </c>
      <c r="H2036" s="72"/>
      <c r="I2036" s="4">
        <v>2.6267692116645867</v>
      </c>
      <c r="J2036" s="4">
        <v>17.084316904238239</v>
      </c>
      <c r="K2036" s="4">
        <v>32.458679187705847</v>
      </c>
      <c r="L2036" s="4">
        <v>0.19349656577182398</v>
      </c>
      <c r="M2036" s="4">
        <v>-3.5245738732175791E-2</v>
      </c>
      <c r="N2036" s="4">
        <v>-0.8132462598486383</v>
      </c>
      <c r="O2036" s="4">
        <v>7.9863077808495881E-4</v>
      </c>
      <c r="P2036" s="4">
        <v>-1.1145156090193522E-4</v>
      </c>
      <c r="Q2036" s="4">
        <v>-6.1630504606255637E-4</v>
      </c>
      <c r="R2036" s="4">
        <v>5.9400166735020295E-3</v>
      </c>
      <c r="S2036" s="4">
        <v>5.6848560188444281</v>
      </c>
      <c r="T2036" s="4">
        <v>-2.1510385167658486</v>
      </c>
      <c r="U2036" s="4">
        <v>3.7167973028552375</v>
      </c>
      <c r="V2036" s="4">
        <v>-6.8048738964858885E-2</v>
      </c>
      <c r="W2036" s="4">
        <v>8.9916988972464973E-2</v>
      </c>
      <c r="X2036" s="4">
        <v>-4.8158868158534165E-2</v>
      </c>
      <c r="Y2036" s="4">
        <v>-4.9096416716551189E-4</v>
      </c>
      <c r="Z2036" s="4">
        <v>8.5082612599932962E-4</v>
      </c>
      <c r="AA2036" s="4">
        <v>-2.9276918850693805E-4</v>
      </c>
      <c r="AB2036" s="4">
        <v>2.9483028593354371E-4</v>
      </c>
      <c r="AC2036" s="119">
        <v>4.3465689466386348E-2</v>
      </c>
      <c r="AD2036" s="119">
        <v>1.8239426938242749</v>
      </c>
      <c r="AE2036" s="120">
        <v>5.5178560658373588E-3</v>
      </c>
      <c r="AF2036" s="119">
        <v>3.0403710233331088E-2</v>
      </c>
      <c r="AG2036" s="119">
        <v>1.1988637860408713</v>
      </c>
      <c r="AH2036" s="120">
        <v>7.4191395008171637E-3</v>
      </c>
      <c r="AI2036" s="121">
        <v>-35</v>
      </c>
      <c r="AJ2036" s="121">
        <v>-10</v>
      </c>
      <c r="AK2036" s="121">
        <v>35</v>
      </c>
      <c r="AL2036" s="121">
        <v>55</v>
      </c>
      <c r="AM2036" s="122">
        <v>43742</v>
      </c>
      <c r="AN2036" s="121" t="s">
        <v>49</v>
      </c>
      <c r="AP2036" s="87"/>
    </row>
    <row r="2037" spans="1:42">
      <c r="A2037" s="71"/>
      <c r="B2037" s="72"/>
      <c r="C2037" s="71"/>
      <c r="D2037" s="72"/>
      <c r="E2037" s="71"/>
      <c r="F2037" s="72"/>
      <c r="G2037" s="77">
        <v>4500</v>
      </c>
      <c r="H2037" s="72"/>
      <c r="I2037" s="4">
        <v>10.489637662331493</v>
      </c>
      <c r="J2037" s="4">
        <v>29.390426721836441</v>
      </c>
      <c r="K2037" s="4">
        <v>42.881880566265927</v>
      </c>
      <c r="L2037" s="4">
        <v>0.64041840956218221</v>
      </c>
      <c r="M2037" s="4">
        <v>-4.7224870223465179E-2</v>
      </c>
      <c r="N2037" s="4">
        <v>-1.0132064808433825</v>
      </c>
      <c r="O2037" s="4">
        <v>4.8798184073380749E-3</v>
      </c>
      <c r="P2037" s="4">
        <v>-3.4198280051473892E-3</v>
      </c>
      <c r="Q2037" s="4">
        <v>-1.9134315893154965E-3</v>
      </c>
      <c r="R2037" s="4">
        <v>6.9277606296356854E-3</v>
      </c>
      <c r="S2037" s="4">
        <v>3.3970271527270368</v>
      </c>
      <c r="T2037" s="4">
        <v>1.0947734216062976</v>
      </c>
      <c r="U2037" s="4">
        <v>6.3004328404159251</v>
      </c>
      <c r="V2037" s="4">
        <v>6.6574983126012496E-2</v>
      </c>
      <c r="W2037" s="4">
        <v>7.0617834759436227E-2</v>
      </c>
      <c r="X2037" s="4">
        <v>-7.6844303600826031E-2</v>
      </c>
      <c r="Y2037" s="4">
        <v>1.0099023011214626E-3</v>
      </c>
      <c r="Z2037" s="4">
        <v>-4.439035176241467E-6</v>
      </c>
      <c r="AA2037" s="4">
        <v>-1.8641288531414418E-4</v>
      </c>
      <c r="AB2037" s="4">
        <v>3.656296943363462E-4</v>
      </c>
      <c r="AC2037" s="119">
        <v>6.7896071185839693E-2</v>
      </c>
      <c r="AD2037" s="119">
        <v>2.8134586292695563</v>
      </c>
      <c r="AE2037" s="120">
        <v>4.7785133675070316E-3</v>
      </c>
      <c r="AF2037" s="119">
        <v>5.3887634238687129E-2</v>
      </c>
      <c r="AG2037" s="119">
        <v>1.4168137250164532</v>
      </c>
      <c r="AH2037" s="120">
        <v>4.6674260021081068E-3</v>
      </c>
      <c r="AI2037" s="121">
        <v>-35</v>
      </c>
      <c r="AJ2037" s="121">
        <v>-10</v>
      </c>
      <c r="AK2037" s="121">
        <v>35</v>
      </c>
      <c r="AL2037" s="121">
        <v>55</v>
      </c>
      <c r="AM2037" s="122">
        <v>43742</v>
      </c>
      <c r="AN2037" s="121" t="s">
        <v>49</v>
      </c>
      <c r="AP2037" s="87"/>
    </row>
    <row r="2038" spans="1:42">
      <c r="A2038" s="71" t="s">
        <v>43</v>
      </c>
      <c r="B2038" s="72" t="s">
        <v>44</v>
      </c>
      <c r="C2038" s="71" t="s">
        <v>105</v>
      </c>
      <c r="D2038" s="72" t="s">
        <v>106</v>
      </c>
      <c r="E2038" s="71" t="s">
        <v>47</v>
      </c>
      <c r="F2038" s="72" t="s">
        <v>129</v>
      </c>
      <c r="G2038" s="77"/>
      <c r="H2038" s="3" t="s">
        <v>125</v>
      </c>
      <c r="I2038" s="91"/>
      <c r="J2038" s="92"/>
      <c r="K2038" s="92"/>
      <c r="L2038" s="92"/>
      <c r="M2038" s="92"/>
      <c r="N2038" s="92"/>
      <c r="O2038" s="92"/>
      <c r="P2038" s="92"/>
      <c r="Q2038" s="92"/>
      <c r="R2038" s="92"/>
      <c r="S2038" s="92"/>
      <c r="T2038" s="92"/>
      <c r="U2038" s="92"/>
      <c r="V2038" s="92"/>
      <c r="W2038" s="92"/>
      <c r="X2038" s="92"/>
      <c r="Y2038" s="92"/>
      <c r="Z2038" s="92"/>
      <c r="AA2038" s="92"/>
      <c r="AB2038" s="92"/>
      <c r="AC2038" s="119"/>
      <c r="AD2038" s="119"/>
      <c r="AE2038" s="120"/>
      <c r="AF2038" s="119"/>
      <c r="AG2038" s="119"/>
      <c r="AH2038" s="120"/>
      <c r="AI2038" s="121"/>
      <c r="AJ2038" s="121"/>
      <c r="AK2038" s="121"/>
      <c r="AL2038" s="121"/>
      <c r="AM2038" s="122"/>
      <c r="AN2038" s="121"/>
      <c r="AP2038" s="87"/>
    </row>
    <row r="2039" spans="1:42">
      <c r="A2039" s="71"/>
      <c r="B2039" s="72"/>
      <c r="C2039" s="71"/>
      <c r="D2039" s="72"/>
      <c r="E2039" s="71"/>
      <c r="F2039" s="72"/>
      <c r="G2039" s="77">
        <v>1800</v>
      </c>
      <c r="I2039" s="91">
        <v>12.918434205710629</v>
      </c>
      <c r="J2039" s="92">
        <v>21.813312670889147</v>
      </c>
      <c r="K2039" s="92">
        <v>21.267189122238367</v>
      </c>
      <c r="L2039" s="92">
        <v>0.64348261096156789</v>
      </c>
      <c r="M2039" s="92">
        <v>-5.0154556408603758E-2</v>
      </c>
      <c r="N2039" s="92">
        <v>-0.50702369760895316</v>
      </c>
      <c r="O2039" s="92">
        <v>7.123707682343247E-3</v>
      </c>
      <c r="P2039" s="92">
        <v>-1.1288160782685116E-3</v>
      </c>
      <c r="Q2039" s="92">
        <v>-4.1133838634647643E-4</v>
      </c>
      <c r="R2039" s="92">
        <v>3.5724059911216551E-3</v>
      </c>
      <c r="S2039" s="92">
        <v>0.12768308496670439</v>
      </c>
      <c r="T2039" s="92">
        <v>9.7590516782448073</v>
      </c>
      <c r="U2039" s="92">
        <v>7.4097570813551616</v>
      </c>
      <c r="V2039" s="92">
        <v>0.3802584345738434</v>
      </c>
      <c r="W2039" s="92">
        <v>-1.0016054343416991E-2</v>
      </c>
      <c r="X2039" s="92">
        <v>-0.16090920581709522</v>
      </c>
      <c r="Y2039" s="92">
        <v>4.9815696371269284E-3</v>
      </c>
      <c r="Z2039" s="92">
        <v>-1.0517926856145024E-4</v>
      </c>
      <c r="AA2039" s="92">
        <v>2.9617173373186608E-4</v>
      </c>
      <c r="AB2039" s="92">
        <v>1.2644942844804983E-3</v>
      </c>
      <c r="AC2039" s="119">
        <v>1.275409506110771E-3</v>
      </c>
      <c r="AD2039" s="119">
        <v>0.64705234591509375</v>
      </c>
      <c r="AE2039" s="120">
        <v>9.5399944993519951E-3</v>
      </c>
      <c r="AF2039" s="119">
        <v>2.9487953341850626E-4</v>
      </c>
      <c r="AG2039" s="119">
        <v>9.4260707118347775E-2</v>
      </c>
      <c r="AH2039" s="120">
        <v>4.383514571611063E-3</v>
      </c>
      <c r="AI2039" s="121">
        <v>-35</v>
      </c>
      <c r="AJ2039" s="121">
        <v>-15</v>
      </c>
      <c r="AK2039" s="121">
        <v>35</v>
      </c>
      <c r="AL2039" s="121">
        <v>55</v>
      </c>
      <c r="AM2039" s="122">
        <v>43731</v>
      </c>
      <c r="AN2039" s="121" t="s">
        <v>542</v>
      </c>
      <c r="AP2039" s="87"/>
    </row>
    <row r="2040" spans="1:42">
      <c r="A2040" s="71"/>
      <c r="B2040" s="72"/>
      <c r="C2040" s="71"/>
      <c r="D2040" s="72"/>
      <c r="E2040" s="71"/>
      <c r="F2040" s="72"/>
      <c r="G2040" s="77">
        <v>2800</v>
      </c>
      <c r="I2040" s="91">
        <v>0.97251298440640999</v>
      </c>
      <c r="J2040" s="92">
        <v>55.267704504986568</v>
      </c>
      <c r="K2040" s="92">
        <v>45.722648257816296</v>
      </c>
      <c r="L2040" s="92">
        <v>1.8193259890786593</v>
      </c>
      <c r="M2040" s="92">
        <v>-0.16594975395205125</v>
      </c>
      <c r="N2040" s="92">
        <v>-1.1106560487650232</v>
      </c>
      <c r="O2040" s="92">
        <v>2.1261094555967603E-2</v>
      </c>
      <c r="P2040" s="92">
        <v>-3.2045609621156297E-3</v>
      </c>
      <c r="Q2040" s="92">
        <v>-5.2496131448766606E-4</v>
      </c>
      <c r="R2040" s="92">
        <v>8.0717812199518381E-3</v>
      </c>
      <c r="S2040" s="92">
        <v>0.19388818560395316</v>
      </c>
      <c r="T2040" s="92">
        <v>-1.4555950031692495</v>
      </c>
      <c r="U2040" s="92">
        <v>2.8069433333114899</v>
      </c>
      <c r="V2040" s="92">
        <v>-8.6877142870368483E-3</v>
      </c>
      <c r="W2040" s="92">
        <v>9.2562736464093603E-2</v>
      </c>
      <c r="X2040" s="92">
        <v>-2.1141630011096639E-2</v>
      </c>
      <c r="Y2040" s="92">
        <v>-2.4645984905286559E-4</v>
      </c>
      <c r="Z2040" s="92">
        <v>-2.2271090841001649E-4</v>
      </c>
      <c r="AA2040" s="92">
        <v>-8.0530914467468275E-4</v>
      </c>
      <c r="AB2040" s="92">
        <v>6.9528252851809303E-6</v>
      </c>
      <c r="AC2040" s="119">
        <v>3.7406102913559768E-3</v>
      </c>
      <c r="AD2040" s="119">
        <v>0.10420199368877898</v>
      </c>
      <c r="AE2040" s="120">
        <v>2.6137805236747837E-3</v>
      </c>
      <c r="AF2040" s="119">
        <v>6.9465594831068178E-2</v>
      </c>
      <c r="AG2040" s="119">
        <v>0.85183181732573976</v>
      </c>
      <c r="AH2040" s="120">
        <v>1.1157505048418177E-2</v>
      </c>
      <c r="AI2040" s="121">
        <v>-35</v>
      </c>
      <c r="AJ2040" s="121">
        <v>-15</v>
      </c>
      <c r="AK2040" s="121">
        <v>35</v>
      </c>
      <c r="AL2040" s="121">
        <v>55</v>
      </c>
      <c r="AM2040" s="122">
        <v>43732</v>
      </c>
      <c r="AN2040" s="121" t="s">
        <v>542</v>
      </c>
      <c r="AP2040" s="87"/>
    </row>
    <row r="2041" spans="1:42">
      <c r="A2041" s="71"/>
      <c r="B2041" s="72"/>
      <c r="C2041" s="71"/>
      <c r="D2041" s="72"/>
      <c r="E2041" s="71"/>
      <c r="F2041" s="72"/>
      <c r="G2041" s="77">
        <v>6300</v>
      </c>
      <c r="I2041" s="91">
        <v>2.00829601344287</v>
      </c>
      <c r="J2041" s="92">
        <v>-22.592265780500572</v>
      </c>
      <c r="K2041" s="92">
        <v>24.93252073203811</v>
      </c>
      <c r="L2041" s="92">
        <v>-1.9421597508141815</v>
      </c>
      <c r="M2041" s="92">
        <v>-0.25749995644928447</v>
      </c>
      <c r="N2041" s="92">
        <v>-0.70781155056413381</v>
      </c>
      <c r="O2041" s="92">
        <v>-2.9346484980450348E-2</v>
      </c>
      <c r="P2041" s="92">
        <v>-1.0958593653032354E-3</v>
      </c>
      <c r="Q2041" s="92">
        <v>1.2659856442650674E-3</v>
      </c>
      <c r="R2041" s="92">
        <v>5.3707123726872722E-3</v>
      </c>
      <c r="S2041" s="92">
        <v>-152.55202644376081</v>
      </c>
      <c r="T2041" s="92">
        <v>-17.406074094079408</v>
      </c>
      <c r="U2041" s="92">
        <v>12.181014756532752</v>
      </c>
      <c r="V2041" s="92">
        <v>-0.69124063994788021</v>
      </c>
      <c r="W2041" s="92">
        <v>0.19231406236583229</v>
      </c>
      <c r="X2041" s="92">
        <v>-0.19798642039898456</v>
      </c>
      <c r="Y2041" s="92">
        <v>-8.4244018067544876E-3</v>
      </c>
      <c r="Z2041" s="92">
        <v>1.799158566021892E-3</v>
      </c>
      <c r="AA2041" s="92">
        <v>-7.0059594993433891E-4</v>
      </c>
      <c r="AB2041" s="92">
        <v>1.316412028331714E-3</v>
      </c>
      <c r="AC2041" s="119">
        <v>1.8935409098795816E-2</v>
      </c>
      <c r="AD2041" s="119">
        <v>5.9901074744037786</v>
      </c>
      <c r="AE2041" s="120">
        <v>9.2967679412588773E-3</v>
      </c>
      <c r="AF2041" s="119">
        <v>3.0982255197973983E-3</v>
      </c>
      <c r="AG2041" s="119">
        <v>1.172081194924208</v>
      </c>
      <c r="AH2041" s="120">
        <v>4.1484143322267396E-3</v>
      </c>
      <c r="AI2041" s="121">
        <v>-35</v>
      </c>
      <c r="AJ2041" s="121">
        <v>-15</v>
      </c>
      <c r="AK2041" s="121">
        <v>35</v>
      </c>
      <c r="AL2041" s="121">
        <v>55</v>
      </c>
      <c r="AM2041" s="122">
        <v>43732</v>
      </c>
      <c r="AN2041" s="121" t="s">
        <v>542</v>
      </c>
      <c r="AP2041" s="87"/>
    </row>
    <row r="2042" spans="1:42">
      <c r="A2042" s="71" t="s">
        <v>43</v>
      </c>
      <c r="B2042" s="72" t="s">
        <v>44</v>
      </c>
      <c r="C2042" s="71" t="s">
        <v>45</v>
      </c>
      <c r="D2042" s="72" t="s">
        <v>106</v>
      </c>
      <c r="E2042" s="71" t="s">
        <v>47</v>
      </c>
      <c r="F2042" s="72" t="s">
        <v>131</v>
      </c>
      <c r="G2042" s="77"/>
      <c r="H2042" s="3" t="s">
        <v>130</v>
      </c>
      <c r="I2042" s="91"/>
      <c r="J2042" s="92"/>
      <c r="K2042" s="92"/>
      <c r="L2042" s="92"/>
      <c r="M2042" s="92"/>
      <c r="N2042" s="92"/>
      <c r="O2042" s="92"/>
      <c r="P2042" s="92"/>
      <c r="Q2042" s="92"/>
      <c r="R2042" s="92"/>
      <c r="S2042" s="92"/>
      <c r="T2042" s="92"/>
      <c r="U2042" s="92"/>
      <c r="V2042" s="92"/>
      <c r="W2042" s="92"/>
      <c r="X2042" s="92"/>
      <c r="Y2042" s="92"/>
      <c r="Z2042" s="92"/>
      <c r="AA2042" s="92"/>
      <c r="AB2042" s="92"/>
      <c r="AC2042" s="119"/>
      <c r="AD2042" s="119"/>
      <c r="AE2042" s="120"/>
      <c r="AF2042" s="119"/>
      <c r="AG2042" s="119"/>
      <c r="AH2042" s="120"/>
      <c r="AI2042" s="121"/>
      <c r="AJ2042" s="121"/>
      <c r="AK2042" s="121"/>
      <c r="AL2042" s="121"/>
      <c r="AM2042" s="122"/>
      <c r="AN2042" s="121"/>
      <c r="AP2042" s="87"/>
    </row>
    <row r="2043" spans="1:42">
      <c r="A2043" s="71"/>
      <c r="B2043" s="72"/>
      <c r="C2043" s="71"/>
      <c r="D2043" s="72"/>
      <c r="E2043" s="71"/>
      <c r="F2043" s="72"/>
      <c r="G2043" s="77">
        <v>1800</v>
      </c>
      <c r="I2043" s="91">
        <v>645.7592086990943</v>
      </c>
      <c r="J2043" s="92">
        <v>33.180475783639878</v>
      </c>
      <c r="K2043" s="92">
        <v>-17.756918010405688</v>
      </c>
      <c r="L2043" s="92">
        <v>1.2330324971095419</v>
      </c>
      <c r="M2043" s="92">
        <v>-9.3856157968348272E-2</v>
      </c>
      <c r="N2043" s="92">
        <v>0.34072266119030742</v>
      </c>
      <c r="O2043" s="92">
        <v>1.6525097935609342E-2</v>
      </c>
      <c r="P2043" s="92">
        <v>-1.1562631157224098E-3</v>
      </c>
      <c r="Q2043" s="92">
        <v>-2.1503475051566021E-5</v>
      </c>
      <c r="R2043" s="92">
        <v>-2.515063797801342E-3</v>
      </c>
      <c r="S2043" s="92">
        <v>-1.4891353441885467E-2</v>
      </c>
      <c r="T2043" s="92">
        <v>3.5448866841807778</v>
      </c>
      <c r="U2043" s="92">
        <v>2.8098996058754078</v>
      </c>
      <c r="V2043" s="92">
        <v>0.5014823615444659</v>
      </c>
      <c r="W2043" s="92">
        <v>0.34683334439948432</v>
      </c>
      <c r="X2043" s="92">
        <v>5.9499490043148098E-2</v>
      </c>
      <c r="Y2043" s="92">
        <v>7.4135063745230734E-3</v>
      </c>
      <c r="Z2043" s="92">
        <v>4.4109725209078325E-4</v>
      </c>
      <c r="AA2043" s="92">
        <v>-3.3253661032569661E-3</v>
      </c>
      <c r="AB2043" s="92">
        <v>-1.1403848555774075E-3</v>
      </c>
      <c r="AC2043" s="119">
        <v>0.10178365370114613</v>
      </c>
      <c r="AD2043" s="119">
        <v>4.0140020570815373</v>
      </c>
      <c r="AE2043" s="120">
        <v>1.7157656989247486E-2</v>
      </c>
      <c r="AF2043" s="119">
        <v>0.34200078225494984</v>
      </c>
      <c r="AG2043" s="119">
        <v>9.5110918105191704</v>
      </c>
      <c r="AH2043" s="120">
        <v>3.0612836063339026E-2</v>
      </c>
      <c r="AI2043" s="121">
        <v>-35</v>
      </c>
      <c r="AJ2043" s="121">
        <v>-15</v>
      </c>
      <c r="AK2043" s="121">
        <v>37.799999999999997</v>
      </c>
      <c r="AL2043" s="121">
        <v>54.4</v>
      </c>
      <c r="AM2043" s="122">
        <v>43628</v>
      </c>
      <c r="AN2043" s="121" t="s">
        <v>542</v>
      </c>
      <c r="AP2043" s="87"/>
    </row>
    <row r="2044" spans="1:42">
      <c r="A2044" s="71"/>
      <c r="B2044" s="72"/>
      <c r="C2044" s="71"/>
      <c r="D2044" s="72"/>
      <c r="E2044" s="71"/>
      <c r="F2044" s="72"/>
      <c r="G2044" s="77">
        <v>2800</v>
      </c>
      <c r="I2044" s="91">
        <v>582.42813581607118</v>
      </c>
      <c r="J2044" s="92">
        <v>39.334214063051576</v>
      </c>
      <c r="K2044" s="92">
        <v>-7.3928714946752292</v>
      </c>
      <c r="L2044" s="92">
        <v>1.6784352742844306</v>
      </c>
      <c r="M2044" s="92">
        <v>9.0836481443973424E-2</v>
      </c>
      <c r="N2044" s="92">
        <v>0.16218592555468378</v>
      </c>
      <c r="O2044" s="92">
        <v>2.521302765030798E-2</v>
      </c>
      <c r="P2044" s="92">
        <v>2.4128251295385096E-3</v>
      </c>
      <c r="Q2044" s="92">
        <v>1.3046492897819302E-5</v>
      </c>
      <c r="R2044" s="92">
        <v>-1.2741084824431765E-3</v>
      </c>
      <c r="S2044" s="92">
        <v>38.934328653240023</v>
      </c>
      <c r="T2044" s="92">
        <v>16.061688262632728</v>
      </c>
      <c r="U2044" s="92">
        <v>7.9696201052235036</v>
      </c>
      <c r="V2044" s="92">
        <v>0.72410577802149789</v>
      </c>
      <c r="W2044" s="92">
        <v>1.6595961430337883E-3</v>
      </c>
      <c r="X2044" s="92">
        <v>-0.15336514396644882</v>
      </c>
      <c r="Y2044" s="92">
        <v>1.0595123264664781E-2</v>
      </c>
      <c r="Z2044" s="92">
        <v>-4.089265338076151E-5</v>
      </c>
      <c r="AA2044" s="92">
        <v>2.5125416668385939E-4</v>
      </c>
      <c r="AB2044" s="92">
        <v>1.1117048093308337E-3</v>
      </c>
      <c r="AC2044" s="119">
        <v>0.14175932178758605</v>
      </c>
      <c r="AD2044" s="119">
        <v>6.0831801107111207</v>
      </c>
      <c r="AE2044" s="120">
        <v>1.6558267906276937E-2</v>
      </c>
      <c r="AF2044" s="119">
        <v>6.5903094076753016E-2</v>
      </c>
      <c r="AG2044" s="119">
        <v>2.0060016903640516</v>
      </c>
      <c r="AH2044" s="120">
        <v>1.1492302911620305E-2</v>
      </c>
      <c r="AI2044" s="121">
        <v>-35</v>
      </c>
      <c r="AJ2044" s="121">
        <v>-15</v>
      </c>
      <c r="AK2044" s="121">
        <v>37.799999999999997</v>
      </c>
      <c r="AL2044" s="121">
        <v>54.4</v>
      </c>
      <c r="AM2044" s="122">
        <v>43628</v>
      </c>
      <c r="AN2044" s="121" t="s">
        <v>542</v>
      </c>
      <c r="AP2044" s="87"/>
    </row>
    <row r="2045" spans="1:42">
      <c r="A2045" s="71"/>
      <c r="B2045" s="72"/>
      <c r="C2045" s="71"/>
      <c r="D2045" s="72"/>
      <c r="E2045" s="71"/>
      <c r="F2045" s="72"/>
      <c r="G2045" s="77">
        <v>6300</v>
      </c>
      <c r="I2045" s="91">
        <v>1677.7230688573561</v>
      </c>
      <c r="J2045" s="92">
        <v>79.654492004338408</v>
      </c>
      <c r="K2045" s="92">
        <v>-47.869850640201484</v>
      </c>
      <c r="L2045" s="92">
        <v>3.8201477210245383</v>
      </c>
      <c r="M2045" s="92">
        <v>0.63424928795081725</v>
      </c>
      <c r="N2045" s="92">
        <v>1.2085888863635883</v>
      </c>
      <c r="O2045" s="92">
        <v>5.5653024963601347E-2</v>
      </c>
      <c r="P2045" s="92">
        <v>1.9929928786862261E-3</v>
      </c>
      <c r="Q2045" s="92">
        <v>-6.560234058564725E-3</v>
      </c>
      <c r="R2045" s="92">
        <v>-1.0454496604721279E-2</v>
      </c>
      <c r="S2045" s="92">
        <v>675.75050127480836</v>
      </c>
      <c r="T2045" s="92">
        <v>41.900046877875205</v>
      </c>
      <c r="U2045" s="92">
        <v>-16.683694797334329</v>
      </c>
      <c r="V2045" s="92">
        <v>1.9505123859495679</v>
      </c>
      <c r="W2045" s="92">
        <v>0.15564775930639055</v>
      </c>
      <c r="X2045" s="92">
        <v>0.4684325934545906</v>
      </c>
      <c r="Y2045" s="92">
        <v>2.586143369517126E-2</v>
      </c>
      <c r="Z2045" s="92">
        <v>-3.5732751913268124E-3</v>
      </c>
      <c r="AA2045" s="92">
        <v>-3.2663969241421851E-3</v>
      </c>
      <c r="AB2045" s="92">
        <v>-4.2691121037382934E-3</v>
      </c>
      <c r="AC2045" s="119">
        <v>1.3480532483540191</v>
      </c>
      <c r="AD2045" s="119">
        <v>45.684497656709212</v>
      </c>
      <c r="AE2045" s="120">
        <v>1.5952507702241294E-2</v>
      </c>
      <c r="AF2045" s="119">
        <v>0.38265701847036199</v>
      </c>
      <c r="AG2045" s="119">
        <v>18.516911710881356</v>
      </c>
      <c r="AH2045" s="120">
        <v>1.2375511244146813E-2</v>
      </c>
      <c r="AI2045" s="121">
        <v>-35</v>
      </c>
      <c r="AJ2045" s="121">
        <v>-15</v>
      </c>
      <c r="AK2045" s="121">
        <v>37.799999999999997</v>
      </c>
      <c r="AL2045" s="121">
        <v>54.4</v>
      </c>
      <c r="AM2045" s="122">
        <v>43628</v>
      </c>
      <c r="AN2045" s="121" t="s">
        <v>542</v>
      </c>
      <c r="AP2045" s="87"/>
    </row>
    <row r="2046" spans="1:42">
      <c r="A2046" s="93" t="s">
        <v>43</v>
      </c>
      <c r="B2046" s="94" t="s">
        <v>44</v>
      </c>
      <c r="C2046" s="93" t="s">
        <v>45</v>
      </c>
      <c r="D2046" s="94" t="s">
        <v>46</v>
      </c>
      <c r="E2046" s="93" t="s">
        <v>47</v>
      </c>
      <c r="F2046" s="94" t="s">
        <v>133</v>
      </c>
      <c r="G2046" s="95"/>
      <c r="H2046" s="94" t="str">
        <f>CONCATENATE(A2046," ",B2046," ",C2046," ",D2046," ",E2046," ",F2046)</f>
        <v>Embraco Isobutane 50 Hz 230V VSD VEGZ11C</v>
      </c>
      <c r="I2046" s="97"/>
      <c r="J2046" s="96"/>
      <c r="K2046" s="96"/>
      <c r="L2046" s="96"/>
      <c r="M2046" s="96"/>
      <c r="N2046" s="96"/>
      <c r="O2046" s="96"/>
      <c r="P2046" s="96"/>
      <c r="Q2046" s="96"/>
      <c r="R2046" s="96"/>
      <c r="S2046" s="96"/>
      <c r="T2046" s="96"/>
      <c r="U2046" s="96"/>
      <c r="V2046" s="96"/>
      <c r="W2046" s="96"/>
      <c r="X2046" s="96"/>
      <c r="Y2046" s="96"/>
      <c r="Z2046" s="96"/>
      <c r="AA2046" s="96"/>
      <c r="AB2046" s="96"/>
      <c r="AC2046" s="119"/>
      <c r="AD2046" s="119"/>
      <c r="AE2046" s="120"/>
      <c r="AF2046" s="119"/>
      <c r="AG2046" s="119"/>
      <c r="AH2046" s="120"/>
      <c r="AI2046" s="121"/>
      <c r="AJ2046" s="121"/>
      <c r="AK2046" s="121"/>
      <c r="AL2046" s="121"/>
      <c r="AM2046" s="122"/>
      <c r="AN2046" s="121"/>
      <c r="AP2046" s="87"/>
    </row>
    <row r="2047" spans="1:42">
      <c r="A2047" s="93"/>
      <c r="B2047" s="94"/>
      <c r="C2047" s="93"/>
      <c r="D2047" s="94"/>
      <c r="E2047" s="93"/>
      <c r="F2047" s="94"/>
      <c r="G2047" s="95">
        <v>1600</v>
      </c>
      <c r="H2047" s="94"/>
      <c r="I2047" s="97">
        <v>1.3527913837814693</v>
      </c>
      <c r="J2047" s="96">
        <v>16.8929688817278</v>
      </c>
      <c r="K2047" s="96">
        <v>28.668251852600644</v>
      </c>
      <c r="L2047" s="96">
        <v>0.279333154981252</v>
      </c>
      <c r="M2047" s="96">
        <v>-2.1818364587802553E-2</v>
      </c>
      <c r="N2047" s="96">
        <v>-0.70216688323644916</v>
      </c>
      <c r="O2047" s="96">
        <v>1.1872756128016751E-3</v>
      </c>
      <c r="P2047" s="96">
        <v>-1.9312104098675377E-3</v>
      </c>
      <c r="Q2047" s="96">
        <v>-1.5724835287889032E-3</v>
      </c>
      <c r="R2047" s="96">
        <v>4.8925607483526166E-3</v>
      </c>
      <c r="S2047" s="96">
        <v>2.9896116594617714</v>
      </c>
      <c r="T2047" s="96">
        <v>0.57790167230271783</v>
      </c>
      <c r="U2047" s="96">
        <v>3.4842475244758373</v>
      </c>
      <c r="V2047" s="96">
        <v>2.5294383724531307E-2</v>
      </c>
      <c r="W2047" s="96">
        <v>3.7742692039239113E-2</v>
      </c>
      <c r="X2047" s="96">
        <v>-4.3332028591250953E-2</v>
      </c>
      <c r="Y2047" s="96">
        <v>1.0096488837867353E-3</v>
      </c>
      <c r="Z2047" s="96">
        <v>8.5367121710879662E-4</v>
      </c>
      <c r="AA2047" s="96">
        <v>2.0673170089034249E-4</v>
      </c>
      <c r="AB2047" s="96">
        <v>2.7391261225661505E-4</v>
      </c>
      <c r="AC2047" s="119">
        <v>2.1119296456559397E-2</v>
      </c>
      <c r="AD2047" s="119">
        <v>1.1008520661534837</v>
      </c>
      <c r="AE2047" s="120">
        <v>5.6610457412380041E-3</v>
      </c>
      <c r="AF2047" s="119">
        <v>0.1090675908312788</v>
      </c>
      <c r="AG2047" s="119">
        <v>4.8912857227721851</v>
      </c>
      <c r="AH2047" s="120">
        <v>1.792634036668117E-2</v>
      </c>
      <c r="AI2047" s="121">
        <v>-35</v>
      </c>
      <c r="AJ2047" s="121">
        <v>-10</v>
      </c>
      <c r="AK2047" s="121">
        <v>35</v>
      </c>
      <c r="AL2047" s="121">
        <v>55</v>
      </c>
      <c r="AM2047" s="122">
        <v>42475</v>
      </c>
      <c r="AN2047" s="121" t="s">
        <v>481</v>
      </c>
      <c r="AP2047" s="87"/>
    </row>
    <row r="2048" spans="1:42">
      <c r="A2048" s="93"/>
      <c r="B2048" s="94"/>
      <c r="C2048" s="93"/>
      <c r="D2048" s="94"/>
      <c r="E2048" s="93"/>
      <c r="F2048" s="94"/>
      <c r="G2048" s="95">
        <v>2000</v>
      </c>
      <c r="H2048" s="94"/>
      <c r="I2048" s="97">
        <v>2.8846732917461462</v>
      </c>
      <c r="J2048" s="96">
        <v>14.733619434273379</v>
      </c>
      <c r="K2048" s="96">
        <v>36.593290106133153</v>
      </c>
      <c r="L2048" s="96">
        <v>0.13134360012746746</v>
      </c>
      <c r="M2048" s="96">
        <v>3.0945659628908516E-2</v>
      </c>
      <c r="N2048" s="96">
        <v>-0.96343150603282102</v>
      </c>
      <c r="O2048" s="96">
        <v>1.6280878689783065E-3</v>
      </c>
      <c r="P2048" s="96">
        <v>2.271536160725398E-3</v>
      </c>
      <c r="Q2048" s="96">
        <v>-4.7072774386058055E-4</v>
      </c>
      <c r="R2048" s="96">
        <v>7.44073333979927E-3</v>
      </c>
      <c r="S2048" s="96">
        <v>-25.416060996918191</v>
      </c>
      <c r="T2048" s="96">
        <v>-4.5660577695839804</v>
      </c>
      <c r="U2048" s="96">
        <v>4.7523055872164255</v>
      </c>
      <c r="V2048" s="96">
        <v>-9.4229741497412131E-2</v>
      </c>
      <c r="W2048" s="96">
        <v>0.16539825135769592</v>
      </c>
      <c r="X2048" s="96">
        <v>-5.3981502179755135E-2</v>
      </c>
      <c r="Y2048" s="96">
        <v>-1.7060932941110701E-4</v>
      </c>
      <c r="Z2048" s="96">
        <v>1.8326939035982384E-3</v>
      </c>
      <c r="AA2048" s="96">
        <v>-6.3108146120703147E-4</v>
      </c>
      <c r="AB2048" s="96">
        <v>3.091697727389949E-4</v>
      </c>
      <c r="AC2048" s="119">
        <v>4.0077603381975808E-2</v>
      </c>
      <c r="AD2048" s="119">
        <v>1.6929077972856736</v>
      </c>
      <c r="AE2048" s="120">
        <v>5.2221837876854239E-3</v>
      </c>
      <c r="AF2048" s="119">
        <v>4.7137349561431993E-2</v>
      </c>
      <c r="AG2048" s="119">
        <v>1.3094936252245495</v>
      </c>
      <c r="AH2048" s="120">
        <v>6.6853626372153857E-3</v>
      </c>
      <c r="AI2048" s="121">
        <v>-35</v>
      </c>
      <c r="AJ2048" s="121">
        <v>-10</v>
      </c>
      <c r="AK2048" s="121">
        <v>35</v>
      </c>
      <c r="AL2048" s="121">
        <v>55</v>
      </c>
      <c r="AM2048" s="122">
        <v>42475</v>
      </c>
      <c r="AN2048" s="121" t="s">
        <v>481</v>
      </c>
      <c r="AP2048" s="87"/>
    </row>
    <row r="2049" spans="1:42">
      <c r="A2049" s="93"/>
      <c r="B2049" s="94"/>
      <c r="C2049" s="93"/>
      <c r="D2049" s="94"/>
      <c r="E2049" s="93"/>
      <c r="F2049" s="94"/>
      <c r="G2049" s="95">
        <v>3600</v>
      </c>
      <c r="H2049" s="94"/>
      <c r="I2049" s="97">
        <v>-11.124801311214163</v>
      </c>
      <c r="J2049" s="96">
        <v>40.200072573542336</v>
      </c>
      <c r="K2049" s="96">
        <v>64.333834018525152</v>
      </c>
      <c r="L2049" s="96">
        <v>0.51548457010062176</v>
      </c>
      <c r="M2049" s="96">
        <v>-0.37828314661971052</v>
      </c>
      <c r="N2049" s="96">
        <v>-1.6668242201002113</v>
      </c>
      <c r="O2049" s="96">
        <v>1.2377282994767145E-3</v>
      </c>
      <c r="P2049" s="96">
        <v>-5.3630444057952437E-3</v>
      </c>
      <c r="Q2049" s="96">
        <v>-3.4348074240996305E-4</v>
      </c>
      <c r="R2049" s="96">
        <v>1.2313559194040364E-2</v>
      </c>
      <c r="S2049" s="96">
        <v>-0.95910708422288327</v>
      </c>
      <c r="T2049" s="96">
        <v>-3.2473269481091029</v>
      </c>
      <c r="U2049" s="96">
        <v>7.84312836021292</v>
      </c>
      <c r="V2049" s="96">
        <v>-0.13241154306848943</v>
      </c>
      <c r="W2049" s="96">
        <v>0.1459163295391879</v>
      </c>
      <c r="X2049" s="96">
        <v>-0.10105071990605805</v>
      </c>
      <c r="Y2049" s="96">
        <v>-2.1964121918604247E-3</v>
      </c>
      <c r="Z2049" s="96">
        <v>-1.8549323725766442E-4</v>
      </c>
      <c r="AA2049" s="96">
        <v>-1.3806680516090489E-3</v>
      </c>
      <c r="AB2049" s="96">
        <v>4.3926650636197243E-4</v>
      </c>
      <c r="AC2049" s="119">
        <v>7.0996508438615089E-2</v>
      </c>
      <c r="AD2049" s="119">
        <v>2.1184724716685479</v>
      </c>
      <c r="AE2049" s="120">
        <v>3.163980792804979E-3</v>
      </c>
      <c r="AF2049" s="119">
        <v>3.2746242320880553E-2</v>
      </c>
      <c r="AG2049" s="119">
        <v>1.0308970477504329</v>
      </c>
      <c r="AH2049" s="120">
        <v>3.2655490882411583E-3</v>
      </c>
      <c r="AI2049" s="121">
        <v>-35</v>
      </c>
      <c r="AJ2049" s="121">
        <v>-10</v>
      </c>
      <c r="AK2049" s="121">
        <v>35</v>
      </c>
      <c r="AL2049" s="121">
        <v>55</v>
      </c>
      <c r="AM2049" s="122">
        <v>42475</v>
      </c>
      <c r="AN2049" s="121" t="s">
        <v>481</v>
      </c>
      <c r="AP2049" s="87"/>
    </row>
    <row r="2050" spans="1:42">
      <c r="A2050" s="96" t="s">
        <v>43</v>
      </c>
      <c r="B2050" s="96" t="s">
        <v>44</v>
      </c>
      <c r="C2050" s="96" t="s">
        <v>105</v>
      </c>
      <c r="D2050" s="96" t="s">
        <v>46</v>
      </c>
      <c r="E2050" s="96" t="s">
        <v>47</v>
      </c>
      <c r="F2050" s="96" t="s">
        <v>135</v>
      </c>
      <c r="G2050" s="96"/>
      <c r="H2050" s="96" t="str">
        <f t="shared" ref="H2050" si="28">CONCATENATE(A2050," ",B2050," ",C2050," ",D2050," ",E2050," ",F2050)</f>
        <v>Embraco Isobutane 60 Hz 230V VSD VEMT7C</v>
      </c>
      <c r="I2050" s="96"/>
      <c r="J2050" s="96"/>
      <c r="K2050" s="96"/>
      <c r="L2050" s="96"/>
      <c r="M2050" s="96"/>
      <c r="N2050" s="96"/>
      <c r="O2050" s="96"/>
      <c r="P2050" s="96"/>
      <c r="Q2050" s="96"/>
      <c r="R2050" s="96"/>
      <c r="S2050" s="96"/>
      <c r="T2050" s="96"/>
      <c r="U2050" s="96"/>
      <c r="V2050" s="96"/>
      <c r="W2050" s="96"/>
      <c r="X2050" s="96"/>
      <c r="Y2050" s="96"/>
      <c r="Z2050" s="96"/>
      <c r="AA2050" s="96"/>
      <c r="AB2050" s="96"/>
      <c r="AC2050" s="119"/>
      <c r="AD2050" s="119"/>
      <c r="AE2050" s="120"/>
      <c r="AF2050" s="119"/>
      <c r="AG2050" s="119"/>
      <c r="AH2050" s="120"/>
      <c r="AI2050" s="121"/>
      <c r="AJ2050" s="121"/>
      <c r="AK2050" s="121"/>
      <c r="AL2050" s="121"/>
      <c r="AM2050" s="122"/>
      <c r="AN2050" s="121"/>
      <c r="AP2050" s="87"/>
    </row>
    <row r="2051" spans="1:42">
      <c r="A2051" s="96"/>
      <c r="B2051" s="96"/>
      <c r="C2051" s="96"/>
      <c r="D2051" s="96"/>
      <c r="E2051" s="96"/>
      <c r="F2051" s="96"/>
      <c r="G2051" s="95">
        <v>1200</v>
      </c>
      <c r="H2051" s="96"/>
      <c r="I2051" s="96">
        <f>(($G$2043*I2052)/$G$2043)*1.0207</f>
        <v>253.58310533334733</v>
      </c>
      <c r="J2051" s="96">
        <f t="shared" ref="J2051:AH2051" si="29">(($G$2043*J2052)/$G$2043)*1.0207</f>
        <v>8.7560326227314444</v>
      </c>
      <c r="K2051" s="96">
        <f t="shared" si="29"/>
        <v>-1.0047610268381932</v>
      </c>
      <c r="L2051" s="96">
        <f t="shared" si="29"/>
        <v>0.12549409872567793</v>
      </c>
      <c r="M2051" s="96">
        <f t="shared" si="29"/>
        <v>-1.9859634045773795E-2</v>
      </c>
      <c r="N2051" s="96">
        <f t="shared" si="29"/>
        <v>-1.2309024384292929E-2</v>
      </c>
      <c r="O2051" s="96">
        <f t="shared" si="29"/>
        <v>5.0696849120488959E-4</v>
      </c>
      <c r="P2051" s="96">
        <f t="shared" si="29"/>
        <v>-7.4588306572400287E-4</v>
      </c>
      <c r="Q2051" s="96">
        <f t="shared" si="29"/>
        <v>-4.2548012306160339E-4</v>
      </c>
      <c r="R2051" s="96">
        <f t="shared" si="29"/>
        <v>5.0901377213873233E-6</v>
      </c>
      <c r="S2051" s="96">
        <f t="shared" si="29"/>
        <v>18.479746630638424</v>
      </c>
      <c r="T2051" s="96">
        <f t="shared" si="29"/>
        <v>-0.54970909724019323</v>
      </c>
      <c r="U2051" s="96">
        <f t="shared" si="29"/>
        <v>0.8403503713482795</v>
      </c>
      <c r="V2051" s="96">
        <f t="shared" si="29"/>
        <v>-1.286172195131563E-2</v>
      </c>
      <c r="W2051" s="96">
        <f t="shared" si="29"/>
        <v>3.0346345370557977E-2</v>
      </c>
      <c r="X2051" s="96">
        <f t="shared" si="29"/>
        <v>2.3958101284490617E-3</v>
      </c>
      <c r="Y2051" s="96">
        <f t="shared" si="29"/>
        <v>4.0607681881508491E-4</v>
      </c>
      <c r="Z2051" s="96">
        <f t="shared" si="29"/>
        <v>7.8587784469562772E-4</v>
      </c>
      <c r="AA2051" s="96">
        <f t="shared" si="29"/>
        <v>2.6287924136853403E-4</v>
      </c>
      <c r="AB2051" s="96">
        <f t="shared" si="29"/>
        <v>6.125401784426008E-6</v>
      </c>
      <c r="AC2051" s="119">
        <f t="shared" si="29"/>
        <v>4.1196883874459057E-2</v>
      </c>
      <c r="AD2051" s="119">
        <f t="shared" si="29"/>
        <v>1.7080503757647976</v>
      </c>
      <c r="AE2051" s="120">
        <f t="shared" si="29"/>
        <v>2.0932109004382225E-2</v>
      </c>
      <c r="AF2051" s="119">
        <f t="shared" si="29"/>
        <v>4.6300503197029719E-2</v>
      </c>
      <c r="AG2051" s="119">
        <f t="shared" si="29"/>
        <v>1.4551303364928734</v>
      </c>
      <c r="AH2051" s="120">
        <f t="shared" si="29"/>
        <v>1.1676670021865145E-2</v>
      </c>
      <c r="AI2051" s="121">
        <v>-35</v>
      </c>
      <c r="AJ2051" s="121">
        <v>-10</v>
      </c>
      <c r="AK2051" s="121">
        <v>35</v>
      </c>
      <c r="AL2051" s="121">
        <v>65</v>
      </c>
      <c r="AM2051" s="122">
        <v>43201</v>
      </c>
      <c r="AN2051" s="121" t="s">
        <v>542</v>
      </c>
      <c r="AP2051" s="87"/>
    </row>
    <row r="2052" spans="1:42">
      <c r="A2052" s="96"/>
      <c r="B2052" s="96"/>
      <c r="C2052" s="96"/>
      <c r="D2052" s="96"/>
      <c r="E2052" s="96"/>
      <c r="F2052" s="96"/>
      <c r="G2052" s="95">
        <v>1600</v>
      </c>
      <c r="I2052" s="96">
        <v>248.44038927534766</v>
      </c>
      <c r="J2052" s="96">
        <v>8.5784585311369117</v>
      </c>
      <c r="K2052" s="96">
        <v>-0.98438427239952309</v>
      </c>
      <c r="L2052" s="96">
        <v>0.12294905332191432</v>
      </c>
      <c r="M2052" s="96">
        <v>-1.9456876698122662E-2</v>
      </c>
      <c r="N2052" s="96">
        <v>-1.2059394909662905E-2</v>
      </c>
      <c r="O2052" s="96">
        <v>4.9668706887909242E-4</v>
      </c>
      <c r="P2052" s="96">
        <v>-7.3075640807681295E-4</v>
      </c>
      <c r="Q2052" s="96">
        <v>-4.1685130112824868E-4</v>
      </c>
      <c r="R2052" s="96">
        <v>4.986908711068212E-6</v>
      </c>
      <c r="S2052" s="96">
        <v>18.104973675554447</v>
      </c>
      <c r="T2052" s="96">
        <v>-0.5385608868817412</v>
      </c>
      <c r="U2052" s="96">
        <v>0.82330789786252512</v>
      </c>
      <c r="V2052" s="96">
        <v>-1.2600883659562682E-2</v>
      </c>
      <c r="W2052" s="96">
        <v>2.9730915421336317E-2</v>
      </c>
      <c r="X2052" s="96">
        <v>2.3472226202107004E-3</v>
      </c>
      <c r="Y2052" s="96">
        <v>3.9784149976984906E-4</v>
      </c>
      <c r="Z2052" s="96">
        <v>7.6994008493742308E-4</v>
      </c>
      <c r="AA2052" s="96">
        <v>2.5754799781378863E-4</v>
      </c>
      <c r="AB2052" s="96">
        <v>6.0011774119976571E-6</v>
      </c>
      <c r="AC2052" s="119">
        <v>4.0361402835758849E-2</v>
      </c>
      <c r="AD2052" s="119">
        <v>1.6734107727684899</v>
      </c>
      <c r="AE2052" s="120">
        <v>2.0507601650222619E-2</v>
      </c>
      <c r="AF2052" s="119">
        <v>4.5361519738443934E-2</v>
      </c>
      <c r="AG2052" s="119">
        <v>1.4256200024423176</v>
      </c>
      <c r="AH2052" s="120">
        <v>1.1439864820089296E-2</v>
      </c>
      <c r="AI2052" s="121">
        <v>-35</v>
      </c>
      <c r="AJ2052" s="121">
        <v>-10</v>
      </c>
      <c r="AK2052" s="121">
        <v>35</v>
      </c>
      <c r="AL2052" s="121">
        <v>65</v>
      </c>
      <c r="AM2052" s="122">
        <v>43201</v>
      </c>
      <c r="AN2052" s="121" t="s">
        <v>542</v>
      </c>
      <c r="AP2052" s="87"/>
    </row>
    <row r="2053" spans="1:42">
      <c r="A2053" s="96"/>
      <c r="B2053" s="96"/>
      <c r="C2053" s="96"/>
      <c r="D2053" s="96"/>
      <c r="E2053" s="96"/>
      <c r="F2053" s="96"/>
      <c r="G2053" s="95">
        <v>2000</v>
      </c>
      <c r="I2053" s="96">
        <v>275.84686215504365</v>
      </c>
      <c r="J2053" s="96">
        <v>9.9661218231528697</v>
      </c>
      <c r="K2053" s="96">
        <v>0.75539021835097808</v>
      </c>
      <c r="L2053" s="96">
        <v>0.12881006138026632</v>
      </c>
      <c r="M2053" s="96">
        <v>6.3160099808824786E-4</v>
      </c>
      <c r="N2053" s="96">
        <v>-4.9301220646527089E-2</v>
      </c>
      <c r="O2053" s="96">
        <v>7.8497231720707893E-5</v>
      </c>
      <c r="P2053" s="96">
        <v>-9.8278062183134135E-4</v>
      </c>
      <c r="Q2053" s="96">
        <v>-8.9940237873027196E-4</v>
      </c>
      <c r="R2053" s="96">
        <v>1.6609748138521197E-4</v>
      </c>
      <c r="S2053" s="96">
        <v>9.2963811865230213</v>
      </c>
      <c r="T2053" s="96">
        <v>-2.0168920201505212</v>
      </c>
      <c r="U2053" s="96">
        <v>1.2932810556276744</v>
      </c>
      <c r="V2053" s="96">
        <v>-4.4176782188355641E-2</v>
      </c>
      <c r="W2053" s="96">
        <v>7.3495653146484444E-2</v>
      </c>
      <c r="X2053" s="96">
        <v>6.3938163905182923E-3</v>
      </c>
      <c r="Y2053" s="96">
        <v>2.0735395947206409E-5</v>
      </c>
      <c r="Z2053" s="96">
        <v>9.3272985051669113E-4</v>
      </c>
      <c r="AA2053" s="96">
        <v>-8.9333248396680822E-5</v>
      </c>
      <c r="AB2053" s="96">
        <v>-9.103679970767458E-5</v>
      </c>
      <c r="AC2053" s="119">
        <v>6.5868644223420522E-2</v>
      </c>
      <c r="AD2053" s="119">
        <v>2.6748771600336307</v>
      </c>
      <c r="AE2053" s="120">
        <v>1.6504370541041303E-2</v>
      </c>
      <c r="AF2053" s="119">
        <v>2.6182460456048884E-2</v>
      </c>
      <c r="AG2053" s="119">
        <v>0.89928589000117765</v>
      </c>
      <c r="AH2053" s="120">
        <v>9.2005261787827895E-3</v>
      </c>
      <c r="AI2053" s="121">
        <v>-35</v>
      </c>
      <c r="AJ2053" s="121">
        <v>-10</v>
      </c>
      <c r="AK2053" s="121">
        <v>35</v>
      </c>
      <c r="AL2053" s="121">
        <v>65</v>
      </c>
      <c r="AM2053" s="122">
        <v>43201</v>
      </c>
      <c r="AN2053" s="121" t="s">
        <v>542</v>
      </c>
      <c r="AP2053" s="87"/>
    </row>
    <row r="2054" spans="1:42">
      <c r="A2054" s="96"/>
      <c r="B2054" s="96"/>
      <c r="C2054" s="96"/>
      <c r="D2054" s="96"/>
      <c r="E2054" s="96"/>
      <c r="F2054" s="96"/>
      <c r="G2054" s="95">
        <v>3000</v>
      </c>
      <c r="I2054" s="96">
        <v>481.09804272931746</v>
      </c>
      <c r="J2054" s="96">
        <v>16.287273280215491</v>
      </c>
      <c r="K2054" s="96">
        <v>-1.8067002607640188</v>
      </c>
      <c r="L2054" s="96">
        <v>0.16904781081005185</v>
      </c>
      <c r="M2054" s="96">
        <v>-4.9871111858338951E-2</v>
      </c>
      <c r="N2054" s="96">
        <v>-3.2640869547862925E-2</v>
      </c>
      <c r="O2054" s="96">
        <v>2.2674567020403031E-4</v>
      </c>
      <c r="P2054" s="96">
        <v>-5.1459879285006556E-4</v>
      </c>
      <c r="Q2054" s="96">
        <v>-4.6915375375699349E-4</v>
      </c>
      <c r="R2054" s="96">
        <v>1.3850475605908588E-4</v>
      </c>
      <c r="S2054" s="96">
        <v>32.064421455784547</v>
      </c>
      <c r="T2054" s="96">
        <v>-1.6086354466817472</v>
      </c>
      <c r="U2054" s="96">
        <v>2.168130910071433</v>
      </c>
      <c r="V2054" s="96">
        <v>-6.4513416385080541E-2</v>
      </c>
      <c r="W2054" s="96">
        <v>7.6240542575111009E-2</v>
      </c>
      <c r="X2054" s="96">
        <v>-1.0454204878573709E-2</v>
      </c>
      <c r="Y2054" s="96">
        <v>-4.5198574784029784E-4</v>
      </c>
      <c r="Z2054" s="96">
        <v>9.2297354266245425E-4</v>
      </c>
      <c r="AA2054" s="96">
        <v>-9.0052884417441055E-5</v>
      </c>
      <c r="AB2054" s="96">
        <v>2.1628453121806979E-5</v>
      </c>
      <c r="AC2054" s="119">
        <v>1.9815113602730253E-2</v>
      </c>
      <c r="AD2054" s="119">
        <v>0.94926984275500303</v>
      </c>
      <c r="AE2054" s="120">
        <v>6.3178987577896042E-3</v>
      </c>
      <c r="AF2054" s="119">
        <v>2.2815365277876965E-2</v>
      </c>
      <c r="AG2054" s="119">
        <v>0.83753422853385029</v>
      </c>
      <c r="AH2054" s="120">
        <v>6.0498860899153521E-3</v>
      </c>
      <c r="AI2054" s="121">
        <v>-35</v>
      </c>
      <c r="AJ2054" s="121">
        <v>-10</v>
      </c>
      <c r="AK2054" s="121">
        <v>35</v>
      </c>
      <c r="AL2054" s="121">
        <v>65</v>
      </c>
      <c r="AM2054" s="122">
        <v>43201</v>
      </c>
      <c r="AN2054" s="121" t="s">
        <v>542</v>
      </c>
      <c r="AP2054" s="87"/>
    </row>
    <row r="2055" spans="1:42">
      <c r="A2055" s="96"/>
      <c r="B2055" s="96"/>
      <c r="C2055" s="96"/>
      <c r="D2055" s="96"/>
      <c r="E2055" s="96"/>
      <c r="F2055" s="96"/>
      <c r="G2055" s="95">
        <v>4000</v>
      </c>
      <c r="I2055" s="96">
        <v>546.9257270195202</v>
      </c>
      <c r="J2055" s="96">
        <v>25.720381277884723</v>
      </c>
      <c r="K2055" s="96">
        <v>0.13821563996966688</v>
      </c>
      <c r="L2055" s="96">
        <v>0.51391722359618841</v>
      </c>
      <c r="M2055" s="96">
        <v>-0.13759055544864759</v>
      </c>
      <c r="N2055" s="96">
        <v>-7.2777558576549273E-2</v>
      </c>
      <c r="O2055" s="96">
        <v>4.1553526962602415E-3</v>
      </c>
      <c r="P2055" s="96">
        <v>-2.2980518756155499E-3</v>
      </c>
      <c r="Q2055" s="96">
        <v>-8.5487303910168312E-6</v>
      </c>
      <c r="R2055" s="96">
        <v>3.7233516923235242E-4</v>
      </c>
      <c r="S2055" s="96">
        <v>55.551467801519372</v>
      </c>
      <c r="T2055" s="96">
        <v>0.85336878409122274</v>
      </c>
      <c r="U2055" s="96">
        <v>2.6250521075975377</v>
      </c>
      <c r="V2055" s="96">
        <v>6.290809025570028E-2</v>
      </c>
      <c r="W2055" s="96">
        <v>8.5140495672232377E-2</v>
      </c>
      <c r="X2055" s="96">
        <v>-8.6427933883778084E-3</v>
      </c>
      <c r="Y2055" s="96">
        <v>1.2854525653881589E-3</v>
      </c>
      <c r="Z2055" s="96">
        <v>6.947438622172318E-4</v>
      </c>
      <c r="AA2055" s="96">
        <v>-1.7860719144501623E-4</v>
      </c>
      <c r="AB2055" s="96">
        <v>-2.0193223892136806E-5</v>
      </c>
      <c r="AC2055" s="119">
        <v>4.944824505594559E-2</v>
      </c>
      <c r="AD2055" s="119">
        <v>1.3161127984890884</v>
      </c>
      <c r="AE2055" s="120">
        <v>1.0225145696370647E-2</v>
      </c>
      <c r="AF2055" s="119">
        <v>4.6416717157451749E-2</v>
      </c>
      <c r="AG2055" s="119">
        <v>1.8222795746850382</v>
      </c>
      <c r="AH2055" s="120">
        <v>5.1392252435829011E-3</v>
      </c>
      <c r="AI2055" s="121">
        <v>-35</v>
      </c>
      <c r="AJ2055" s="121">
        <v>-10</v>
      </c>
      <c r="AK2055" s="121">
        <v>35</v>
      </c>
      <c r="AL2055" s="121">
        <v>65</v>
      </c>
      <c r="AM2055" s="122">
        <v>43201</v>
      </c>
      <c r="AN2055" s="121" t="s">
        <v>542</v>
      </c>
      <c r="AP2055" s="87"/>
    </row>
    <row r="2056" spans="1:42">
      <c r="A2056" s="96"/>
      <c r="B2056" s="96"/>
      <c r="C2056" s="96"/>
      <c r="D2056" s="96"/>
      <c r="E2056" s="96"/>
      <c r="F2056" s="96"/>
      <c r="G2056" s="95">
        <v>4500</v>
      </c>
      <c r="H2056" s="96"/>
      <c r="I2056" s="96">
        <f>(($G$2048*I2055)/$G$2048)*1.0207</f>
        <v>558.24708956882421</v>
      </c>
      <c r="J2056" s="96">
        <f t="shared" ref="J2056:AB2056" si="30">(($G$2048*J2055)/$G$2048)*1.0207</f>
        <v>26.252793170336936</v>
      </c>
      <c r="K2056" s="96">
        <f t="shared" si="30"/>
        <v>0.14107670371703898</v>
      </c>
      <c r="L2056" s="96">
        <f t="shared" si="30"/>
        <v>0.52455531012462953</v>
      </c>
      <c r="M2056" s="96">
        <f t="shared" si="30"/>
        <v>-0.14043867994643458</v>
      </c>
      <c r="N2056" s="96">
        <f t="shared" si="30"/>
        <v>-7.4284054039083836E-2</v>
      </c>
      <c r="O2056" s="96">
        <f t="shared" si="30"/>
        <v>4.2413684970728279E-3</v>
      </c>
      <c r="P2056" s="96">
        <f t="shared" si="30"/>
        <v>-2.3456215494407915E-3</v>
      </c>
      <c r="Q2056" s="96">
        <f t="shared" si="30"/>
        <v>-8.7256891101108798E-6</v>
      </c>
      <c r="R2056" s="96">
        <f t="shared" si="30"/>
        <v>3.8004250723546211E-4</v>
      </c>
      <c r="S2056" s="96">
        <f t="shared" si="30"/>
        <v>56.701383185010819</v>
      </c>
      <c r="T2056" s="96">
        <f t="shared" si="30"/>
        <v>0.87103351792191097</v>
      </c>
      <c r="U2056" s="96">
        <f t="shared" si="30"/>
        <v>2.6793906862248065</v>
      </c>
      <c r="V2056" s="96">
        <f t="shared" si="30"/>
        <v>6.4210287723993273E-2</v>
      </c>
      <c r="W2056" s="96">
        <f t="shared" si="30"/>
        <v>8.6902903932647588E-2</v>
      </c>
      <c r="X2056" s="96">
        <f t="shared" si="30"/>
        <v>-8.8216992115172279E-3</v>
      </c>
      <c r="Y2056" s="96">
        <f t="shared" si="30"/>
        <v>1.3120614334916937E-3</v>
      </c>
      <c r="Z2056" s="96">
        <f t="shared" si="30"/>
        <v>7.0912506016512842E-4</v>
      </c>
      <c r="AA2056" s="96">
        <f t="shared" si="30"/>
        <v>-1.8230436030792805E-4</v>
      </c>
      <c r="AB2056" s="96">
        <f t="shared" si="30"/>
        <v>-2.0611223626704038E-5</v>
      </c>
      <c r="AC2056" s="119">
        <f>(($G$2048*AC2055)/$G$2048)*1.0207</f>
        <v>5.0471823728603663E-2</v>
      </c>
      <c r="AD2056" s="119">
        <f t="shared" ref="AD2056:AL2056" si="31">(($G$2048*AD2055)/$G$2048)*1.0207</f>
        <v>1.3433563334178125</v>
      </c>
      <c r="AE2056" s="120">
        <f t="shared" si="31"/>
        <v>1.0436806212285519E-2</v>
      </c>
      <c r="AF2056" s="119">
        <f t="shared" si="31"/>
        <v>4.7377543202610999E-2</v>
      </c>
      <c r="AG2056" s="119">
        <f t="shared" si="31"/>
        <v>1.8600007618810184</v>
      </c>
      <c r="AH2056" s="120">
        <f t="shared" si="31"/>
        <v>5.2456072061250669E-3</v>
      </c>
      <c r="AI2056" s="121">
        <f t="shared" si="31"/>
        <v>-35.724499999999999</v>
      </c>
      <c r="AJ2056" s="121">
        <f t="shared" si="31"/>
        <v>-10.206999999999999</v>
      </c>
      <c r="AK2056" s="121">
        <f t="shared" si="31"/>
        <v>35.724499999999999</v>
      </c>
      <c r="AL2056" s="121">
        <f t="shared" si="31"/>
        <v>66.345500000000001</v>
      </c>
      <c r="AM2056" s="122">
        <v>43201</v>
      </c>
      <c r="AN2056" s="121" t="s">
        <v>542</v>
      </c>
      <c r="AP2056" s="87"/>
    </row>
    <row r="2057" spans="1:42">
      <c r="A2057" s="93" t="s">
        <v>43</v>
      </c>
      <c r="B2057" s="94" t="s">
        <v>44</v>
      </c>
      <c r="C2057" s="93" t="s">
        <v>45</v>
      </c>
      <c r="D2057" s="94" t="s">
        <v>46</v>
      </c>
      <c r="E2057" s="93" t="s">
        <v>47</v>
      </c>
      <c r="F2057" s="94" t="s">
        <v>137</v>
      </c>
      <c r="G2057" s="95"/>
      <c r="H2057" s="94" t="str">
        <f>CONCATENATE(A2057," ",B2057," ",C2057," ",D2057," ",E2057," ",F2057)</f>
        <v>Embraco Isobutane 50 Hz 230V VSD VEMT9C</v>
      </c>
      <c r="I2057" s="96"/>
      <c r="J2057" s="96"/>
      <c r="K2057" s="96"/>
      <c r="L2057" s="96"/>
      <c r="M2057" s="96"/>
      <c r="N2057" s="96"/>
      <c r="O2057" s="96"/>
      <c r="P2057" s="96"/>
      <c r="Q2057" s="96"/>
      <c r="R2057" s="96"/>
      <c r="S2057" s="96"/>
      <c r="T2057" s="96"/>
      <c r="U2057" s="96"/>
      <c r="V2057" s="96"/>
      <c r="W2057" s="96"/>
      <c r="X2057" s="96"/>
      <c r="Y2057" s="96"/>
      <c r="Z2057" s="96"/>
      <c r="AA2057" s="96"/>
      <c r="AB2057" s="96"/>
      <c r="AC2057" s="119"/>
      <c r="AD2057" s="119"/>
      <c r="AE2057" s="120"/>
      <c r="AF2057" s="119"/>
      <c r="AG2057" s="119"/>
      <c r="AH2057" s="120"/>
      <c r="AI2057" s="121"/>
      <c r="AJ2057" s="121"/>
      <c r="AK2057" s="121"/>
      <c r="AL2057" s="121"/>
      <c r="AM2057" s="122"/>
      <c r="AN2057" s="121"/>
      <c r="AP2057" s="87"/>
    </row>
    <row r="2058" spans="1:42">
      <c r="A2058" s="93"/>
      <c r="B2058" s="94"/>
      <c r="C2058" s="93"/>
      <c r="D2058" s="94"/>
      <c r="E2058" s="93"/>
      <c r="F2058" s="94"/>
      <c r="G2058" s="95">
        <v>1200</v>
      </c>
      <c r="H2058" s="94"/>
      <c r="I2058" s="96">
        <v>242.76600017469789</v>
      </c>
      <c r="J2058" s="96">
        <v>9.9257702293126773</v>
      </c>
      <c r="K2058" s="96">
        <v>-0.69615738232150182</v>
      </c>
      <c r="L2058" s="96">
        <v>0.17546544151540694</v>
      </c>
      <c r="M2058" s="96">
        <v>-3.6473302409745501E-2</v>
      </c>
      <c r="N2058" s="96">
        <v>-1.7150107707104956E-2</v>
      </c>
      <c r="O2058" s="96">
        <v>1.4808619467482523E-3</v>
      </c>
      <c r="P2058" s="96">
        <v>-4.6462786412099325E-4</v>
      </c>
      <c r="Q2058" s="96">
        <v>-1.8293965346841305E-4</v>
      </c>
      <c r="R2058" s="96">
        <v>5.7978510092813203E-5</v>
      </c>
      <c r="S2058" s="96">
        <v>3.3524244708841913</v>
      </c>
      <c r="T2058" s="96">
        <v>-0.80151274529162808</v>
      </c>
      <c r="U2058" s="96">
        <v>1.7216576492195577</v>
      </c>
      <c r="V2058" s="96">
        <v>-2.5284373253170782E-2</v>
      </c>
      <c r="W2058" s="96">
        <v>4.0309375420876294E-2</v>
      </c>
      <c r="X2058" s="96">
        <v>-1.0591691530148281E-2</v>
      </c>
      <c r="Y2058" s="96">
        <v>-1.2291270494607756E-4</v>
      </c>
      <c r="Z2058" s="96">
        <v>3.7257127755989399E-4</v>
      </c>
      <c r="AA2058" s="96">
        <v>-5.1030556286813689E-5</v>
      </c>
      <c r="AB2058" s="96">
        <v>3.6203246463824229E-5</v>
      </c>
      <c r="AC2058" s="119">
        <v>2.2627184180634887E-2</v>
      </c>
      <c r="AD2058" s="119">
        <v>0.85923235311424651</v>
      </c>
      <c r="AE2058" s="120">
        <v>9.3303551074251888E-3</v>
      </c>
      <c r="AF2058" s="119">
        <v>3.9947520543943196E-2</v>
      </c>
      <c r="AG2058" s="119">
        <v>1.419680141434601</v>
      </c>
      <c r="AH2058" s="120">
        <v>1.1337332182983948E-2</v>
      </c>
      <c r="AI2058" s="121">
        <v>-35</v>
      </c>
      <c r="AJ2058" s="121">
        <v>-10</v>
      </c>
      <c r="AK2058" s="121">
        <v>35</v>
      </c>
      <c r="AL2058" s="121">
        <v>65</v>
      </c>
      <c r="AM2058" s="122">
        <v>42941</v>
      </c>
      <c r="AN2058" s="121" t="s">
        <v>481</v>
      </c>
      <c r="AP2058" s="87"/>
    </row>
    <row r="2059" spans="1:42">
      <c r="A2059" s="93"/>
      <c r="B2059" s="94"/>
      <c r="C2059" s="93"/>
      <c r="D2059" s="94"/>
      <c r="E2059" s="93"/>
      <c r="F2059" s="94"/>
      <c r="G2059" s="95">
        <v>1600</v>
      </c>
      <c r="H2059" s="94"/>
      <c r="I2059" s="96">
        <v>317.12675798264263</v>
      </c>
      <c r="J2059" s="96">
        <v>12.966096562765426</v>
      </c>
      <c r="K2059" s="96">
        <v>-0.90939471109091796</v>
      </c>
      <c r="L2059" s="96">
        <v>0.22921162298980913</v>
      </c>
      <c r="M2059" s="96">
        <v>-4.7645309301238371E-2</v>
      </c>
      <c r="N2059" s="96">
        <v>-2.2403296323130949E-2</v>
      </c>
      <c r="O2059" s="96">
        <v>1.9344594271849538E-3</v>
      </c>
      <c r="P2059" s="96">
        <v>-6.0694635077640296E-4</v>
      </c>
      <c r="Q2059" s="96">
        <v>-2.3897520287703014E-4</v>
      </c>
      <c r="R2059" s="96">
        <v>7.5737713631742035E-5</v>
      </c>
      <c r="S2059" s="96">
        <v>4.0708039850867372</v>
      </c>
      <c r="T2059" s="96">
        <v>-0.97326547999449453</v>
      </c>
      <c r="U2059" s="96">
        <v>2.0905841117338264</v>
      </c>
      <c r="V2059" s="96">
        <v>-3.0702452178696899E-2</v>
      </c>
      <c r="W2059" s="96">
        <v>4.8947099261684501E-2</v>
      </c>
      <c r="X2059" s="96">
        <v>-1.286133616974329E-2</v>
      </c>
      <c r="Y2059" s="96">
        <v>-1.492511238121433E-4</v>
      </c>
      <c r="Z2059" s="96">
        <v>4.5240797177810996E-4</v>
      </c>
      <c r="AA2059" s="96">
        <v>-6.1965683357532501E-5</v>
      </c>
      <c r="AB2059" s="96">
        <v>4.3961061656036398E-5</v>
      </c>
      <c r="AC2059" s="119">
        <v>3.8611845417483442E-2</v>
      </c>
      <c r="AD2059" s="119">
        <v>1.4662251700625741</v>
      </c>
      <c r="AE2059" s="120">
        <v>9.3303533476049739E-3</v>
      </c>
      <c r="AF2059" s="119">
        <v>5.8902211414262447E-2</v>
      </c>
      <c r="AG2059" s="119">
        <v>2.0933036498508244</v>
      </c>
      <c r="AH2059" s="120">
        <v>1.1337331752289412E-2</v>
      </c>
      <c r="AI2059" s="121">
        <v>-35</v>
      </c>
      <c r="AJ2059" s="121">
        <v>-10</v>
      </c>
      <c r="AK2059" s="121">
        <v>35</v>
      </c>
      <c r="AL2059" s="121">
        <v>65</v>
      </c>
      <c r="AM2059" s="122">
        <v>42941</v>
      </c>
      <c r="AN2059" s="121" t="s">
        <v>481</v>
      </c>
      <c r="AP2059" s="87"/>
    </row>
    <row r="2060" spans="1:42">
      <c r="A2060" s="93"/>
      <c r="B2060" s="94"/>
      <c r="C2060" s="93"/>
      <c r="D2060" s="94"/>
      <c r="E2060" s="93"/>
      <c r="F2060" s="94"/>
      <c r="G2060" s="95">
        <v>2000</v>
      </c>
      <c r="H2060" s="94"/>
      <c r="I2060" s="96">
        <v>405.08689718299445</v>
      </c>
      <c r="J2060" s="96">
        <v>16.993932305656827</v>
      </c>
      <c r="K2060" s="96">
        <v>-1.4528986602392542</v>
      </c>
      <c r="L2060" s="96">
        <v>0.25641062279698273</v>
      </c>
      <c r="M2060" s="96">
        <v>-0.11342471437123951</v>
      </c>
      <c r="N2060" s="96">
        <v>-3.1397582425499983E-2</v>
      </c>
      <c r="O2060" s="96">
        <v>1.6667324910665216E-3</v>
      </c>
      <c r="P2060" s="96">
        <v>-1.1191435778545309E-3</v>
      </c>
      <c r="Q2060" s="96">
        <v>8.0261537208073689E-5</v>
      </c>
      <c r="R2060" s="96">
        <v>1.7105070079540593E-4</v>
      </c>
      <c r="S2060" s="96">
        <v>-7.8852856439484666</v>
      </c>
      <c r="T2060" s="96">
        <v>-0.98202105908840776</v>
      </c>
      <c r="U2060" s="96">
        <v>3.3870854789834977</v>
      </c>
      <c r="V2060" s="96">
        <v>-8.3679498786878928E-3</v>
      </c>
      <c r="W2060" s="96">
        <v>7.188601019855434E-2</v>
      </c>
      <c r="X2060" s="96">
        <v>-2.9035771895528112E-2</v>
      </c>
      <c r="Y2060" s="96">
        <v>3.5586331327206296E-4</v>
      </c>
      <c r="Z2060" s="96">
        <v>6.776094215602622E-4</v>
      </c>
      <c r="AA2060" s="96">
        <v>-1.1454776941953225E-4</v>
      </c>
      <c r="AB2060" s="96">
        <v>1.2543118774486708E-4</v>
      </c>
      <c r="AC2060" s="119">
        <v>3.4260549383132201E-2</v>
      </c>
      <c r="AD2060" s="119">
        <v>1.3395475607302145</v>
      </c>
      <c r="AE2060" s="120">
        <v>6.9764126097102367E-3</v>
      </c>
      <c r="AF2060" s="119">
        <v>4.4215973887947964E-2</v>
      </c>
      <c r="AG2060" s="119">
        <v>1.7215904368396475</v>
      </c>
      <c r="AH2060" s="120">
        <v>7.4177819978988426E-3</v>
      </c>
      <c r="AI2060" s="121">
        <v>-35</v>
      </c>
      <c r="AJ2060" s="121">
        <v>-10</v>
      </c>
      <c r="AK2060" s="121">
        <v>35</v>
      </c>
      <c r="AL2060" s="121">
        <v>65</v>
      </c>
      <c r="AM2060" s="122">
        <v>42941</v>
      </c>
      <c r="AN2060" s="121" t="s">
        <v>481</v>
      </c>
      <c r="AP2060" s="87"/>
    </row>
    <row r="2061" spans="1:42">
      <c r="A2061" s="93"/>
      <c r="B2061" s="94"/>
      <c r="C2061" s="93"/>
      <c r="D2061" s="94"/>
      <c r="E2061" s="93"/>
      <c r="F2061" s="94"/>
      <c r="G2061" s="95">
        <v>3000</v>
      </c>
      <c r="H2061" s="94"/>
      <c r="I2061" s="96">
        <v>565.69728186936959</v>
      </c>
      <c r="J2061" s="96">
        <v>21.717869134389193</v>
      </c>
      <c r="K2061" s="96">
        <v>-1.739450353896332</v>
      </c>
      <c r="L2061" s="96">
        <v>0.27475566125296585</v>
      </c>
      <c r="M2061" s="96">
        <v>-0.11586750937699737</v>
      </c>
      <c r="N2061" s="96">
        <v>-3.7012825920164437E-2</v>
      </c>
      <c r="O2061" s="96">
        <v>1.2750745078377026E-3</v>
      </c>
      <c r="P2061" s="96">
        <v>-1.0794185535443663E-3</v>
      </c>
      <c r="Q2061" s="96">
        <v>-9.2614343089066141E-5</v>
      </c>
      <c r="R2061" s="96">
        <v>1.2502039141664236E-4</v>
      </c>
      <c r="S2061" s="96">
        <v>1.4892238912805456</v>
      </c>
      <c r="T2061" s="96">
        <v>-1.5220521808380612</v>
      </c>
      <c r="U2061" s="96">
        <v>5.0368453270043787</v>
      </c>
      <c r="V2061" s="96">
        <v>-3.467197673224795E-2</v>
      </c>
      <c r="W2061" s="96">
        <v>0.10522266613148505</v>
      </c>
      <c r="X2061" s="96">
        <v>-5.2316770005066356E-2</v>
      </c>
      <c r="Y2061" s="96">
        <v>4.3457391962820014E-4</v>
      </c>
      <c r="Z2061" s="96">
        <v>1.398564070573836E-3</v>
      </c>
      <c r="AA2061" s="96">
        <v>-1.0300493105865601E-4</v>
      </c>
      <c r="AB2061" s="96">
        <v>2.6586147740870225E-4</v>
      </c>
      <c r="AC2061" s="119">
        <v>2.379771605781714E-2</v>
      </c>
      <c r="AD2061" s="119">
        <v>1.0301254298692104</v>
      </c>
      <c r="AE2061" s="120">
        <v>4.5685515508892809E-3</v>
      </c>
      <c r="AF2061" s="119">
        <v>3.1411142412354376E-2</v>
      </c>
      <c r="AG2061" s="119">
        <v>1.3778472387288472</v>
      </c>
      <c r="AH2061" s="120">
        <v>4.9456436543618915E-3</v>
      </c>
      <c r="AI2061" s="121">
        <v>-35</v>
      </c>
      <c r="AJ2061" s="121">
        <v>-10</v>
      </c>
      <c r="AK2061" s="121">
        <v>35</v>
      </c>
      <c r="AL2061" s="121">
        <v>65</v>
      </c>
      <c r="AM2061" s="122">
        <v>42941</v>
      </c>
      <c r="AN2061" s="121" t="s">
        <v>481</v>
      </c>
      <c r="AP2061" s="87"/>
    </row>
    <row r="2062" spans="1:42">
      <c r="A2062" s="93"/>
      <c r="B2062" s="94"/>
      <c r="C2062" s="93"/>
      <c r="D2062" s="94"/>
      <c r="E2062" s="93"/>
      <c r="F2062" s="94"/>
      <c r="G2062" s="95">
        <v>4000</v>
      </c>
      <c r="H2062" s="94"/>
      <c r="I2062" s="96">
        <v>928.00452404055068</v>
      </c>
      <c r="J2062" s="96">
        <v>39.055821796718213</v>
      </c>
      <c r="K2062" s="96">
        <v>-9.2270285231708815</v>
      </c>
      <c r="L2062" s="96">
        <v>0.56346963777514447</v>
      </c>
      <c r="M2062" s="96">
        <v>-0.4123305397216428</v>
      </c>
      <c r="N2062" s="96">
        <v>1.510715390174113E-2</v>
      </c>
      <c r="O2062" s="96">
        <v>2.8709460640495912E-3</v>
      </c>
      <c r="P2062" s="96">
        <v>-3.8765944575770567E-3</v>
      </c>
      <c r="Q2062" s="96">
        <v>1.2739379509053817E-3</v>
      </c>
      <c r="R2062" s="96">
        <v>8.8799097463059678E-5</v>
      </c>
      <c r="S2062" s="96">
        <v>120.51783587193179</v>
      </c>
      <c r="T2062" s="96">
        <v>2.6766760010233295</v>
      </c>
      <c r="U2062" s="96">
        <v>2.3112768318267474</v>
      </c>
      <c r="V2062" s="96">
        <v>2.7714246742075257E-2</v>
      </c>
      <c r="W2062" s="96">
        <v>4.9486276149387019E-2</v>
      </c>
      <c r="X2062" s="96">
        <v>-1.0083030045419697E-2</v>
      </c>
      <c r="Y2062" s="96">
        <v>4.0862829996110025E-4</v>
      </c>
      <c r="Z2062" s="96">
        <v>6.536486483615662E-4</v>
      </c>
      <c r="AA2062" s="96">
        <v>1.3239001845717462E-4</v>
      </c>
      <c r="AB2062" s="96">
        <v>3.9965835602743826E-5</v>
      </c>
      <c r="AC2062" s="119">
        <v>7.6476704561617856E-2</v>
      </c>
      <c r="AD2062" s="119">
        <v>2.9979014217508264</v>
      </c>
      <c r="AE2062" s="120">
        <v>6.8168551730250909E-3</v>
      </c>
      <c r="AF2062" s="119">
        <v>3.5436150110646818E-2</v>
      </c>
      <c r="AG2062" s="119">
        <v>1.348323126970032</v>
      </c>
      <c r="AH2062" s="120">
        <v>3.6329430548819965E-3</v>
      </c>
      <c r="AI2062" s="121">
        <v>-35</v>
      </c>
      <c r="AJ2062" s="121">
        <v>-10</v>
      </c>
      <c r="AK2062" s="121">
        <v>35</v>
      </c>
      <c r="AL2062" s="121">
        <v>65</v>
      </c>
      <c r="AM2062" s="122">
        <v>42941</v>
      </c>
      <c r="AN2062" s="121" t="s">
        <v>481</v>
      </c>
      <c r="AP2062" s="87"/>
    </row>
    <row r="2063" spans="1:42">
      <c r="A2063" s="93"/>
      <c r="B2063" s="94"/>
      <c r="C2063" s="93"/>
      <c r="D2063" s="94"/>
      <c r="E2063" s="93"/>
      <c r="F2063" s="94"/>
      <c r="G2063" s="95">
        <v>4500</v>
      </c>
      <c r="H2063" s="94"/>
      <c r="I2063" s="96">
        <v>1023.6752446614162</v>
      </c>
      <c r="J2063" s="96">
        <v>43.082183056735225</v>
      </c>
      <c r="K2063" s="96">
        <v>-10.178283330340303</v>
      </c>
      <c r="L2063" s="96">
        <v>0.62155936617088547</v>
      </c>
      <c r="M2063" s="96">
        <v>-0.45483825644975479</v>
      </c>
      <c r="N2063" s="96">
        <v>1.6665026496754273E-2</v>
      </c>
      <c r="O2063" s="96">
        <v>3.1669224922651908E-3</v>
      </c>
      <c r="P2063" s="96">
        <v>-4.2762412882003317E-3</v>
      </c>
      <c r="Q2063" s="96">
        <v>1.4052666977235246E-3</v>
      </c>
      <c r="R2063" s="96">
        <v>9.794998264325845E-5</v>
      </c>
      <c r="S2063" s="96">
        <v>137.73459625986334</v>
      </c>
      <c r="T2063" s="96">
        <v>3.0590559331948546</v>
      </c>
      <c r="U2063" s="96">
        <v>2.641462923884319</v>
      </c>
      <c r="V2063" s="96">
        <v>3.1673369246688766E-2</v>
      </c>
      <c r="W2063" s="96">
        <v>5.6555795777452421E-2</v>
      </c>
      <c r="X2063" s="96">
        <v>-1.1523528546938408E-2</v>
      </c>
      <c r="Y2063" s="96">
        <v>4.6700308745054199E-4</v>
      </c>
      <c r="Z2063" s="96">
        <v>7.4702728551889655E-4</v>
      </c>
      <c r="AA2063" s="96">
        <v>1.5130247123191403E-4</v>
      </c>
      <c r="AB2063" s="96">
        <v>4.5675624682877772E-5</v>
      </c>
      <c r="AC2063" s="119">
        <v>9.3057901378365296E-2</v>
      </c>
      <c r="AD2063" s="119">
        <v>3.6478886204103675</v>
      </c>
      <c r="AE2063" s="120">
        <v>6.8167689605602043E-3</v>
      </c>
      <c r="AF2063" s="119">
        <v>4.6283951168561883E-2</v>
      </c>
      <c r="AG2063" s="119">
        <v>1.7610750792980407</v>
      </c>
      <c r="AH2063" s="120">
        <v>3.6329388978870066E-3</v>
      </c>
      <c r="AI2063" s="121">
        <v>-35</v>
      </c>
      <c r="AJ2063" s="121">
        <v>-10</v>
      </c>
      <c r="AK2063" s="121">
        <v>35</v>
      </c>
      <c r="AL2063" s="121">
        <v>65</v>
      </c>
      <c r="AM2063" s="122">
        <v>42941</v>
      </c>
      <c r="AN2063" s="121" t="s">
        <v>481</v>
      </c>
      <c r="AP2063" s="87"/>
    </row>
    <row r="2064" spans="1:42">
      <c r="A2064" s="71" t="s">
        <v>43</v>
      </c>
      <c r="B2064" s="72" t="s">
        <v>44</v>
      </c>
      <c r="C2064" s="71" t="s">
        <v>45</v>
      </c>
      <c r="D2064" s="72" t="s">
        <v>46</v>
      </c>
      <c r="E2064" s="71" t="s">
        <v>47</v>
      </c>
      <c r="F2064" s="72" t="s">
        <v>139</v>
      </c>
      <c r="G2064" s="77"/>
      <c r="H2064" s="72" t="str">
        <f>CONCATENATE(A2064," ",B2064," ",C2064," ",D2064," ",E2064," ",F2064)</f>
        <v>Embraco Isobutane 50 Hz 230V VSD VES D7C</v>
      </c>
      <c r="I2064" s="91"/>
      <c r="J2064" s="92"/>
      <c r="K2064" s="92"/>
      <c r="L2064" s="92"/>
      <c r="M2064" s="92"/>
      <c r="N2064" s="92"/>
      <c r="O2064" s="92"/>
      <c r="P2064" s="92"/>
      <c r="Q2064" s="92"/>
      <c r="R2064" s="92"/>
      <c r="S2064" s="92"/>
      <c r="T2064" s="92"/>
      <c r="U2064" s="92"/>
      <c r="V2064" s="92"/>
      <c r="W2064" s="92"/>
      <c r="X2064" s="92"/>
      <c r="Y2064" s="92"/>
      <c r="Z2064" s="92"/>
      <c r="AA2064" s="92"/>
      <c r="AB2064" s="92"/>
      <c r="AC2064" s="119"/>
      <c r="AD2064" s="119"/>
      <c r="AE2064" s="120"/>
      <c r="AF2064" s="119"/>
      <c r="AG2064" s="119"/>
      <c r="AH2064" s="120"/>
      <c r="AI2064" s="121"/>
      <c r="AJ2064" s="121"/>
      <c r="AK2064" s="121"/>
      <c r="AL2064" s="121"/>
      <c r="AM2064" s="122"/>
      <c r="AN2064" s="121"/>
      <c r="AP2064" s="87"/>
    </row>
    <row r="2065" spans="1:42">
      <c r="A2065" s="71"/>
      <c r="B2065" s="72"/>
      <c r="C2065" s="71"/>
      <c r="D2065" s="72"/>
      <c r="E2065" s="71"/>
      <c r="F2065" s="72"/>
      <c r="G2065" s="77">
        <v>1300</v>
      </c>
      <c r="H2065" s="3"/>
      <c r="I2065" s="91">
        <v>154.76839430114032</v>
      </c>
      <c r="J2065" s="92">
        <v>10.439436961368743</v>
      </c>
      <c r="K2065" s="92">
        <v>4.3597465846441033</v>
      </c>
      <c r="L2065" s="92">
        <v>0.14655209501256039</v>
      </c>
      <c r="M2065" s="92">
        <v>-0.11272357759549347</v>
      </c>
      <c r="N2065" s="92">
        <v>-0.15360928043260519</v>
      </c>
      <c r="O2065" s="92">
        <v>8.2054763672201293E-4</v>
      </c>
      <c r="P2065" s="92">
        <v>-7.8672984086299361E-4</v>
      </c>
      <c r="Q2065" s="92">
        <v>5.6379157406222799E-4</v>
      </c>
      <c r="R2065" s="92">
        <v>1.2184615417378095E-3</v>
      </c>
      <c r="S2065" s="92">
        <v>125.29356406663527</v>
      </c>
      <c r="T2065" s="92">
        <v>0.35198780755353204</v>
      </c>
      <c r="U2065" s="92">
        <v>-6.6765493190153338</v>
      </c>
      <c r="V2065" s="92">
        <v>-1.1952195136786378E-2</v>
      </c>
      <c r="W2065" s="92">
        <v>-8.9004309885249901E-3</v>
      </c>
      <c r="X2065" s="92">
        <v>0.15919864240214526</v>
      </c>
      <c r="Y2065" s="92">
        <v>-1.1151842601287977E-4</v>
      </c>
      <c r="Z2065" s="92">
        <v>1.3040903291593002E-4</v>
      </c>
      <c r="AA2065" s="92">
        <v>3.3543745123818224E-4</v>
      </c>
      <c r="AB2065" s="92">
        <v>-1.1491052796590202E-3</v>
      </c>
      <c r="AC2065" s="119">
        <v>3.9518451946093602E-2</v>
      </c>
      <c r="AD2065" s="119">
        <v>1.2624688443195087</v>
      </c>
      <c r="AE2065" s="120">
        <v>1.2790032698649824E-2</v>
      </c>
      <c r="AF2065" s="119">
        <v>4.2312367712433636E-2</v>
      </c>
      <c r="AG2065" s="119">
        <v>1.2336360947018628</v>
      </c>
      <c r="AH2065" s="120">
        <v>1.7506341873179149E-2</v>
      </c>
      <c r="AI2065" s="121">
        <v>-35</v>
      </c>
      <c r="AJ2065" s="121">
        <v>-10</v>
      </c>
      <c r="AK2065" s="121">
        <v>35</v>
      </c>
      <c r="AL2065" s="121">
        <v>55</v>
      </c>
      <c r="AM2065" s="122">
        <v>41522</v>
      </c>
      <c r="AN2065" s="121" t="s">
        <v>668</v>
      </c>
      <c r="AP2065" s="87"/>
    </row>
    <row r="2066" spans="1:42">
      <c r="A2066" s="71"/>
      <c r="B2066" s="72"/>
      <c r="C2066" s="71"/>
      <c r="D2066" s="72"/>
      <c r="E2066" s="71"/>
      <c r="F2066" s="72"/>
      <c r="G2066" s="77">
        <v>1600</v>
      </c>
      <c r="H2066" s="3"/>
      <c r="I2066" s="91">
        <v>203.31770076225101</v>
      </c>
      <c r="J2066" s="92">
        <v>12.139659577355822</v>
      </c>
      <c r="K2066" s="92">
        <v>4.3253314920554402</v>
      </c>
      <c r="L2066" s="92">
        <v>0.17035750943382164</v>
      </c>
      <c r="M2066" s="92">
        <v>-0.11629450460393179</v>
      </c>
      <c r="N2066" s="92">
        <v>-0.1621002732582898</v>
      </c>
      <c r="O2066" s="92">
        <v>9.9037357771438687E-4</v>
      </c>
      <c r="P2066" s="92">
        <v>-9.8776918938384335E-4</v>
      </c>
      <c r="Q2066" s="92">
        <v>3.6637924821902277E-4</v>
      </c>
      <c r="R2066" s="92">
        <v>1.2606564031490753E-3</v>
      </c>
      <c r="S2066" s="92">
        <v>141.81375739828746</v>
      </c>
      <c r="T2066" s="92">
        <v>3.562433901298151E-2</v>
      </c>
      <c r="U2066" s="92">
        <v>-7.569893599468303</v>
      </c>
      <c r="V2066" s="92">
        <v>-1.219550574704921E-3</v>
      </c>
      <c r="W2066" s="92">
        <v>1.7182905405484134E-2</v>
      </c>
      <c r="X2066" s="92">
        <v>0.18721154780048016</v>
      </c>
      <c r="Y2066" s="92">
        <v>5.2135047999265263E-5</v>
      </c>
      <c r="Z2066" s="92">
        <v>9.1060127948717131E-5</v>
      </c>
      <c r="AA2066" s="92">
        <v>6.7693699064602474E-5</v>
      </c>
      <c r="AB2066" s="92">
        <v>-1.3971586283375206E-3</v>
      </c>
      <c r="AC2066" s="119">
        <v>1.5541210775442332E-2</v>
      </c>
      <c r="AD2066" s="119">
        <v>0.73602422636806986</v>
      </c>
      <c r="AE2066" s="120">
        <v>7.5634359523388123E-3</v>
      </c>
      <c r="AF2066" s="119">
        <v>2.0760468517008929E-2</v>
      </c>
      <c r="AG2066" s="119">
        <v>1.0332587157003985</v>
      </c>
      <c r="AH2066" s="120">
        <v>1.3101728417421129E-2</v>
      </c>
      <c r="AI2066" s="121">
        <v>-35</v>
      </c>
      <c r="AJ2066" s="121">
        <v>-10</v>
      </c>
      <c r="AK2066" s="121">
        <v>35</v>
      </c>
      <c r="AL2066" s="121">
        <v>55</v>
      </c>
      <c r="AM2066" s="122">
        <v>41522</v>
      </c>
      <c r="AN2066" s="121" t="s">
        <v>668</v>
      </c>
      <c r="AP2066" s="87"/>
    </row>
    <row r="2067" spans="1:42">
      <c r="A2067" s="71"/>
      <c r="B2067" s="72"/>
      <c r="C2067" s="71"/>
      <c r="D2067" s="72"/>
      <c r="E2067" s="71"/>
      <c r="F2067" s="72"/>
      <c r="G2067" s="77">
        <v>2000</v>
      </c>
      <c r="H2067" s="3"/>
      <c r="I2067" s="91">
        <v>238.60282786667833</v>
      </c>
      <c r="J2067" s="92">
        <v>11.473405456581183</v>
      </c>
      <c r="K2067" s="92">
        <v>4.5976840547661828</v>
      </c>
      <c r="L2067" s="92">
        <v>0.15376986962959835</v>
      </c>
      <c r="M2067" s="92">
        <v>-2.2847317334127794E-2</v>
      </c>
      <c r="N2067" s="92">
        <v>-0.15005497255346323</v>
      </c>
      <c r="O2067" s="92">
        <v>5.0845128955738289E-4</v>
      </c>
      <c r="P2067" s="92">
        <v>-8.0230367542850369E-4</v>
      </c>
      <c r="Q2067" s="92">
        <v>-6.5780182905251345E-4</v>
      </c>
      <c r="R2067" s="92">
        <v>9.9627509029090282E-4</v>
      </c>
      <c r="S2067" s="92">
        <v>163.44333523788967</v>
      </c>
      <c r="T2067" s="92">
        <v>-1.1989272868510057</v>
      </c>
      <c r="U2067" s="92">
        <v>-9.22332964974375</v>
      </c>
      <c r="V2067" s="92">
        <v>-1.9590296620304266E-2</v>
      </c>
      <c r="W2067" s="92">
        <v>6.6951597787624384E-2</v>
      </c>
      <c r="X2067" s="92">
        <v>0.24528555049238798</v>
      </c>
      <c r="Y2067" s="92">
        <v>-1.8613750691166559E-4</v>
      </c>
      <c r="Z2067" s="92">
        <v>1.9050424994333643E-4</v>
      </c>
      <c r="AA2067" s="92">
        <v>-4.0418669105728806E-4</v>
      </c>
      <c r="AB2067" s="92">
        <v>-1.9537276073968665E-3</v>
      </c>
      <c r="AC2067" s="119">
        <v>2.5106055330237936E-2</v>
      </c>
      <c r="AD2067" s="119">
        <v>0.97334581467204184</v>
      </c>
      <c r="AE2067" s="120">
        <v>7.6529842747889683E-3</v>
      </c>
      <c r="AF2067" s="119">
        <v>2.8496442324669857E-2</v>
      </c>
      <c r="AG2067" s="119">
        <v>1.0812344856819016</v>
      </c>
      <c r="AH2067" s="120">
        <v>1.0821785091828226E-2</v>
      </c>
      <c r="AI2067" s="121">
        <v>-35</v>
      </c>
      <c r="AJ2067" s="121">
        <v>-10</v>
      </c>
      <c r="AK2067" s="121">
        <v>35</v>
      </c>
      <c r="AL2067" s="121">
        <v>55</v>
      </c>
      <c r="AM2067" s="122">
        <v>41522</v>
      </c>
      <c r="AN2067" s="121" t="s">
        <v>668</v>
      </c>
      <c r="AP2067" s="87"/>
    </row>
    <row r="2068" spans="1:42">
      <c r="A2068" s="71"/>
      <c r="B2068" s="72"/>
      <c r="C2068" s="71"/>
      <c r="D2068" s="72"/>
      <c r="E2068" s="71"/>
      <c r="F2068" s="72"/>
      <c r="G2068" s="77">
        <v>3000</v>
      </c>
      <c r="H2068" s="3"/>
      <c r="I2068" s="91">
        <v>410.29927932685479</v>
      </c>
      <c r="J2068" s="92">
        <v>17.07896973499734</v>
      </c>
      <c r="K2068" s="92">
        <v>4.3181902453770507</v>
      </c>
      <c r="L2068" s="92">
        <v>0.19304047958606368</v>
      </c>
      <c r="M2068" s="92">
        <v>-3.6124256691451966E-2</v>
      </c>
      <c r="N2068" s="92">
        <v>-0.17774193219502216</v>
      </c>
      <c r="O2068" s="92">
        <v>7.9761256601375936E-4</v>
      </c>
      <c r="P2068" s="92">
        <v>-1.0439051316919902E-4</v>
      </c>
      <c r="Q2068" s="92">
        <v>-5.987377674555182E-4</v>
      </c>
      <c r="R2068" s="92">
        <v>1.237848777912044E-3</v>
      </c>
      <c r="S2068" s="92">
        <v>207.16939844208503</v>
      </c>
      <c r="T2068" s="92">
        <v>-2.1277159250541695</v>
      </c>
      <c r="U2068" s="92">
        <v>-10.355795102008523</v>
      </c>
      <c r="V2068" s="92">
        <v>-4.6278840773522359E-2</v>
      </c>
      <c r="W2068" s="92">
        <v>0.11346260017457267</v>
      </c>
      <c r="X2068" s="92">
        <v>0.28042284692592778</v>
      </c>
      <c r="Y2068" s="92">
        <v>-1.2519176613946348E-4</v>
      </c>
      <c r="Z2068" s="92">
        <v>9.9031577019725826E-4</v>
      </c>
      <c r="AA2068" s="92">
        <v>-4.8739933822406731E-4</v>
      </c>
      <c r="AB2068" s="92">
        <v>-2.2040891707523747E-3</v>
      </c>
      <c r="AC2068" s="119">
        <v>4.3433873219632414E-2</v>
      </c>
      <c r="AD2068" s="119">
        <v>1.8121576774409711</v>
      </c>
      <c r="AE2068" s="120">
        <v>6.5489104786168682E-3</v>
      </c>
      <c r="AF2068" s="119">
        <v>2.7716317577330288E-2</v>
      </c>
      <c r="AG2068" s="119">
        <v>1.1699451668365222</v>
      </c>
      <c r="AH2068" s="120">
        <v>6.0637559938498953E-3</v>
      </c>
      <c r="AI2068" s="121">
        <v>-35</v>
      </c>
      <c r="AJ2068" s="121">
        <v>-10</v>
      </c>
      <c r="AK2068" s="121">
        <v>35</v>
      </c>
      <c r="AL2068" s="121">
        <v>55</v>
      </c>
      <c r="AM2068" s="122">
        <v>41522</v>
      </c>
      <c r="AN2068" s="121" t="s">
        <v>668</v>
      </c>
      <c r="AP2068" s="87"/>
    </row>
    <row r="2069" spans="1:42">
      <c r="A2069" s="71"/>
      <c r="B2069" s="72"/>
      <c r="C2069" s="71"/>
      <c r="D2069" s="72"/>
      <c r="E2069" s="71"/>
      <c r="F2069" s="72"/>
      <c r="G2069" s="77">
        <v>4500</v>
      </c>
      <c r="H2069" s="3"/>
      <c r="I2069" s="91">
        <v>544.00183956259764</v>
      </c>
      <c r="J2069" s="92">
        <v>29.388158675497923</v>
      </c>
      <c r="K2069" s="92">
        <v>6.060574885866262</v>
      </c>
      <c r="L2069" s="92">
        <v>0.63968066605930074</v>
      </c>
      <c r="M2069" s="92">
        <v>-4.8708635709453961E-2</v>
      </c>
      <c r="N2069" s="92">
        <v>-0.18183952907042863</v>
      </c>
      <c r="O2069" s="92">
        <v>4.8765189355384868E-3</v>
      </c>
      <c r="P2069" s="92">
        <v>-3.4103283361650977E-3</v>
      </c>
      <c r="Q2069" s="92">
        <v>-1.8867209736258585E-3</v>
      </c>
      <c r="R2069" s="92">
        <v>7.7776533583341048E-4</v>
      </c>
      <c r="S2069" s="92">
        <v>219.89227700732332</v>
      </c>
      <c r="T2069" s="92">
        <v>1.230820025506578</v>
      </c>
      <c r="U2069" s="92">
        <v>-8.4915728533689041</v>
      </c>
      <c r="V2069" s="92">
        <v>5.7741238979508676E-2</v>
      </c>
      <c r="W2069" s="92">
        <v>5.9488917217294761E-2</v>
      </c>
      <c r="X2069" s="92">
        <v>0.25504496250330183</v>
      </c>
      <c r="Y2069" s="92">
        <v>7.1169377374675222E-4</v>
      </c>
      <c r="Z2069" s="92">
        <v>-2.0073959486008653E-4</v>
      </c>
      <c r="AA2069" s="92">
        <v>-1.5044808880895023E-4</v>
      </c>
      <c r="AB2069" s="92">
        <v>-2.0860970648847255E-3</v>
      </c>
      <c r="AC2069" s="119">
        <v>6.7646381316399121E-2</v>
      </c>
      <c r="AD2069" s="119">
        <v>2.8038743312809662</v>
      </c>
      <c r="AE2069" s="120">
        <v>5.8044370747172428E-3</v>
      </c>
      <c r="AF2069" s="119">
        <v>3.968729266698607E-2</v>
      </c>
      <c r="AG2069" s="119">
        <v>1.3179029284898951</v>
      </c>
      <c r="AH2069" s="120">
        <v>5.1697473831963285E-3</v>
      </c>
      <c r="AI2069" s="121">
        <v>-35</v>
      </c>
      <c r="AJ2069" s="121">
        <v>-10</v>
      </c>
      <c r="AK2069" s="121">
        <v>35</v>
      </c>
      <c r="AL2069" s="121">
        <v>55</v>
      </c>
      <c r="AM2069" s="122">
        <v>41522</v>
      </c>
      <c r="AN2069" s="121" t="s">
        <v>668</v>
      </c>
      <c r="AP2069" s="87"/>
    </row>
    <row r="2070" spans="1:42">
      <c r="A2070" s="71" t="s">
        <v>43</v>
      </c>
      <c r="B2070" s="72" t="s">
        <v>44</v>
      </c>
      <c r="C2070" s="71" t="s">
        <v>45</v>
      </c>
      <c r="D2070" s="72" t="s">
        <v>46</v>
      </c>
      <c r="E2070" s="71" t="s">
        <v>47</v>
      </c>
      <c r="F2070" s="72" t="s">
        <v>141</v>
      </c>
      <c r="G2070" s="77"/>
      <c r="H2070" s="72" t="str">
        <f>CONCATENATE(A2070," ",B2070," ",C2070," ",D2070," ",E2070," ",F2070)</f>
        <v>Embraco Isobutane 50 Hz 230V VSD VES D9C</v>
      </c>
      <c r="I2070" s="91"/>
      <c r="J2070" s="92"/>
      <c r="K2070" s="92"/>
      <c r="L2070" s="92"/>
      <c r="M2070" s="92"/>
      <c r="N2070" s="92"/>
      <c r="O2070" s="92"/>
      <c r="P2070" s="92"/>
      <c r="Q2070" s="92"/>
      <c r="R2070" s="92"/>
      <c r="S2070" s="92"/>
      <c r="T2070" s="92"/>
      <c r="U2070" s="92"/>
      <c r="V2070" s="92"/>
      <c r="W2070" s="92"/>
      <c r="X2070" s="92"/>
      <c r="Y2070" s="92"/>
      <c r="Z2070" s="92"/>
      <c r="AA2070" s="92"/>
      <c r="AB2070" s="92"/>
      <c r="AC2070" s="119"/>
      <c r="AD2070" s="119"/>
      <c r="AE2070" s="120"/>
      <c r="AF2070" s="119"/>
      <c r="AG2070" s="119"/>
      <c r="AH2070" s="120"/>
      <c r="AI2070" s="121"/>
      <c r="AJ2070" s="121"/>
      <c r="AK2070" s="121"/>
      <c r="AL2070" s="121"/>
      <c r="AM2070" s="122"/>
      <c r="AN2070" s="121"/>
      <c r="AP2070" s="87"/>
    </row>
    <row r="2071" spans="1:42">
      <c r="A2071" s="71"/>
      <c r="B2071" s="72"/>
      <c r="C2071" s="71"/>
      <c r="D2071" s="72"/>
      <c r="E2071" s="71"/>
      <c r="F2071" s="72"/>
      <c r="G2071" s="77">
        <v>1300</v>
      </c>
      <c r="H2071" s="3"/>
      <c r="I2071" s="91">
        <v>136.2775592531375</v>
      </c>
      <c r="J2071" s="92">
        <v>7.0503835571340217</v>
      </c>
      <c r="K2071" s="92">
        <v>6.028298132255582</v>
      </c>
      <c r="L2071" s="92">
        <v>0.11116250135809279</v>
      </c>
      <c r="M2071" s="92">
        <v>7.1129559505742332E-2</v>
      </c>
      <c r="N2071" s="92">
        <v>-0.13596949637211553</v>
      </c>
      <c r="O2071" s="92">
        <v>3.6604551015011666E-4</v>
      </c>
      <c r="P2071" s="92">
        <v>-3.2047139049768292E-4</v>
      </c>
      <c r="Q2071" s="92">
        <v>-1.3176523490765599E-3</v>
      </c>
      <c r="R2071" s="92">
        <v>6.8589333348190076E-4</v>
      </c>
      <c r="S2071" s="92">
        <v>104.41720160750143</v>
      </c>
      <c r="T2071" s="92">
        <v>-1.4797380165956624</v>
      </c>
      <c r="U2071" s="92">
        <v>-5.8618808259057955</v>
      </c>
      <c r="V2071" s="92">
        <v>-3.1289937465126282E-2</v>
      </c>
      <c r="W2071" s="92">
        <v>6.0167572642506779E-2</v>
      </c>
      <c r="X2071" s="92">
        <v>0.16396405876475609</v>
      </c>
      <c r="Y2071" s="92">
        <v>-4.049591649917538E-4</v>
      </c>
      <c r="Z2071" s="92">
        <v>9.5112572775340605E-5</v>
      </c>
      <c r="AA2071" s="92">
        <v>-3.8483844648861315E-4</v>
      </c>
      <c r="AB2071" s="92">
        <v>-1.3063112863490182E-3</v>
      </c>
      <c r="AC2071" s="119">
        <v>4.5101695227245504E-2</v>
      </c>
      <c r="AD2071" s="119">
        <v>1.565968360029562</v>
      </c>
      <c r="AE2071" s="120">
        <v>1.061733976616127E-2</v>
      </c>
      <c r="AF2071" s="119">
        <v>1.4187551727675463E-2</v>
      </c>
      <c r="AG2071" s="119">
        <v>0.49795964848925167</v>
      </c>
      <c r="AH2071" s="120">
        <v>9.3112211649184276E-3</v>
      </c>
      <c r="AI2071" s="121">
        <v>-35</v>
      </c>
      <c r="AJ2071" s="121">
        <v>-10</v>
      </c>
      <c r="AK2071" s="121">
        <v>35</v>
      </c>
      <c r="AL2071" s="121">
        <v>55</v>
      </c>
      <c r="AM2071" s="122">
        <v>41486</v>
      </c>
      <c r="AN2071" s="121" t="s">
        <v>668</v>
      </c>
      <c r="AP2071" s="87"/>
    </row>
    <row r="2072" spans="1:42">
      <c r="A2072" s="71"/>
      <c r="B2072" s="72"/>
      <c r="C2072" s="71"/>
      <c r="D2072" s="72"/>
      <c r="E2072" s="71"/>
      <c r="F2072" s="72"/>
      <c r="G2072" s="77">
        <v>1600</v>
      </c>
      <c r="H2072" s="3"/>
      <c r="I2072" s="91">
        <v>141.87781880917117</v>
      </c>
      <c r="J2072" s="92">
        <v>7.531145109057185</v>
      </c>
      <c r="K2072" s="92">
        <v>8.2797207967143152</v>
      </c>
      <c r="L2072" s="92">
        <v>0.18873976901343914</v>
      </c>
      <c r="M2072" s="92">
        <v>0.19188401508706646</v>
      </c>
      <c r="N2072" s="92">
        <v>-0.15217135766150008</v>
      </c>
      <c r="O2072" s="92">
        <v>1.1272051999916964E-3</v>
      </c>
      <c r="P2072" s="92">
        <v>-5.29581093306536E-4</v>
      </c>
      <c r="Q2072" s="92">
        <v>-2.8833175762042378E-3</v>
      </c>
      <c r="R2072" s="92">
        <v>4.5849546086818146E-4</v>
      </c>
      <c r="S2072" s="92">
        <v>90.87263861240848</v>
      </c>
      <c r="T2072" s="92">
        <v>-3.3734418008399913</v>
      </c>
      <c r="U2072" s="92">
        <v>-5.3530079222629574</v>
      </c>
      <c r="V2072" s="92">
        <v>-4.846292161831646E-2</v>
      </c>
      <c r="W2072" s="92">
        <v>0.13816147692036018</v>
      </c>
      <c r="X2072" s="92">
        <v>0.17745531080157795</v>
      </c>
      <c r="Y2072" s="92">
        <v>-3.2504092260903991E-4</v>
      </c>
      <c r="Z2072" s="92">
        <v>6.6289965085183488E-4</v>
      </c>
      <c r="AA2072" s="92">
        <v>-9.4542182844007977E-4</v>
      </c>
      <c r="AB2072" s="92">
        <v>-1.5385725931723626E-3</v>
      </c>
      <c r="AC2072" s="119">
        <v>3.4099175256489103E-2</v>
      </c>
      <c r="AD2072" s="119">
        <v>1.116620426675458</v>
      </c>
      <c r="AE2072" s="120">
        <v>7.941546030326466E-3</v>
      </c>
      <c r="AF2072" s="119">
        <v>3.3585513832891066E-2</v>
      </c>
      <c r="AG2072" s="119">
        <v>1.3529710698207493</v>
      </c>
      <c r="AH2072" s="120">
        <v>1.045573829248604E-2</v>
      </c>
      <c r="AI2072" s="121">
        <v>-35</v>
      </c>
      <c r="AJ2072" s="121">
        <v>-10</v>
      </c>
      <c r="AK2072" s="121">
        <v>35</v>
      </c>
      <c r="AL2072" s="121">
        <v>55</v>
      </c>
      <c r="AM2072" s="122">
        <v>41486</v>
      </c>
      <c r="AN2072" s="121" t="s">
        <v>668</v>
      </c>
      <c r="AP2072" s="87"/>
    </row>
    <row r="2073" spans="1:42">
      <c r="A2073" s="71"/>
      <c r="B2073" s="72"/>
      <c r="C2073" s="71"/>
      <c r="D2073" s="72"/>
      <c r="E2073" s="71"/>
      <c r="F2073" s="72"/>
      <c r="G2073" s="77">
        <v>2000</v>
      </c>
      <c r="H2073" s="3"/>
      <c r="I2073" s="91">
        <v>364.3017407092745</v>
      </c>
      <c r="J2073" s="92">
        <v>16.430708451043309</v>
      </c>
      <c r="K2073" s="92">
        <v>2.1836814318541253</v>
      </c>
      <c r="L2073" s="92">
        <v>0.2357235228578968</v>
      </c>
      <c r="M2073" s="92">
        <v>-8.4946977788315725E-2</v>
      </c>
      <c r="N2073" s="92">
        <v>-0.11500703375883316</v>
      </c>
      <c r="O2073" s="92">
        <v>1.2195544237856551E-3</v>
      </c>
      <c r="P2073" s="92">
        <v>-1.1246623504260745E-3</v>
      </c>
      <c r="Q2073" s="92">
        <v>-2.8432703509861815E-4</v>
      </c>
      <c r="R2073" s="92">
        <v>7.5804653212905465E-4</v>
      </c>
      <c r="S2073" s="92">
        <v>124.81761867886304</v>
      </c>
      <c r="T2073" s="92">
        <v>-1.4345050888022071</v>
      </c>
      <c r="U2073" s="92">
        <v>-5.4817056984725667</v>
      </c>
      <c r="V2073" s="92">
        <v>-6.2369271382192351E-2</v>
      </c>
      <c r="W2073" s="92">
        <v>4.610352911142291E-2</v>
      </c>
      <c r="X2073" s="92">
        <v>0.15211893085084055</v>
      </c>
      <c r="Y2073" s="92">
        <v>-5.2296602219679695E-4</v>
      </c>
      <c r="Z2073" s="92">
        <v>6.3596729744889286E-4</v>
      </c>
      <c r="AA2073" s="92">
        <v>7.8147387015404095E-5</v>
      </c>
      <c r="AB2073" s="92">
        <v>-1.1371901887098478E-3</v>
      </c>
      <c r="AC2073" s="119">
        <v>1.1978658569989357E-2</v>
      </c>
      <c r="AD2073" s="119">
        <v>0.58506530189478423</v>
      </c>
      <c r="AE2073" s="120">
        <v>4.3650965035944931E-3</v>
      </c>
      <c r="AF2073" s="119">
        <v>3.6743298624005015E-2</v>
      </c>
      <c r="AG2073" s="119">
        <v>1.3471316378141924</v>
      </c>
      <c r="AH2073" s="120">
        <v>9.3386342365846531E-3</v>
      </c>
      <c r="AI2073" s="121">
        <v>-35</v>
      </c>
      <c r="AJ2073" s="121">
        <v>-10</v>
      </c>
      <c r="AK2073" s="121">
        <v>35</v>
      </c>
      <c r="AL2073" s="121">
        <v>55</v>
      </c>
      <c r="AM2073" s="122">
        <v>41486</v>
      </c>
      <c r="AN2073" s="121" t="s">
        <v>668</v>
      </c>
      <c r="AP2073" s="87"/>
    </row>
    <row r="2074" spans="1:42">
      <c r="A2074" s="71"/>
      <c r="B2074" s="72"/>
      <c r="C2074" s="71"/>
      <c r="D2074" s="72"/>
      <c r="E2074" s="71"/>
      <c r="F2074" s="72"/>
      <c r="G2074" s="77">
        <v>3000</v>
      </c>
      <c r="H2074" s="3"/>
      <c r="I2074" s="91">
        <v>-19.220382587839666</v>
      </c>
      <c r="J2074" s="92">
        <v>5.9485523199603243</v>
      </c>
      <c r="K2074" s="92">
        <v>34.49801461295656</v>
      </c>
      <c r="L2074" s="92">
        <v>-0.11901214202754394</v>
      </c>
      <c r="M2074" s="92">
        <v>0.13622954663030665</v>
      </c>
      <c r="N2074" s="92">
        <v>-0.84891443954195522</v>
      </c>
      <c r="O2074" s="92">
        <v>-5.8539378006372059E-3</v>
      </c>
      <c r="P2074" s="92">
        <v>-5.4223489879924366E-3</v>
      </c>
      <c r="Q2074" s="92">
        <v>-4.8114313541699951E-3</v>
      </c>
      <c r="R2074" s="92">
        <v>5.7933683329796726E-3</v>
      </c>
      <c r="S2074" s="92">
        <v>164.9418897066578</v>
      </c>
      <c r="T2074" s="92">
        <v>-0.95486380285935435</v>
      </c>
      <c r="U2074" s="92">
        <v>-5.3626360071844035</v>
      </c>
      <c r="V2074" s="92">
        <v>-4.0743757089239364E-2</v>
      </c>
      <c r="W2074" s="92">
        <v>8.2346034385853348E-2</v>
      </c>
      <c r="X2074" s="92">
        <v>0.16424856014530198</v>
      </c>
      <c r="Y2074" s="92">
        <v>-3.4315553584505533E-4</v>
      </c>
      <c r="Z2074" s="92">
        <v>5.0089512550217062E-4</v>
      </c>
      <c r="AA2074" s="92">
        <v>-2.7501399704390111E-4</v>
      </c>
      <c r="AB2074" s="92">
        <v>-1.290363229440983E-3</v>
      </c>
      <c r="AC2074" s="119">
        <v>42.915903937195978</v>
      </c>
      <c r="AD2074" s="119">
        <v>1412.3121184144777</v>
      </c>
      <c r="AE2074" s="120">
        <v>0.14658177059298932</v>
      </c>
      <c r="AF2074" s="119">
        <v>1.4169556157789259E-2</v>
      </c>
      <c r="AG2074" s="119">
        <v>1.040178222480713</v>
      </c>
      <c r="AH2074" s="120">
        <v>5.0488025180947015E-3</v>
      </c>
      <c r="AI2074" s="121">
        <v>-35</v>
      </c>
      <c r="AJ2074" s="121">
        <v>-10</v>
      </c>
      <c r="AK2074" s="121">
        <v>35</v>
      </c>
      <c r="AL2074" s="121">
        <v>55</v>
      </c>
      <c r="AM2074" s="122">
        <v>42982</v>
      </c>
      <c r="AN2074" s="121" t="s">
        <v>504</v>
      </c>
      <c r="AP2074" s="87"/>
    </row>
    <row r="2075" spans="1:42">
      <c r="A2075" s="71"/>
      <c r="B2075" s="72"/>
      <c r="C2075" s="71"/>
      <c r="D2075" s="72"/>
      <c r="E2075" s="71"/>
      <c r="F2075" s="72"/>
      <c r="G2075" s="77">
        <v>4500</v>
      </c>
      <c r="H2075" s="3"/>
      <c r="I2075" s="91">
        <v>948.66706387767397</v>
      </c>
      <c r="J2075" s="92">
        <v>47.435242529395154</v>
      </c>
      <c r="K2075" s="92">
        <v>-4.9764774881471334</v>
      </c>
      <c r="L2075" s="92">
        <v>0.81539592442292896</v>
      </c>
      <c r="M2075" s="92">
        <v>-0.53742376852722951</v>
      </c>
      <c r="N2075" s="92">
        <v>-0.10388343244734384</v>
      </c>
      <c r="O2075" s="92">
        <v>6.6388004203943394E-3</v>
      </c>
      <c r="P2075" s="92">
        <v>-3.4841642633594294E-3</v>
      </c>
      <c r="Q2075" s="92">
        <v>3.0879938985359685E-3</v>
      </c>
      <c r="R2075" s="92">
        <v>1.248488718370841E-3</v>
      </c>
      <c r="S2075" s="92">
        <v>275.55310109555762</v>
      </c>
      <c r="T2075" s="92">
        <v>8.5258648694052539</v>
      </c>
      <c r="U2075" s="92">
        <v>-5.6170141366701101</v>
      </c>
      <c r="V2075" s="92">
        <v>0.1712098883059448</v>
      </c>
      <c r="W2075" s="92">
        <v>-0.11090273834692438</v>
      </c>
      <c r="X2075" s="92">
        <v>0.12758229699358928</v>
      </c>
      <c r="Y2075" s="92">
        <v>1.8647743097263208E-3</v>
      </c>
      <c r="Z2075" s="92">
        <v>-6.6246744441363363E-4</v>
      </c>
      <c r="AA2075" s="92">
        <v>1.3820532133868764E-3</v>
      </c>
      <c r="AB2075" s="92">
        <v>-7.2295945555492225E-4</v>
      </c>
      <c r="AC2075" s="119">
        <v>5.1714147539897337E-2</v>
      </c>
      <c r="AD2075" s="119">
        <v>2.2667172255466221</v>
      </c>
      <c r="AE2075" s="120">
        <v>4.1495988678051194E-3</v>
      </c>
      <c r="AF2075" s="119">
        <v>1.4439618292461192E-2</v>
      </c>
      <c r="AG2075" s="119">
        <v>0.55977014807004932</v>
      </c>
      <c r="AH2075" s="120">
        <v>2.1344171404606982E-3</v>
      </c>
      <c r="AI2075" s="121">
        <v>-35</v>
      </c>
      <c r="AJ2075" s="121">
        <v>-10</v>
      </c>
      <c r="AK2075" s="121">
        <v>35</v>
      </c>
      <c r="AL2075" s="121">
        <v>55</v>
      </c>
      <c r="AM2075" s="122">
        <v>41486</v>
      </c>
      <c r="AN2075" s="121" t="s">
        <v>668</v>
      </c>
      <c r="AP2075" s="87"/>
    </row>
    <row r="2076" spans="1:42">
      <c r="A2076" s="71" t="s">
        <v>43</v>
      </c>
      <c r="B2076" s="72" t="s">
        <v>44</v>
      </c>
      <c r="C2076" s="71" t="s">
        <v>45</v>
      </c>
      <c r="D2076" s="72" t="s">
        <v>46</v>
      </c>
      <c r="E2076" s="71" t="s">
        <v>47</v>
      </c>
      <c r="F2076" s="72" t="s">
        <v>143</v>
      </c>
      <c r="G2076" s="77"/>
      <c r="H2076" s="72" t="str">
        <f>CONCATENATE(A2076," ",B2076," ",C2076," ",D2076," ",E2076," ",F2076)</f>
        <v>Embraco Isobutane 50 Hz 230V VSD VES D11C</v>
      </c>
      <c r="I2076" s="91"/>
      <c r="J2076" s="92"/>
      <c r="K2076" s="92"/>
      <c r="L2076" s="92"/>
      <c r="M2076" s="92"/>
      <c r="N2076" s="92"/>
      <c r="O2076" s="92"/>
      <c r="P2076" s="92"/>
      <c r="Q2076" s="92"/>
      <c r="R2076" s="92"/>
      <c r="S2076" s="92"/>
      <c r="T2076" s="92"/>
      <c r="U2076" s="92"/>
      <c r="V2076" s="92"/>
      <c r="W2076" s="92"/>
      <c r="X2076" s="92"/>
      <c r="Y2076" s="92"/>
      <c r="Z2076" s="92"/>
      <c r="AA2076" s="92"/>
      <c r="AB2076" s="92"/>
      <c r="AC2076" s="119"/>
      <c r="AD2076" s="119"/>
      <c r="AE2076" s="120"/>
      <c r="AF2076" s="119"/>
      <c r="AG2076" s="119"/>
      <c r="AH2076" s="120"/>
      <c r="AI2076" s="121"/>
      <c r="AJ2076" s="121"/>
      <c r="AK2076" s="121"/>
      <c r="AL2076" s="121"/>
      <c r="AM2076" s="122"/>
      <c r="AN2076" s="121"/>
      <c r="AP2076" s="87"/>
    </row>
    <row r="2077" spans="1:42">
      <c r="A2077" s="71"/>
      <c r="B2077" s="72"/>
      <c r="C2077" s="71"/>
      <c r="D2077" s="72"/>
      <c r="E2077" s="71"/>
      <c r="F2077" s="72"/>
      <c r="G2077" s="77">
        <v>1300</v>
      </c>
      <c r="I2077" s="91">
        <v>0.97435901818887838</v>
      </c>
      <c r="J2077" s="92">
        <v>12.683828566491073</v>
      </c>
      <c r="K2077" s="92">
        <v>21.805132685874195</v>
      </c>
      <c r="L2077" s="92">
        <v>0.16153449645616588</v>
      </c>
      <c r="M2077" s="92">
        <v>-6.6439821417678444E-2</v>
      </c>
      <c r="N2077" s="92">
        <v>-0.54415586831447926</v>
      </c>
      <c r="O2077" s="92">
        <v>7.1360690210074251E-4</v>
      </c>
      <c r="P2077" s="92">
        <v>-6.2599147651777999E-4</v>
      </c>
      <c r="Q2077" s="92">
        <v>-1.4017880812979106E-4</v>
      </c>
      <c r="R2077" s="92">
        <v>3.9474118461738598E-3</v>
      </c>
      <c r="S2077" s="92">
        <v>0.24580707487602024</v>
      </c>
      <c r="T2077" s="92">
        <v>-0.481582011319377</v>
      </c>
      <c r="U2077" s="92">
        <v>2.6753308621022356</v>
      </c>
      <c r="V2077" s="92">
        <v>-3.7963915105435314E-2</v>
      </c>
      <c r="W2077" s="92">
        <v>1.4497563847637026E-2</v>
      </c>
      <c r="X2077" s="92">
        <v>-4.2493563958528283E-2</v>
      </c>
      <c r="Y2077" s="92">
        <v>-4.2573173776289672E-4</v>
      </c>
      <c r="Z2077" s="92">
        <v>2.2375137923722697E-4</v>
      </c>
      <c r="AA2077" s="92">
        <v>2.2015449444965577E-4</v>
      </c>
      <c r="AB2077" s="92">
        <v>3.4818790804743783E-4</v>
      </c>
      <c r="AC2077" s="119">
        <v>1.7553346551126437E-2</v>
      </c>
      <c r="AD2077" s="119">
        <v>0.60295268433538718</v>
      </c>
      <c r="AE2077" s="120">
        <v>6.093899412878097E-3</v>
      </c>
      <c r="AF2077" s="119">
        <v>2.2306032159064706E-2</v>
      </c>
      <c r="AG2077" s="119">
        <v>0.84244267545282492</v>
      </c>
      <c r="AH2077" s="120">
        <v>8.791024024753671E-3</v>
      </c>
      <c r="AI2077" s="121">
        <v>-35</v>
      </c>
      <c r="AJ2077" s="121">
        <v>-10</v>
      </c>
      <c r="AK2077" s="121">
        <v>35</v>
      </c>
      <c r="AL2077" s="121">
        <v>55</v>
      </c>
      <c r="AM2077" s="122">
        <v>43248</v>
      </c>
      <c r="AN2077" s="121" t="s">
        <v>688</v>
      </c>
      <c r="AP2077" s="87"/>
    </row>
    <row r="2078" spans="1:42">
      <c r="A2078" s="71"/>
      <c r="B2078" s="72"/>
      <c r="C2078" s="71"/>
      <c r="D2078" s="72"/>
      <c r="E2078" s="71"/>
      <c r="F2078" s="72"/>
      <c r="G2078" s="77">
        <v>1600</v>
      </c>
      <c r="I2078" s="91">
        <v>2.2849128177902478</v>
      </c>
      <c r="J2078" s="92">
        <v>15.892981539926971</v>
      </c>
      <c r="K2078" s="92">
        <v>27.530015385651133</v>
      </c>
      <c r="L2078" s="92">
        <v>0.17617678098006162</v>
      </c>
      <c r="M2078" s="92">
        <v>-0.10473578337590973</v>
      </c>
      <c r="N2078" s="92">
        <v>-0.69952131903452552</v>
      </c>
      <c r="O2078" s="92">
        <v>7.7349051399003082E-4</v>
      </c>
      <c r="P2078" s="92">
        <v>-3.1876759770750043E-4</v>
      </c>
      <c r="Q2078" s="92">
        <v>2.5781592191649963E-4</v>
      </c>
      <c r="R2078" s="92">
        <v>5.1997020797268549E-3</v>
      </c>
      <c r="S2078" s="92">
        <v>0.21310987130666542</v>
      </c>
      <c r="T2078" s="92">
        <v>-1.6290545568462278</v>
      </c>
      <c r="U2078" s="92">
        <v>3.0435551906301486</v>
      </c>
      <c r="V2078" s="92">
        <v>-6.2614423399076385E-2</v>
      </c>
      <c r="W2078" s="92">
        <v>5.5699336142581705E-2</v>
      </c>
      <c r="X2078" s="92">
        <v>-3.9472162641731132E-2</v>
      </c>
      <c r="Y2078" s="92">
        <v>-5.4793868869608127E-4</v>
      </c>
      <c r="Z2078" s="92">
        <v>6.3590213404932235E-4</v>
      </c>
      <c r="AA2078" s="92">
        <v>-3.0322853962579814E-6</v>
      </c>
      <c r="AB2078" s="92">
        <v>2.903743614265794E-4</v>
      </c>
      <c r="AC2078" s="119">
        <v>1.8336524183371571E-2</v>
      </c>
      <c r="AD2078" s="119">
        <v>0.6397010522488833</v>
      </c>
      <c r="AE2078" s="120">
        <v>4.3452851961050254E-3</v>
      </c>
      <c r="AF2078" s="119">
        <v>3.2173947391878205E-2</v>
      </c>
      <c r="AG2078" s="119">
        <v>0.80389786883979963</v>
      </c>
      <c r="AH2078" s="120">
        <v>7.4229798361480602E-3</v>
      </c>
      <c r="AI2078" s="121">
        <v>-35</v>
      </c>
      <c r="AJ2078" s="121">
        <v>-10</v>
      </c>
      <c r="AK2078" s="121">
        <v>35</v>
      </c>
      <c r="AL2078" s="121">
        <v>55</v>
      </c>
      <c r="AM2078" s="122">
        <v>43248</v>
      </c>
      <c r="AN2078" s="121" t="s">
        <v>688</v>
      </c>
      <c r="AP2078" s="87"/>
    </row>
    <row r="2079" spans="1:42">
      <c r="A2079" s="71"/>
      <c r="B2079" s="72"/>
      <c r="C2079" s="71"/>
      <c r="D2079" s="72"/>
      <c r="E2079" s="71"/>
      <c r="F2079" s="72"/>
      <c r="G2079" s="77">
        <v>2000</v>
      </c>
      <c r="I2079" s="91">
        <v>3.9987128284733426</v>
      </c>
      <c r="J2079" s="92">
        <v>20.085051225190476</v>
      </c>
      <c r="K2079" s="92">
        <v>34.422958256549116</v>
      </c>
      <c r="L2079" s="92">
        <v>0.20913152699155282</v>
      </c>
      <c r="M2079" s="92">
        <v>-0.15874893856012395</v>
      </c>
      <c r="N2079" s="92">
        <v>-0.88300392143843309</v>
      </c>
      <c r="O2079" s="92">
        <v>4.5236657638121213E-4</v>
      </c>
      <c r="P2079" s="92">
        <v>-1.0053502080319282E-3</v>
      </c>
      <c r="Q2079" s="92">
        <v>4.3911346578386659E-4</v>
      </c>
      <c r="R2079" s="92">
        <v>6.6363581865683833E-3</v>
      </c>
      <c r="S2079" s="92">
        <v>0.27586488890005573</v>
      </c>
      <c r="T2079" s="92">
        <v>-0.49394692342230856</v>
      </c>
      <c r="U2079" s="92">
        <v>4.6773857197340334</v>
      </c>
      <c r="V2079" s="92">
        <v>-4.7894612365447578E-2</v>
      </c>
      <c r="W2079" s="92">
        <v>3.7087704103607795E-2</v>
      </c>
      <c r="X2079" s="92">
        <v>-7.5023521370567822E-2</v>
      </c>
      <c r="Y2079" s="92">
        <v>-5.0663676433834292E-4</v>
      </c>
      <c r="Z2079" s="92">
        <v>4.654746095707016E-4</v>
      </c>
      <c r="AA2079" s="92">
        <v>1.7909430180652655E-4</v>
      </c>
      <c r="AB2079" s="92">
        <v>5.6097925903932002E-4</v>
      </c>
      <c r="AC2079" s="119">
        <v>2.4258397729839377E-2</v>
      </c>
      <c r="AD2079" s="119">
        <v>0.83636823579166242</v>
      </c>
      <c r="AE2079" s="120">
        <v>4.0610382882603022E-3</v>
      </c>
      <c r="AF2079" s="119">
        <v>6.2587544174721371E-2</v>
      </c>
      <c r="AG2079" s="119">
        <v>1.8021945462373394</v>
      </c>
      <c r="AH2079" s="120">
        <v>7.3941568265093278E-3</v>
      </c>
      <c r="AI2079" s="121">
        <v>-35</v>
      </c>
      <c r="AJ2079" s="121">
        <v>-10</v>
      </c>
      <c r="AK2079" s="121">
        <v>35</v>
      </c>
      <c r="AL2079" s="121">
        <v>55</v>
      </c>
      <c r="AM2079" s="122">
        <v>43248</v>
      </c>
      <c r="AN2079" s="121" t="s">
        <v>688</v>
      </c>
      <c r="AP2079" s="87"/>
    </row>
    <row r="2080" spans="1:42">
      <c r="A2080" s="71"/>
      <c r="B2080" s="72"/>
      <c r="C2080" s="71"/>
      <c r="D2080" s="72"/>
      <c r="E2080" s="71"/>
      <c r="F2080" s="72"/>
      <c r="G2080" s="77">
        <v>3000</v>
      </c>
      <c r="I2080" s="91">
        <v>2.8879375472085234</v>
      </c>
      <c r="J2080" s="92">
        <v>30.408393341053468</v>
      </c>
      <c r="K2080" s="92">
        <v>51.743266364054733</v>
      </c>
      <c r="L2080" s="92">
        <v>0.33201607611316575</v>
      </c>
      <c r="M2080" s="92">
        <v>-0.25024877025715286</v>
      </c>
      <c r="N2080" s="92">
        <v>-1.3283972234774832</v>
      </c>
      <c r="O2080" s="92">
        <v>6.429024473214906E-4</v>
      </c>
      <c r="P2080" s="92">
        <v>-2.3159500964599023E-3</v>
      </c>
      <c r="Q2080" s="92">
        <v>3.7398903828364972E-4</v>
      </c>
      <c r="R2080" s="92">
        <v>9.9229450306950948E-3</v>
      </c>
      <c r="S2080" s="92">
        <v>0.502987232107031</v>
      </c>
      <c r="T2080" s="92">
        <v>2.1270592197941234</v>
      </c>
      <c r="U2080" s="92">
        <v>9.2112020214042012</v>
      </c>
      <c r="V2080" s="92">
        <v>-8.8577043894604891E-3</v>
      </c>
      <c r="W2080" s="92">
        <v>1.2463176041661301E-2</v>
      </c>
      <c r="X2080" s="92">
        <v>-0.1704683235555878</v>
      </c>
      <c r="Y2080" s="92">
        <v>-4.7257201217462062E-4</v>
      </c>
      <c r="Z2080" s="92">
        <v>-1.5756359490663794E-4</v>
      </c>
      <c r="AA2080" s="92">
        <v>2.477731948457988E-4</v>
      </c>
      <c r="AB2080" s="92">
        <v>1.2214971795662282E-3</v>
      </c>
      <c r="AC2080" s="119">
        <v>1.3549188708609565E-2</v>
      </c>
      <c r="AD2080" s="119">
        <v>0.73343864602030007</v>
      </c>
      <c r="AE2080" s="120">
        <v>2.6041756922676675E-3</v>
      </c>
      <c r="AF2080" s="119">
        <v>2.1423477438194175E-2</v>
      </c>
      <c r="AG2080" s="119">
        <v>0.70980501483121206</v>
      </c>
      <c r="AH2080" s="120">
        <v>3.469389275454083E-3</v>
      </c>
      <c r="AI2080" s="121">
        <v>-35</v>
      </c>
      <c r="AJ2080" s="121">
        <v>-10</v>
      </c>
      <c r="AK2080" s="121">
        <v>35</v>
      </c>
      <c r="AL2080" s="121">
        <v>55</v>
      </c>
      <c r="AM2080" s="122">
        <v>43248</v>
      </c>
      <c r="AN2080" s="121" t="s">
        <v>688</v>
      </c>
      <c r="AP2080" s="87"/>
    </row>
    <row r="2081" spans="1:42">
      <c r="A2081" s="71"/>
      <c r="B2081" s="72"/>
      <c r="C2081" s="71"/>
      <c r="D2081" s="72"/>
      <c r="E2081" s="71"/>
      <c r="F2081" s="72"/>
      <c r="G2081" s="77">
        <v>4500</v>
      </c>
      <c r="I2081" s="91">
        <v>3.7318942417406245</v>
      </c>
      <c r="J2081" s="92">
        <v>52.837470239254422</v>
      </c>
      <c r="K2081" s="92">
        <v>73.294746417045076</v>
      </c>
      <c r="L2081" s="92">
        <v>1.1927012832268349</v>
      </c>
      <c r="M2081" s="92">
        <v>-0.10064665669892336</v>
      </c>
      <c r="N2081" s="92">
        <v>-1.7960505359984893</v>
      </c>
      <c r="O2081" s="92">
        <v>1.1348641871541484E-2</v>
      </c>
      <c r="P2081" s="92">
        <v>-1.4781781210553818E-3</v>
      </c>
      <c r="Q2081" s="92">
        <v>-9.9050757791663952E-4</v>
      </c>
      <c r="R2081" s="92">
        <v>1.3211116278714406E-2</v>
      </c>
      <c r="S2081" s="92">
        <v>0.74366173213786102</v>
      </c>
      <c r="T2081" s="92">
        <v>4.4727902317740691</v>
      </c>
      <c r="U2081" s="92">
        <v>14.720915851502289</v>
      </c>
      <c r="V2081" s="92">
        <v>0.11009461291463188</v>
      </c>
      <c r="W2081" s="92">
        <v>8.4705006634201704E-2</v>
      </c>
      <c r="X2081" s="92">
        <v>-0.28518321714932965</v>
      </c>
      <c r="Y2081" s="92">
        <v>1.7360059738616262E-3</v>
      </c>
      <c r="Z2081" s="92">
        <v>1.3434364554660413E-3</v>
      </c>
      <c r="AA2081" s="92">
        <v>3.571060658228888E-4</v>
      </c>
      <c r="AB2081" s="92">
        <v>2.2168522612320239E-3</v>
      </c>
      <c r="AC2081" s="119">
        <v>9.626084691880217E-2</v>
      </c>
      <c r="AD2081" s="119">
        <v>2.8413015413754708</v>
      </c>
      <c r="AE2081" s="120">
        <v>3.531658936993962E-3</v>
      </c>
      <c r="AF2081" s="119">
        <v>5.2495446971190015E-3</v>
      </c>
      <c r="AG2081" s="119">
        <v>0.14367599409831924</v>
      </c>
      <c r="AH2081" s="120">
        <v>9.373635633480984E-4</v>
      </c>
      <c r="AI2081" s="121">
        <v>-35</v>
      </c>
      <c r="AJ2081" s="121">
        <v>-10</v>
      </c>
      <c r="AK2081" s="121">
        <v>35</v>
      </c>
      <c r="AL2081" s="121">
        <v>55</v>
      </c>
      <c r="AM2081" s="122">
        <v>43248</v>
      </c>
      <c r="AN2081" s="121" t="s">
        <v>688</v>
      </c>
      <c r="AP2081" s="87"/>
    </row>
    <row r="2082" spans="1:42">
      <c r="A2082" s="71" t="s">
        <v>43</v>
      </c>
      <c r="B2082" s="72" t="s">
        <v>44</v>
      </c>
      <c r="C2082" s="71" t="s">
        <v>45</v>
      </c>
      <c r="D2082" s="72" t="s">
        <v>109</v>
      </c>
      <c r="E2082" s="71" t="s">
        <v>47</v>
      </c>
      <c r="F2082" s="72" t="s">
        <v>145</v>
      </c>
      <c r="G2082" s="77"/>
      <c r="H2082" s="72" t="str">
        <f>CONCATENATE(A2082," ",B2082," ",C2082," ",D2082," ",E2082," ",F2082)</f>
        <v>Embraco Isobutane 50 Hz 220V VSD VESF5C</v>
      </c>
      <c r="I2082" s="91"/>
      <c r="J2082" s="92"/>
      <c r="K2082" s="92"/>
      <c r="L2082" s="92"/>
      <c r="M2082" s="92"/>
      <c r="N2082" s="92"/>
      <c r="O2082" s="92"/>
      <c r="P2082" s="92"/>
      <c r="Q2082" s="92"/>
      <c r="R2082" s="92"/>
      <c r="S2082" s="92"/>
      <c r="T2082" s="92"/>
      <c r="U2082" s="92"/>
      <c r="V2082" s="92"/>
      <c r="W2082" s="92"/>
      <c r="X2082" s="92"/>
      <c r="Y2082" s="92"/>
      <c r="Z2082" s="92"/>
      <c r="AA2082" s="92"/>
      <c r="AB2082" s="92"/>
      <c r="AC2082" s="119"/>
      <c r="AD2082" s="119"/>
      <c r="AE2082" s="120"/>
      <c r="AF2082" s="119"/>
      <c r="AG2082" s="119"/>
      <c r="AH2082" s="120"/>
      <c r="AI2082" s="121"/>
      <c r="AJ2082" s="121"/>
      <c r="AK2082" s="121"/>
      <c r="AL2082" s="121"/>
      <c r="AM2082" s="122"/>
      <c r="AN2082" s="121"/>
      <c r="AP2082" s="87"/>
    </row>
    <row r="2083" spans="1:42">
      <c r="A2083" s="71"/>
      <c r="B2083" s="72"/>
      <c r="C2083" s="71"/>
      <c r="D2083" s="72"/>
      <c r="E2083" s="71"/>
      <c r="F2083" s="72"/>
      <c r="G2083" s="77">
        <v>950</v>
      </c>
      <c r="H2083" s="3"/>
      <c r="I2083" s="91">
        <v>2.0432074055628027</v>
      </c>
      <c r="J2083" s="92">
        <v>4.4085000399153111</v>
      </c>
      <c r="K2083" s="92">
        <v>7.2344240244892841</v>
      </c>
      <c r="L2083" s="92">
        <v>4.9548403634309575E-2</v>
      </c>
      <c r="M2083" s="92">
        <v>-3.0772140145781637E-2</v>
      </c>
      <c r="N2083" s="92">
        <v>-0.18505677363655978</v>
      </c>
      <c r="O2083" s="92">
        <v>-4.6845894872016872E-4</v>
      </c>
      <c r="P2083" s="92">
        <v>-7.2825322954937224E-4</v>
      </c>
      <c r="Q2083" s="92">
        <v>-1.2097482780642933E-4</v>
      </c>
      <c r="R2083" s="92">
        <v>1.3350237775210114E-3</v>
      </c>
      <c r="S2083" s="92">
        <v>-3.466789876585723</v>
      </c>
      <c r="T2083" s="92">
        <v>-1.539441840532858</v>
      </c>
      <c r="U2083" s="92">
        <v>0.87263969559354615</v>
      </c>
      <c r="V2083" s="92">
        <v>-0.10402567320603674</v>
      </c>
      <c r="W2083" s="92">
        <v>2.7488256248660983E-2</v>
      </c>
      <c r="X2083" s="92">
        <v>-9.7180349212113229E-3</v>
      </c>
      <c r="Y2083" s="92">
        <v>-1.747253040474262E-3</v>
      </c>
      <c r="Z2083" s="92">
        <v>8.6526782672536977E-4</v>
      </c>
      <c r="AA2083" s="92">
        <v>2.3166574428175868E-5</v>
      </c>
      <c r="AB2083" s="92">
        <v>5.5275916587540847E-5</v>
      </c>
      <c r="AC2083" s="119">
        <v>3.2753106583707836E-2</v>
      </c>
      <c r="AD2083" s="119">
        <v>1.1533633614435834</v>
      </c>
      <c r="AE2083" s="120">
        <v>1.8789655621684005E-2</v>
      </c>
      <c r="AF2083" s="119">
        <v>0.22944013833691412</v>
      </c>
      <c r="AG2083" s="119">
        <v>7.7964536836856606</v>
      </c>
      <c r="AH2083" s="120">
        <v>6.2929830400439674E-2</v>
      </c>
      <c r="AI2083" s="121">
        <v>-30</v>
      </c>
      <c r="AJ2083" s="121">
        <v>0</v>
      </c>
      <c r="AK2083" s="121">
        <v>35</v>
      </c>
      <c r="AL2083" s="121">
        <v>55</v>
      </c>
      <c r="AM2083" s="122">
        <v>42436</v>
      </c>
      <c r="AN2083" s="121" t="s">
        <v>689</v>
      </c>
      <c r="AP2083" s="87"/>
    </row>
    <row r="2084" spans="1:42">
      <c r="A2084" s="71"/>
      <c r="B2084" s="72"/>
      <c r="C2084" s="71"/>
      <c r="D2084" s="72"/>
      <c r="E2084" s="71"/>
      <c r="F2084" s="72"/>
      <c r="G2084" s="77">
        <v>1300</v>
      </c>
      <c r="H2084" s="3"/>
      <c r="I2084" s="91">
        <v>-8.8017583345237002E-2</v>
      </c>
      <c r="J2084" s="92">
        <v>6.144697620659648</v>
      </c>
      <c r="K2084" s="92">
        <v>10.428793542745566</v>
      </c>
      <c r="L2084" s="92">
        <v>8.4993063583338135E-2</v>
      </c>
      <c r="M2084" s="92">
        <v>-3.5678004543627143E-2</v>
      </c>
      <c r="N2084" s="92">
        <v>-0.26873117669566915</v>
      </c>
      <c r="O2084" s="92">
        <v>8.7103130535822479E-4</v>
      </c>
      <c r="P2084" s="92">
        <v>-4.8235705840621724E-5</v>
      </c>
      <c r="Q2084" s="92">
        <v>-6.9415977745139342E-6</v>
      </c>
      <c r="R2084" s="92">
        <v>1.9862023455453331E-3</v>
      </c>
      <c r="S2084" s="92">
        <v>0.27032511334766629</v>
      </c>
      <c r="T2084" s="92">
        <v>-0.16177214519276698</v>
      </c>
      <c r="U2084" s="92">
        <v>1.311925870289244</v>
      </c>
      <c r="V2084" s="92">
        <v>-2.8206861692724249E-2</v>
      </c>
      <c r="W2084" s="92">
        <v>4.1499730656379855E-4</v>
      </c>
      <c r="X2084" s="92">
        <v>-2.3669075406999546E-2</v>
      </c>
      <c r="Y2084" s="92">
        <v>-2.5476764374869631E-4</v>
      </c>
      <c r="Z2084" s="92">
        <v>3.5274639510819971E-4</v>
      </c>
      <c r="AA2084" s="92">
        <v>2.1906728431928779E-4</v>
      </c>
      <c r="AB2084" s="92">
        <v>1.9513410342544173E-4</v>
      </c>
      <c r="AC2084" s="119">
        <v>4.2391595061998424E-2</v>
      </c>
      <c r="AD2084" s="119">
        <v>1.3907795956076043</v>
      </c>
      <c r="AE2084" s="120">
        <v>1.7750431050548864E-2</v>
      </c>
      <c r="AF2084" s="119">
        <v>1.3527297555524318E-2</v>
      </c>
      <c r="AG2084" s="119">
        <v>0.44541568517917163</v>
      </c>
      <c r="AH2084" s="120">
        <v>1.1857245052766596E-2</v>
      </c>
      <c r="AI2084" s="121">
        <v>-30</v>
      </c>
      <c r="AJ2084" s="121">
        <v>0</v>
      </c>
      <c r="AK2084" s="121">
        <v>35</v>
      </c>
      <c r="AL2084" s="121">
        <v>55</v>
      </c>
      <c r="AM2084" s="122">
        <v>42436</v>
      </c>
      <c r="AN2084" s="121" t="s">
        <v>689</v>
      </c>
      <c r="AP2084" s="87"/>
    </row>
    <row r="2085" spans="1:42">
      <c r="A2085" s="71"/>
      <c r="B2085" s="72"/>
      <c r="C2085" s="71"/>
      <c r="D2085" s="72"/>
      <c r="E2085" s="71"/>
      <c r="F2085" s="72"/>
      <c r="G2085" s="77">
        <v>1600</v>
      </c>
      <c r="H2085" s="3"/>
      <c r="I2085" s="91">
        <v>-8.8035988851043259E-2</v>
      </c>
      <c r="J2085" s="92">
        <v>4.8458394553011512</v>
      </c>
      <c r="K2085" s="92">
        <v>12.097789645215636</v>
      </c>
      <c r="L2085" s="92">
        <v>3.4593181230562021E-2</v>
      </c>
      <c r="M2085" s="92">
        <v>4.901720760624996E-2</v>
      </c>
      <c r="N2085" s="92">
        <v>-0.30097206020725609</v>
      </c>
      <c r="O2085" s="92">
        <v>-8.7869470180075506E-4</v>
      </c>
      <c r="P2085" s="92">
        <v>-7.2097489063139891E-5</v>
      </c>
      <c r="Q2085" s="92">
        <v>-1.0280914927290937E-3</v>
      </c>
      <c r="R2085" s="92">
        <v>2.1464963168576095E-3</v>
      </c>
      <c r="S2085" s="92">
        <v>0.26911508476279483</v>
      </c>
      <c r="T2085" s="92">
        <v>-1.829910229089512</v>
      </c>
      <c r="U2085" s="92">
        <v>1.118696738918763</v>
      </c>
      <c r="V2085" s="92">
        <v>-4.4302156752925204E-2</v>
      </c>
      <c r="W2085" s="92">
        <v>7.1766101282842679E-2</v>
      </c>
      <c r="X2085" s="92">
        <v>-7.0810157168458843E-3</v>
      </c>
      <c r="Y2085" s="92">
        <v>-3.6557604454307783E-4</v>
      </c>
      <c r="Z2085" s="92">
        <v>7.0295142637997196E-4</v>
      </c>
      <c r="AA2085" s="92">
        <v>-4.3213539378342503E-4</v>
      </c>
      <c r="AB2085" s="92">
        <v>8.0489291702594105E-6</v>
      </c>
      <c r="AC2085" s="119">
        <v>1.6992480221261794E-2</v>
      </c>
      <c r="AD2085" s="119">
        <v>0.40454233782539478</v>
      </c>
      <c r="AE2085" s="120">
        <v>7.4205764158498458E-3</v>
      </c>
      <c r="AF2085" s="119">
        <v>4.0614411698660528E-2</v>
      </c>
      <c r="AG2085" s="119">
        <v>0.79159325152434667</v>
      </c>
      <c r="AH2085" s="120">
        <v>1.5524034536298588E-2</v>
      </c>
      <c r="AI2085" s="121">
        <v>-30</v>
      </c>
      <c r="AJ2085" s="121">
        <v>0</v>
      </c>
      <c r="AK2085" s="121">
        <v>35</v>
      </c>
      <c r="AL2085" s="121">
        <v>55</v>
      </c>
      <c r="AM2085" s="122">
        <v>42436</v>
      </c>
      <c r="AN2085" s="121" t="s">
        <v>689</v>
      </c>
      <c r="AP2085" s="87"/>
    </row>
    <row r="2086" spans="1:42">
      <c r="A2086" s="71"/>
      <c r="B2086" s="72"/>
      <c r="C2086" s="71"/>
      <c r="D2086" s="72"/>
      <c r="E2086" s="71"/>
      <c r="F2086" s="72"/>
      <c r="G2086" s="77">
        <v>2000</v>
      </c>
      <c r="H2086" s="3"/>
      <c r="I2086" s="91">
        <v>-8.8022998493056587E-2</v>
      </c>
      <c r="J2086" s="92">
        <v>6.1353391660968528</v>
      </c>
      <c r="K2086" s="92">
        <v>13.79461252152452</v>
      </c>
      <c r="L2086" s="92">
        <v>6.0942371290595244E-2</v>
      </c>
      <c r="M2086" s="92">
        <v>5.0407152818389457E-2</v>
      </c>
      <c r="N2086" s="92">
        <v>-0.31825779994453518</v>
      </c>
      <c r="O2086" s="92">
        <v>1.5534685460108215E-3</v>
      </c>
      <c r="P2086" s="92">
        <v>1.8861468360986497E-3</v>
      </c>
      <c r="Q2086" s="92">
        <v>-1.9356021477695591E-4</v>
      </c>
      <c r="R2086" s="92">
        <v>2.2948081271086922E-3</v>
      </c>
      <c r="S2086" s="92">
        <v>0.42157207887756859</v>
      </c>
      <c r="T2086" s="92">
        <v>-1.4639635146430998</v>
      </c>
      <c r="U2086" s="92">
        <v>1.6118153338499652</v>
      </c>
      <c r="V2086" s="92">
        <v>-2.4338944103077596E-2</v>
      </c>
      <c r="W2086" s="92">
        <v>6.6066887135579427E-2</v>
      </c>
      <c r="X2086" s="92">
        <v>-1.6187654738722159E-2</v>
      </c>
      <c r="Y2086" s="92">
        <v>5.0886881498966136E-4</v>
      </c>
      <c r="Z2086" s="92">
        <v>8.7912739242205563E-4</v>
      </c>
      <c r="AA2086" s="92">
        <v>-2.8942842571317743E-4</v>
      </c>
      <c r="AB2086" s="92">
        <v>7.6628543621806789E-5</v>
      </c>
      <c r="AC2086" s="119">
        <v>4.2297826556978335E-2</v>
      </c>
      <c r="AD2086" s="119">
        <v>1.5544753004035845</v>
      </c>
      <c r="AE2086" s="120">
        <v>9.080294712223283E-3</v>
      </c>
      <c r="AF2086" s="119">
        <v>1.3949536878676094E-2</v>
      </c>
      <c r="AG2086" s="119">
        <v>0.6885572688486461</v>
      </c>
      <c r="AH2086" s="120">
        <v>1.1376628650312253E-2</v>
      </c>
      <c r="AI2086" s="121">
        <v>-30</v>
      </c>
      <c r="AJ2086" s="121">
        <v>0</v>
      </c>
      <c r="AK2086" s="121">
        <v>35</v>
      </c>
      <c r="AL2086" s="121">
        <v>55</v>
      </c>
      <c r="AM2086" s="122">
        <v>42436</v>
      </c>
      <c r="AN2086" s="121" t="s">
        <v>689</v>
      </c>
      <c r="AP2086" s="87"/>
    </row>
    <row r="2087" spans="1:42">
      <c r="A2087" s="71"/>
      <c r="B2087" s="72"/>
      <c r="C2087" s="71"/>
      <c r="D2087" s="72"/>
      <c r="E2087" s="71"/>
      <c r="F2087" s="72"/>
      <c r="G2087" s="77">
        <v>3000</v>
      </c>
      <c r="H2087" s="3"/>
      <c r="I2087" s="91">
        <v>0.28885299840410866</v>
      </c>
      <c r="J2087" s="92">
        <v>14.850173171020378</v>
      </c>
      <c r="K2087" s="92">
        <v>23.747809648002221</v>
      </c>
      <c r="L2087" s="92">
        <v>0.28465592367796588</v>
      </c>
      <c r="M2087" s="92">
        <v>-7.085061129831334E-2</v>
      </c>
      <c r="N2087" s="92">
        <v>-0.60526310989478771</v>
      </c>
      <c r="O2087" s="92">
        <v>3.2920027765715697E-3</v>
      </c>
      <c r="P2087" s="92">
        <v>-1.1304131745936161E-3</v>
      </c>
      <c r="Q2087" s="92">
        <v>-3.6610959724286257E-4</v>
      </c>
      <c r="R2087" s="92">
        <v>4.4546262506512876E-3</v>
      </c>
      <c r="S2087" s="92">
        <v>0.28409843455772915</v>
      </c>
      <c r="T2087" s="92">
        <v>0.94530158308071721</v>
      </c>
      <c r="U2087" s="92">
        <v>3.5614486546344173</v>
      </c>
      <c r="V2087" s="92">
        <v>-1.8902331390584028E-2</v>
      </c>
      <c r="W2087" s="92">
        <v>-2.779867739145658E-2</v>
      </c>
      <c r="X2087" s="92">
        <v>-6.9363529858172929E-2</v>
      </c>
      <c r="Y2087" s="92">
        <v>-2.888532449569634E-4</v>
      </c>
      <c r="Z2087" s="92">
        <v>3.9536826548675937E-6</v>
      </c>
      <c r="AA2087" s="92">
        <v>5.7557787664875865E-4</v>
      </c>
      <c r="AB2087" s="92">
        <v>5.5136905288237482E-4</v>
      </c>
      <c r="AC2087" s="119">
        <v>5.6182457646947848E-2</v>
      </c>
      <c r="AD2087" s="119">
        <v>1.8333766104152818</v>
      </c>
      <c r="AE2087" s="120">
        <v>1.1323089753452783E-2</v>
      </c>
      <c r="AF2087" s="119">
        <v>2.694753286039368E-2</v>
      </c>
      <c r="AG2087" s="119">
        <v>0.79011157717664993</v>
      </c>
      <c r="AH2087" s="120">
        <v>7.4718081765969141E-3</v>
      </c>
      <c r="AI2087" s="121">
        <v>-30</v>
      </c>
      <c r="AJ2087" s="121">
        <v>0</v>
      </c>
      <c r="AK2087" s="121">
        <v>35</v>
      </c>
      <c r="AL2087" s="121">
        <v>55</v>
      </c>
      <c r="AM2087" s="122">
        <v>42436</v>
      </c>
      <c r="AN2087" s="121" t="s">
        <v>689</v>
      </c>
      <c r="AP2087" s="87"/>
    </row>
    <row r="2088" spans="1:42">
      <c r="A2088" s="71"/>
      <c r="B2088" s="72"/>
      <c r="C2088" s="71"/>
      <c r="D2088" s="72"/>
      <c r="E2088" s="71"/>
      <c r="F2088" s="72"/>
      <c r="G2088" s="77">
        <v>4500</v>
      </c>
      <c r="H2088" s="3"/>
      <c r="I2088" s="91">
        <v>0.34575976482148141</v>
      </c>
      <c r="J2088" s="92">
        <v>21.10189862459892</v>
      </c>
      <c r="K2088" s="92">
        <v>34.644857696189426</v>
      </c>
      <c r="L2088" s="92">
        <v>0.22395470685870913</v>
      </c>
      <c r="M2088" s="92">
        <v>-0.13145266249103038</v>
      </c>
      <c r="N2088" s="92">
        <v>-0.89905200602030966</v>
      </c>
      <c r="O2088" s="92">
        <v>-7.7633073987563167E-4</v>
      </c>
      <c r="P2088" s="92">
        <v>-1.8577034231276001E-3</v>
      </c>
      <c r="Q2088" s="92">
        <v>-8.3431491580464572E-4</v>
      </c>
      <c r="R2088" s="92">
        <v>6.654779151256957E-3</v>
      </c>
      <c r="S2088" s="92">
        <v>0.28990202335317711</v>
      </c>
      <c r="T2088" s="92">
        <v>-3.708578539671918</v>
      </c>
      <c r="U2088" s="92">
        <v>5.0753560456543241</v>
      </c>
      <c r="V2088" s="92">
        <v>-0.17395463893117469</v>
      </c>
      <c r="W2088" s="92">
        <v>0.15769955427143936</v>
      </c>
      <c r="X2088" s="92">
        <v>-8.309290679326399E-2</v>
      </c>
      <c r="Y2088" s="92">
        <v>-3.061337995448526E-3</v>
      </c>
      <c r="Z2088" s="92">
        <v>1.4542722946110172E-3</v>
      </c>
      <c r="AA2088" s="92">
        <v>-1.2597363893211489E-3</v>
      </c>
      <c r="AB2088" s="92">
        <v>5.1355998543684835E-4</v>
      </c>
      <c r="AC2088" s="119">
        <v>2.7325826796029552E-2</v>
      </c>
      <c r="AD2088" s="119">
        <v>1.0316795010655928</v>
      </c>
      <c r="AE2088" s="120">
        <v>3.0144672782753076E-3</v>
      </c>
      <c r="AF2088" s="119">
        <v>0.16337244834503173</v>
      </c>
      <c r="AG2088" s="119">
        <v>6.4902102265098902</v>
      </c>
      <c r="AH2088" s="120">
        <v>1.0456064793761856E-2</v>
      </c>
      <c r="AI2088" s="121">
        <v>-30</v>
      </c>
      <c r="AJ2088" s="121">
        <v>0</v>
      </c>
      <c r="AK2088" s="121">
        <v>35</v>
      </c>
      <c r="AL2088" s="121">
        <v>55</v>
      </c>
      <c r="AM2088" s="122">
        <v>42436</v>
      </c>
      <c r="AN2088" s="121" t="s">
        <v>689</v>
      </c>
      <c r="AP2088" s="87"/>
    </row>
    <row r="2089" spans="1:42">
      <c r="A2089" s="71" t="s">
        <v>43</v>
      </c>
      <c r="B2089" s="72" t="s">
        <v>44</v>
      </c>
      <c r="C2089" s="71" t="s">
        <v>45</v>
      </c>
      <c r="D2089" s="72" t="s">
        <v>46</v>
      </c>
      <c r="E2089" s="71" t="s">
        <v>47</v>
      </c>
      <c r="F2089" s="72" t="s">
        <v>147</v>
      </c>
      <c r="G2089" s="77"/>
      <c r="H2089" s="72" t="str">
        <f>CONCATENATE(A2089," ",B2089," ",C2089," ",D2089," ",E2089," ",F2089)</f>
        <v>Embraco Isobutane 50 Hz 230V VSD VESF7C</v>
      </c>
      <c r="I2089" s="91"/>
      <c r="J2089" s="92"/>
      <c r="K2089" s="92"/>
      <c r="L2089" s="92"/>
      <c r="M2089" s="92"/>
      <c r="N2089" s="92"/>
      <c r="O2089" s="92"/>
      <c r="P2089" s="92"/>
      <c r="Q2089" s="92"/>
      <c r="R2089" s="92"/>
      <c r="S2089" s="92"/>
      <c r="T2089" s="92"/>
      <c r="U2089" s="92"/>
      <c r="V2089" s="92"/>
      <c r="W2089" s="92"/>
      <c r="X2089" s="92"/>
      <c r="Y2089" s="92"/>
      <c r="Z2089" s="92"/>
      <c r="AA2089" s="92"/>
      <c r="AB2089" s="92"/>
      <c r="AC2089" s="119"/>
      <c r="AD2089" s="119"/>
      <c r="AE2089" s="120"/>
      <c r="AF2089" s="119"/>
      <c r="AG2089" s="119"/>
      <c r="AH2089" s="120"/>
      <c r="AI2089" s="121"/>
      <c r="AJ2089" s="121"/>
      <c r="AK2089" s="121"/>
      <c r="AL2089" s="121"/>
      <c r="AM2089" s="122"/>
      <c r="AN2089" s="121"/>
      <c r="AP2089" s="87"/>
    </row>
    <row r="2090" spans="1:42">
      <c r="A2090" s="71"/>
      <c r="B2090" s="72"/>
      <c r="C2090" s="71"/>
      <c r="D2090" s="72"/>
      <c r="E2090" s="71"/>
      <c r="F2090" s="72"/>
      <c r="G2090" s="77">
        <v>950</v>
      </c>
      <c r="H2090" s="3"/>
      <c r="I2090" s="91">
        <v>1.4133563720289755</v>
      </c>
      <c r="J2090" s="92">
        <v>5.5233842752288655</v>
      </c>
      <c r="K2090" s="92">
        <v>10.207875583831152</v>
      </c>
      <c r="L2090" s="92">
        <v>5.7495263060333791E-2</v>
      </c>
      <c r="M2090" s="92">
        <v>-3.1420918660549982E-2</v>
      </c>
      <c r="N2090" s="92">
        <v>-0.26414137646981861</v>
      </c>
      <c r="O2090" s="92">
        <v>2.5932940809469279E-4</v>
      </c>
      <c r="P2090" s="92">
        <v>-8.117135570861744E-5</v>
      </c>
      <c r="Q2090" s="92">
        <v>3.8162085895007651E-5</v>
      </c>
      <c r="R2090" s="92">
        <v>1.9910604279537573E-3</v>
      </c>
      <c r="S2090" s="92">
        <v>7.2882976733015206E-2</v>
      </c>
      <c r="T2090" s="92">
        <v>-0.53409855635163817</v>
      </c>
      <c r="U2090" s="92">
        <v>1.008492090380944</v>
      </c>
      <c r="V2090" s="92">
        <v>-1.4338285864248528E-2</v>
      </c>
      <c r="W2090" s="92">
        <v>1.9002748427524953E-2</v>
      </c>
      <c r="X2090" s="92">
        <v>-1.1757315538902545E-2</v>
      </c>
      <c r="Y2090" s="92">
        <v>6.8742236359733421E-6</v>
      </c>
      <c r="Z2090" s="92">
        <v>2.8677218041358937E-4</v>
      </c>
      <c r="AA2090" s="92">
        <v>7.1501815728661084E-5</v>
      </c>
      <c r="AB2090" s="92">
        <v>9.2369747632871854E-5</v>
      </c>
      <c r="AC2090" s="119">
        <v>3.3315064855183901E-2</v>
      </c>
      <c r="AD2090" s="119">
        <v>1.3093207678746162</v>
      </c>
      <c r="AE2090" s="120">
        <v>2.5724350950526612E-2</v>
      </c>
      <c r="AF2090" s="119">
        <v>4.1326512512461444E-2</v>
      </c>
      <c r="AG2090" s="119">
        <v>1.8158573874330703</v>
      </c>
      <c r="AH2090" s="120">
        <v>3.1557486112943553E-2</v>
      </c>
      <c r="AI2090" s="121">
        <v>-35</v>
      </c>
      <c r="AJ2090" s="121">
        <v>-5</v>
      </c>
      <c r="AK2090" s="121">
        <v>35</v>
      </c>
      <c r="AL2090" s="121">
        <v>55</v>
      </c>
      <c r="AM2090" s="122">
        <v>43293</v>
      </c>
      <c r="AN2090" s="121" t="s">
        <v>690</v>
      </c>
      <c r="AP2090" s="87"/>
    </row>
    <row r="2091" spans="1:42">
      <c r="A2091" s="71"/>
      <c r="B2091" s="72"/>
      <c r="C2091" s="71"/>
      <c r="D2091" s="72"/>
      <c r="E2091" s="71"/>
      <c r="F2091" s="72"/>
      <c r="G2091" s="77">
        <v>1300</v>
      </c>
      <c r="H2091" s="3"/>
      <c r="I2091" s="91">
        <v>0.79645887348503741</v>
      </c>
      <c r="J2091" s="92">
        <v>7.9160228993252577</v>
      </c>
      <c r="K2091" s="92">
        <v>14.240738592628865</v>
      </c>
      <c r="L2091" s="92">
        <v>0.13201048240816796</v>
      </c>
      <c r="M2091" s="92">
        <v>-2.3408077274830511E-3</v>
      </c>
      <c r="N2091" s="92">
        <v>-0.35473098311931606</v>
      </c>
      <c r="O2091" s="92">
        <v>9.5088111297774597E-4</v>
      </c>
      <c r="P2091" s="92">
        <v>-3.2957443051389451E-4</v>
      </c>
      <c r="Q2091" s="92">
        <v>-5.3567512936318271E-4</v>
      </c>
      <c r="R2091" s="92">
        <v>2.5381947114551241E-3</v>
      </c>
      <c r="S2091" s="92">
        <v>0.22428036200639898</v>
      </c>
      <c r="T2091" s="92">
        <v>-9.0597093303871737E-2</v>
      </c>
      <c r="U2091" s="92">
        <v>1.4880871703603438</v>
      </c>
      <c r="V2091" s="92">
        <v>-8.7290225948998598E-3</v>
      </c>
      <c r="W2091" s="92">
        <v>1.0520655375565527E-2</v>
      </c>
      <c r="X2091" s="92">
        <v>-1.7129856482634955E-2</v>
      </c>
      <c r="Y2091" s="92">
        <v>1.2141361026722666E-6</v>
      </c>
      <c r="Z2091" s="92">
        <v>1.6736797540423972E-4</v>
      </c>
      <c r="AA2091" s="92">
        <v>1.4192176401205798E-4</v>
      </c>
      <c r="AB2091" s="92">
        <v>9.994086219983904E-5</v>
      </c>
      <c r="AC2091" s="119">
        <v>3.7903451527805616E-2</v>
      </c>
      <c r="AD2091" s="119">
        <v>1.2552459852391045</v>
      </c>
      <c r="AE2091" s="120">
        <v>1.9824504131067854E-2</v>
      </c>
      <c r="AF2091" s="119">
        <v>5.9715109947151825E-2</v>
      </c>
      <c r="AG2091" s="119">
        <v>1.8673104071354321</v>
      </c>
      <c r="AH2091" s="120">
        <v>2.3526875925760936E-2</v>
      </c>
      <c r="AI2091" s="121">
        <v>-35</v>
      </c>
      <c r="AJ2091" s="121">
        <v>-5</v>
      </c>
      <c r="AK2091" s="121">
        <v>35</v>
      </c>
      <c r="AL2091" s="121">
        <v>55</v>
      </c>
      <c r="AM2091" s="122">
        <v>43293</v>
      </c>
      <c r="AN2091" s="121" t="s">
        <v>690</v>
      </c>
      <c r="AP2091" s="87"/>
    </row>
    <row r="2092" spans="1:42">
      <c r="A2092" s="71"/>
      <c r="B2092" s="72"/>
      <c r="C2092" s="71"/>
      <c r="D2092" s="72"/>
      <c r="E2092" s="71"/>
      <c r="F2092" s="72"/>
      <c r="G2092" s="77">
        <v>1600</v>
      </c>
      <c r="H2092" s="3"/>
      <c r="I2092" s="91">
        <v>0.90687361757386609</v>
      </c>
      <c r="J2092" s="92">
        <v>8.1004500682334442</v>
      </c>
      <c r="K2092" s="92">
        <v>16.0643656874899</v>
      </c>
      <c r="L2092" s="92">
        <v>0.11976908148229073</v>
      </c>
      <c r="M2092" s="92">
        <v>1.7897608686963464E-2</v>
      </c>
      <c r="N2092" s="92">
        <v>-0.38824507126615104</v>
      </c>
      <c r="O2092" s="92">
        <v>3.9085039807742355E-4</v>
      </c>
      <c r="P2092" s="92">
        <v>-6.926790718920834E-4</v>
      </c>
      <c r="Q2092" s="92">
        <v>-8.7488966844157618E-4</v>
      </c>
      <c r="R2092" s="92">
        <v>2.7172188654292551E-3</v>
      </c>
      <c r="S2092" s="92">
        <v>-3.9378638695905361</v>
      </c>
      <c r="T2092" s="92">
        <v>-0.32783493753041498</v>
      </c>
      <c r="U2092" s="92">
        <v>2.2516545382180873</v>
      </c>
      <c r="V2092" s="92">
        <v>-1.9749721763027875E-2</v>
      </c>
      <c r="W2092" s="92">
        <v>1.6333320871511882E-2</v>
      </c>
      <c r="X2092" s="92">
        <v>-3.4052272986743071E-2</v>
      </c>
      <c r="Y2092" s="92">
        <v>-2.2409100445303903E-4</v>
      </c>
      <c r="Z2092" s="92">
        <v>9.8557299590941084E-5</v>
      </c>
      <c r="AA2092" s="92">
        <v>8.3622832799218008E-5</v>
      </c>
      <c r="AB2092" s="92">
        <v>2.3595216468715581E-4</v>
      </c>
      <c r="AC2092" s="119">
        <v>2.8640318209552418E-2</v>
      </c>
      <c r="AD2092" s="119">
        <v>0.85661289857764089</v>
      </c>
      <c r="AE2092" s="120">
        <v>1.2181650895310255E-2</v>
      </c>
      <c r="AF2092" s="119">
        <v>6.4143725750847633E-2</v>
      </c>
      <c r="AG2092" s="119">
        <v>1.7987373133359228</v>
      </c>
      <c r="AH2092" s="120">
        <v>2.0281830356500757E-2</v>
      </c>
      <c r="AI2092" s="121">
        <v>-35</v>
      </c>
      <c r="AJ2092" s="121">
        <v>-5</v>
      </c>
      <c r="AK2092" s="121">
        <v>35</v>
      </c>
      <c r="AL2092" s="121">
        <v>55</v>
      </c>
      <c r="AM2092" s="122">
        <v>43293</v>
      </c>
      <c r="AN2092" s="121" t="s">
        <v>690</v>
      </c>
      <c r="AP2092" s="87"/>
    </row>
    <row r="2093" spans="1:42">
      <c r="A2093" s="71"/>
      <c r="B2093" s="72"/>
      <c r="C2093" s="71"/>
      <c r="D2093" s="72"/>
      <c r="E2093" s="71"/>
      <c r="F2093" s="72"/>
      <c r="G2093" s="77">
        <v>2000</v>
      </c>
      <c r="H2093" s="3"/>
      <c r="I2093" s="91">
        <v>6.6423915700273373</v>
      </c>
      <c r="J2093" s="92">
        <v>16.895559816279878</v>
      </c>
      <c r="K2093" s="92">
        <v>24.02931903503988</v>
      </c>
      <c r="L2093" s="92">
        <v>0.20171990814543567</v>
      </c>
      <c r="M2093" s="92">
        <v>-0.21260487098241282</v>
      </c>
      <c r="N2093" s="92">
        <v>-0.64814996527984547</v>
      </c>
      <c r="O2093" s="92">
        <v>6.0329288505943097E-4</v>
      </c>
      <c r="P2093" s="92">
        <v>-1.6827286595434046E-3</v>
      </c>
      <c r="Q2093" s="92">
        <v>9.5307362303090695E-4</v>
      </c>
      <c r="R2093" s="92">
        <v>5.0183170770706992E-3</v>
      </c>
      <c r="S2093" s="92">
        <v>0.16817810651169315</v>
      </c>
      <c r="T2093" s="92">
        <v>0.11840964604585223</v>
      </c>
      <c r="U2093" s="92">
        <v>2.9340767332688582</v>
      </c>
      <c r="V2093" s="92">
        <v>-2.0019006352579579E-2</v>
      </c>
      <c r="W2093" s="92">
        <v>5.3219265289095622E-3</v>
      </c>
      <c r="X2093" s="92">
        <v>-5.1818022041588821E-2</v>
      </c>
      <c r="Y2093" s="92">
        <v>-2.29806784552943E-4</v>
      </c>
      <c r="Z2093" s="92">
        <v>1.2771789568534315E-4</v>
      </c>
      <c r="AA2093" s="92">
        <v>2.4595228796495268E-4</v>
      </c>
      <c r="AB2093" s="92">
        <v>4.0261967517603086E-4</v>
      </c>
      <c r="AC2093" s="119">
        <v>2.110154179481075E-2</v>
      </c>
      <c r="AD2093" s="119">
        <v>0.82713539996292884</v>
      </c>
      <c r="AE2093" s="120">
        <v>6.9586764753436052E-3</v>
      </c>
      <c r="AF2093" s="119">
        <v>4.2927007424885803E-2</v>
      </c>
      <c r="AG2093" s="119">
        <v>1.7213111401323116</v>
      </c>
      <c r="AH2093" s="120">
        <v>1.4259468119512201E-2</v>
      </c>
      <c r="AI2093" s="121">
        <v>-35</v>
      </c>
      <c r="AJ2093" s="121">
        <v>-5</v>
      </c>
      <c r="AK2093" s="121">
        <v>35</v>
      </c>
      <c r="AL2093" s="121">
        <v>55</v>
      </c>
      <c r="AM2093" s="122">
        <v>43293</v>
      </c>
      <c r="AN2093" s="121" t="s">
        <v>690</v>
      </c>
      <c r="AP2093" s="87"/>
    </row>
    <row r="2094" spans="1:42">
      <c r="A2094" s="71"/>
      <c r="B2094" s="72"/>
      <c r="C2094" s="71"/>
      <c r="D2094" s="72"/>
      <c r="E2094" s="71"/>
      <c r="F2094" s="72"/>
      <c r="G2094" s="77">
        <v>3000</v>
      </c>
      <c r="H2094" s="3"/>
      <c r="I2094" s="91">
        <v>-2.4160646867229758</v>
      </c>
      <c r="J2094" s="92">
        <v>17.6832840885553</v>
      </c>
      <c r="K2094" s="92">
        <v>33.416609593660077</v>
      </c>
      <c r="L2094" s="92">
        <v>0.14492142566835708</v>
      </c>
      <c r="M2094" s="92">
        <v>-0.11092958585287278</v>
      </c>
      <c r="N2094" s="92">
        <v>-0.86272794814614961</v>
      </c>
      <c r="O2094" s="92">
        <v>-3.5962625208274616E-5</v>
      </c>
      <c r="P2094" s="92">
        <v>-2.3584336634850883E-4</v>
      </c>
      <c r="Q2094" s="92">
        <v>2.3825050149209245E-4</v>
      </c>
      <c r="R2094" s="92">
        <v>6.5352014374143556E-3</v>
      </c>
      <c r="S2094" s="92">
        <v>0.29320323287670397</v>
      </c>
      <c r="T2094" s="92">
        <v>-1.6010033383714741</v>
      </c>
      <c r="U2094" s="92">
        <v>4.3313902594153371</v>
      </c>
      <c r="V2094" s="92">
        <v>-6.4362261308794522E-2</v>
      </c>
      <c r="W2094" s="92">
        <v>7.4399598590770111E-2</v>
      </c>
      <c r="X2094" s="92">
        <v>-6.4899293432440303E-2</v>
      </c>
      <c r="Y2094" s="92">
        <v>-3.7283934627395875E-4</v>
      </c>
      <c r="Z2094" s="92">
        <v>9.8340043682276193E-4</v>
      </c>
      <c r="AA2094" s="92">
        <v>-7.2409897618464465E-5</v>
      </c>
      <c r="AB2094" s="92">
        <v>4.4557604698992892E-4</v>
      </c>
      <c r="AC2094" s="119">
        <v>3.3637742875700385E-2</v>
      </c>
      <c r="AD2094" s="119">
        <v>1.3802427641962203</v>
      </c>
      <c r="AE2094" s="120">
        <v>5.7910716775324235E-3</v>
      </c>
      <c r="AF2094" s="119">
        <v>3.7548336658012778E-2</v>
      </c>
      <c r="AG2094" s="119">
        <v>1.1088249380138171</v>
      </c>
      <c r="AH2094" s="120">
        <v>7.2021080117187592E-3</v>
      </c>
      <c r="AI2094" s="121">
        <v>-35</v>
      </c>
      <c r="AJ2094" s="121">
        <v>-5</v>
      </c>
      <c r="AK2094" s="121">
        <v>35</v>
      </c>
      <c r="AL2094" s="121">
        <v>55</v>
      </c>
      <c r="AM2094" s="122">
        <v>43293</v>
      </c>
      <c r="AN2094" s="121" t="s">
        <v>690</v>
      </c>
      <c r="AP2094" s="87"/>
    </row>
    <row r="2095" spans="1:42">
      <c r="A2095" s="71"/>
      <c r="B2095" s="72"/>
      <c r="C2095" s="71"/>
      <c r="D2095" s="72"/>
      <c r="E2095" s="71"/>
      <c r="F2095" s="72"/>
      <c r="G2095" s="77">
        <v>4000</v>
      </c>
      <c r="H2095" s="3"/>
      <c r="I2095" s="91">
        <v>-1.6327133238384905</v>
      </c>
      <c r="J2095" s="92">
        <v>30.346890218121604</v>
      </c>
      <c r="K2095" s="92">
        <v>44.744359158858941</v>
      </c>
      <c r="L2095" s="92">
        <v>0.37140358888923314</v>
      </c>
      <c r="M2095" s="92">
        <v>-0.32353760897342682</v>
      </c>
      <c r="N2095" s="92">
        <v>-1.1712584452881127</v>
      </c>
      <c r="O2095" s="92">
        <v>1.1073056534132522E-3</v>
      </c>
      <c r="P2095" s="92">
        <v>-3.0173087011091445E-3</v>
      </c>
      <c r="Q2095" s="92">
        <v>7.3717516744898064E-4</v>
      </c>
      <c r="R2095" s="92">
        <v>8.7695351742583093E-3</v>
      </c>
      <c r="S2095" s="92">
        <v>1.2814121148819897</v>
      </c>
      <c r="T2095" s="92">
        <v>2.3366728778210955</v>
      </c>
      <c r="U2095" s="92">
        <v>7.885336681678166</v>
      </c>
      <c r="V2095" s="92">
        <v>-9.7756738124073466E-3</v>
      </c>
      <c r="W2095" s="92">
        <v>-2.4891568851310521E-2</v>
      </c>
      <c r="X2095" s="92">
        <v>-0.16655185702222533</v>
      </c>
      <c r="Y2095" s="92">
        <v>-3.3382265397262172E-4</v>
      </c>
      <c r="Z2095" s="92">
        <v>-1.5631826855365153E-4</v>
      </c>
      <c r="AA2095" s="92">
        <v>4.1043470100998817E-4</v>
      </c>
      <c r="AB2095" s="92">
        <v>1.2660784055940253E-3</v>
      </c>
      <c r="AC2095" s="119">
        <v>3.3190188165548362E-2</v>
      </c>
      <c r="AD2095" s="119">
        <v>1.0954699239068255</v>
      </c>
      <c r="AE2095" s="120">
        <v>4.0996956972178464E-3</v>
      </c>
      <c r="AF2095" s="119">
        <v>4.6855473744521522E-2</v>
      </c>
      <c r="AG2095" s="119">
        <v>1.6085049704754952</v>
      </c>
      <c r="AH2095" s="120">
        <v>5.0500842202205421E-3</v>
      </c>
      <c r="AI2095" s="121">
        <v>-35</v>
      </c>
      <c r="AJ2095" s="121">
        <v>-5</v>
      </c>
      <c r="AK2095" s="121">
        <v>35</v>
      </c>
      <c r="AL2095" s="121">
        <v>55</v>
      </c>
      <c r="AM2095" s="122">
        <v>43293</v>
      </c>
      <c r="AN2095" s="121" t="s">
        <v>690</v>
      </c>
      <c r="AP2095" s="87"/>
    </row>
    <row r="2096" spans="1:42">
      <c r="A2096" s="71" t="s">
        <v>43</v>
      </c>
      <c r="B2096" s="72" t="s">
        <v>44</v>
      </c>
      <c r="C2096" s="71" t="s">
        <v>45</v>
      </c>
      <c r="D2096" s="72" t="s">
        <v>109</v>
      </c>
      <c r="E2096" s="71" t="s">
        <v>47</v>
      </c>
      <c r="F2096" s="72" t="s">
        <v>149</v>
      </c>
      <c r="G2096" s="77"/>
      <c r="H2096" s="72" t="str">
        <f>CONCATENATE(A2096," ",B2096," ",C2096," ",D2096," ",E2096," ",F2096)</f>
        <v>Embraco Isobutane 50 Hz 220V VSD VESF9C</v>
      </c>
      <c r="I2096" s="91"/>
      <c r="J2096" s="92"/>
      <c r="K2096" s="92"/>
      <c r="L2096" s="92"/>
      <c r="M2096" s="92"/>
      <c r="N2096" s="92"/>
      <c r="O2096" s="92"/>
      <c r="P2096" s="92"/>
      <c r="Q2096" s="92"/>
      <c r="R2096" s="92"/>
      <c r="S2096" s="92"/>
      <c r="T2096" s="92"/>
      <c r="U2096" s="92"/>
      <c r="V2096" s="92"/>
      <c r="W2096" s="92"/>
      <c r="X2096" s="92"/>
      <c r="Y2096" s="92"/>
      <c r="Z2096" s="92"/>
      <c r="AA2096" s="92"/>
      <c r="AB2096" s="92"/>
      <c r="AC2096" s="119"/>
      <c r="AD2096" s="119"/>
      <c r="AE2096" s="120"/>
      <c r="AF2096" s="119"/>
      <c r="AG2096" s="119"/>
      <c r="AH2096" s="120"/>
      <c r="AI2096" s="121"/>
      <c r="AJ2096" s="121"/>
      <c r="AK2096" s="121"/>
      <c r="AL2096" s="121"/>
      <c r="AM2096" s="122"/>
      <c r="AN2096" s="121"/>
      <c r="AP2096" s="87"/>
    </row>
    <row r="2097" spans="1:42">
      <c r="A2097" s="71"/>
      <c r="B2097" s="72"/>
      <c r="C2097" s="71"/>
      <c r="D2097" s="72"/>
      <c r="E2097" s="71"/>
      <c r="F2097" s="72"/>
      <c r="G2097" s="77">
        <v>950</v>
      </c>
      <c r="H2097" s="3"/>
      <c r="I2097" s="91">
        <v>30.25</v>
      </c>
      <c r="J2097" s="92">
        <v>7.4889999999999999</v>
      </c>
      <c r="K2097" s="92">
        <v>10.74</v>
      </c>
      <c r="L2097" s="92">
        <v>9.6530000000000005E-2</v>
      </c>
      <c r="M2097" s="92">
        <v>-3.848E-2</v>
      </c>
      <c r="N2097" s="92">
        <v>-0.2742</v>
      </c>
      <c r="O2097" s="92">
        <v>5.0109999999999998E-4</v>
      </c>
      <c r="P2097" s="92">
        <v>-2.097E-4</v>
      </c>
      <c r="Q2097" s="92">
        <v>1.7569999999999999E-5</v>
      </c>
      <c r="R2097" s="92">
        <v>2.0040000000000001E-3</v>
      </c>
      <c r="S2097" s="92">
        <v>-0.59279999999999999</v>
      </c>
      <c r="T2097" s="92">
        <v>-0.65269999999999995</v>
      </c>
      <c r="U2097" s="92">
        <v>1.2250000000000001</v>
      </c>
      <c r="V2097" s="92">
        <v>-2.623E-2</v>
      </c>
      <c r="W2097" s="92">
        <v>2.0320000000000001E-2</v>
      </c>
      <c r="X2097" s="92">
        <v>-1.124E-2</v>
      </c>
      <c r="Y2097" s="92">
        <v>-1.4980000000000001E-4</v>
      </c>
      <c r="Z2097" s="92">
        <v>4.0650000000000001E-4</v>
      </c>
      <c r="AA2097" s="92">
        <v>1.5550000000000001E-4</v>
      </c>
      <c r="AB2097" s="92">
        <v>8.7020000000000004E-5</v>
      </c>
      <c r="AC2097" s="119">
        <v>0.03</v>
      </c>
      <c r="AD2097" s="119">
        <v>0.89</v>
      </c>
      <c r="AE2097" s="120">
        <v>1.01E-2</v>
      </c>
      <c r="AF2097" s="119">
        <v>0.03</v>
      </c>
      <c r="AG2097" s="119">
        <v>1.34</v>
      </c>
      <c r="AH2097" s="120">
        <v>1.7299999999999999E-2</v>
      </c>
      <c r="AI2097" s="121">
        <v>-35</v>
      </c>
      <c r="AJ2097" s="121">
        <v>0</v>
      </c>
      <c r="AK2097" s="121">
        <v>35</v>
      </c>
      <c r="AL2097" s="121">
        <v>55</v>
      </c>
      <c r="AM2097" s="122" t="s">
        <v>691</v>
      </c>
      <c r="AN2097" s="121" t="s">
        <v>481</v>
      </c>
      <c r="AP2097" s="87"/>
    </row>
    <row r="2098" spans="1:42">
      <c r="A2098" s="71"/>
      <c r="B2098" s="72"/>
      <c r="C2098" s="71"/>
      <c r="D2098" s="72"/>
      <c r="E2098" s="71"/>
      <c r="F2098" s="72"/>
      <c r="G2098" s="77">
        <v>1300</v>
      </c>
      <c r="H2098" s="3"/>
      <c r="I2098" s="91">
        <v>1.196</v>
      </c>
      <c r="J2098" s="92">
        <v>10.61</v>
      </c>
      <c r="K2098" s="92">
        <v>17.809999999999999</v>
      </c>
      <c r="L2098" s="92">
        <v>0.13969999999999999</v>
      </c>
      <c r="M2098" s="92">
        <v>-5.5629999999999999E-2</v>
      </c>
      <c r="N2098" s="92">
        <v>-0.44690000000000002</v>
      </c>
      <c r="O2098" s="92">
        <v>4.7760000000000001E-4</v>
      </c>
      <c r="P2098" s="92">
        <v>-8.3109999999999998E-4</v>
      </c>
      <c r="Q2098" s="92">
        <v>-2.7310000000000002E-4</v>
      </c>
      <c r="R2098" s="92">
        <v>3.2299999999999998E-3</v>
      </c>
      <c r="S2098" s="92">
        <v>0.1162</v>
      </c>
      <c r="T2098" s="92">
        <v>-0.7712</v>
      </c>
      <c r="U2098" s="92">
        <v>1.6970000000000001</v>
      </c>
      <c r="V2098" s="92">
        <v>-2.0320000000000001E-2</v>
      </c>
      <c r="W2098" s="92">
        <v>3.6760000000000001E-2</v>
      </c>
      <c r="X2098" s="92">
        <v>-1.4500000000000001E-2</v>
      </c>
      <c r="Y2098" s="92">
        <v>-8.2399999999999997E-5</v>
      </c>
      <c r="Z2098" s="92">
        <v>3.5369999999999998E-4</v>
      </c>
      <c r="AA2098" s="92">
        <v>-8.6500000000000002E-6</v>
      </c>
      <c r="AB2098" s="92">
        <v>7.5549999999999993E-5</v>
      </c>
      <c r="AC2098" s="119">
        <v>0.02</v>
      </c>
      <c r="AD2098" s="119">
        <v>1.31</v>
      </c>
      <c r="AE2098" s="120">
        <v>1.0800000000000001E-2</v>
      </c>
      <c r="AF2098" s="119">
        <v>0.05</v>
      </c>
      <c r="AG2098" s="119">
        <v>0.91</v>
      </c>
      <c r="AH2098" s="120">
        <v>1.18E-2</v>
      </c>
      <c r="AI2098" s="121">
        <v>-35</v>
      </c>
      <c r="AJ2098" s="121">
        <v>0</v>
      </c>
      <c r="AK2098" s="121">
        <v>35</v>
      </c>
      <c r="AL2098" s="121">
        <v>55</v>
      </c>
      <c r="AM2098" s="122" t="s">
        <v>691</v>
      </c>
      <c r="AN2098" s="121" t="s">
        <v>481</v>
      </c>
      <c r="AP2098" s="87"/>
    </row>
    <row r="2099" spans="1:42">
      <c r="A2099" s="71"/>
      <c r="B2099" s="72"/>
      <c r="C2099" s="71"/>
      <c r="D2099" s="72"/>
      <c r="E2099" s="71"/>
      <c r="F2099" s="72"/>
      <c r="G2099" s="77">
        <v>1600</v>
      </c>
      <c r="H2099" s="3"/>
      <c r="I2099" s="91">
        <v>1.5740000000000001</v>
      </c>
      <c r="J2099" s="92">
        <v>14.44</v>
      </c>
      <c r="K2099" s="92">
        <v>22.57</v>
      </c>
      <c r="L2099" s="92">
        <v>0.16930000000000001</v>
      </c>
      <c r="M2099" s="92">
        <v>-0.13719999999999999</v>
      </c>
      <c r="N2099" s="92">
        <v>-0.58279999999999998</v>
      </c>
      <c r="O2099" s="92">
        <v>4.7750000000000001E-4</v>
      </c>
      <c r="P2099" s="92">
        <v>-1.1249999999999999E-3</v>
      </c>
      <c r="Q2099" s="92">
        <v>4.0759999999999999E-4</v>
      </c>
      <c r="R2099" s="92">
        <v>4.3610000000000003E-3</v>
      </c>
      <c r="S2099" s="92">
        <v>1.9670000000000001</v>
      </c>
      <c r="T2099" s="92">
        <v>-0.43319999999999997</v>
      </c>
      <c r="U2099" s="92">
        <v>2.3610000000000002</v>
      </c>
      <c r="V2099" s="92">
        <v>-1.966E-2</v>
      </c>
      <c r="W2099" s="92">
        <v>2.8230000000000002E-2</v>
      </c>
      <c r="X2099" s="92">
        <v>-3.0630000000000001E-2</v>
      </c>
      <c r="Y2099" s="92">
        <v>-1.189E-4</v>
      </c>
      <c r="Z2099" s="92">
        <v>2.656E-4</v>
      </c>
      <c r="AA2099" s="92">
        <v>6.8639999999999993E-5</v>
      </c>
      <c r="AB2099" s="92">
        <v>2.1450000000000001E-4</v>
      </c>
      <c r="AC2099" s="119">
        <v>0.04</v>
      </c>
      <c r="AD2099" s="119">
        <v>1.69</v>
      </c>
      <c r="AE2099" s="120">
        <v>0.01</v>
      </c>
      <c r="AF2099" s="119">
        <v>0.04</v>
      </c>
      <c r="AG2099" s="119">
        <v>1.36</v>
      </c>
      <c r="AH2099" s="120">
        <v>1.1299999999999999E-2</v>
      </c>
      <c r="AI2099" s="121">
        <v>-35</v>
      </c>
      <c r="AJ2099" s="121">
        <v>0</v>
      </c>
      <c r="AK2099" s="121">
        <v>35</v>
      </c>
      <c r="AL2099" s="121">
        <v>55</v>
      </c>
      <c r="AM2099" s="122" t="s">
        <v>691</v>
      </c>
      <c r="AN2099" s="121" t="s">
        <v>481</v>
      </c>
      <c r="AP2099" s="87"/>
    </row>
    <row r="2100" spans="1:42">
      <c r="A2100" s="71"/>
      <c r="B2100" s="72"/>
      <c r="C2100" s="71"/>
      <c r="D2100" s="72"/>
      <c r="E2100" s="71"/>
      <c r="F2100" s="72"/>
      <c r="G2100" s="77">
        <v>2000</v>
      </c>
      <c r="H2100" s="3"/>
      <c r="I2100" s="91">
        <v>-3.714</v>
      </c>
      <c r="J2100" s="92">
        <v>16.8</v>
      </c>
      <c r="K2100" s="92">
        <v>26.96</v>
      </c>
      <c r="L2100" s="92">
        <v>0.22670000000000001</v>
      </c>
      <c r="M2100" s="92">
        <v>-0.1225</v>
      </c>
      <c r="N2100" s="92">
        <v>-0.67659999999999998</v>
      </c>
      <c r="O2100" s="92">
        <v>7.9089999999999998E-4</v>
      </c>
      <c r="P2100" s="92">
        <v>-1.6050000000000001E-3</v>
      </c>
      <c r="Q2100" s="92">
        <v>-1.9009999999999999E-5</v>
      </c>
      <c r="R2100" s="92">
        <v>4.947E-3</v>
      </c>
      <c r="S2100" s="92">
        <v>0.27179999999999999</v>
      </c>
      <c r="T2100" s="92">
        <v>1.0629999999999999</v>
      </c>
      <c r="U2100" s="92">
        <v>3.7770000000000001</v>
      </c>
      <c r="V2100" s="92">
        <v>-5.13E-3</v>
      </c>
      <c r="W2100" s="92">
        <v>-1.541E-2</v>
      </c>
      <c r="X2100" s="92">
        <v>-6.472E-2</v>
      </c>
      <c r="Y2100" s="92">
        <v>-6.6019999999999995E-5</v>
      </c>
      <c r="Z2100" s="92">
        <v>1.605E-5</v>
      </c>
      <c r="AA2100" s="92">
        <v>4.7320000000000001E-4</v>
      </c>
      <c r="AB2100" s="92">
        <v>4.8999999999999998E-4</v>
      </c>
      <c r="AC2100" s="119">
        <v>7.0000000000000007E-2</v>
      </c>
      <c r="AD2100" s="119">
        <v>2.19</v>
      </c>
      <c r="AE2100" s="120">
        <v>8.0999999999999996E-3</v>
      </c>
      <c r="AF2100" s="119">
        <v>0.03</v>
      </c>
      <c r="AG2100" s="119">
        <v>0.91</v>
      </c>
      <c r="AH2100" s="120">
        <v>7.7000000000000002E-3</v>
      </c>
      <c r="AI2100" s="121">
        <v>-35</v>
      </c>
      <c r="AJ2100" s="121">
        <v>0</v>
      </c>
      <c r="AK2100" s="121">
        <v>35</v>
      </c>
      <c r="AL2100" s="121">
        <v>55</v>
      </c>
      <c r="AM2100" s="122" t="s">
        <v>691</v>
      </c>
      <c r="AN2100" s="121" t="s">
        <v>481</v>
      </c>
      <c r="AP2100" s="87"/>
    </row>
    <row r="2101" spans="1:42">
      <c r="A2101" s="71"/>
      <c r="B2101" s="72"/>
      <c r="C2101" s="71"/>
      <c r="D2101" s="72"/>
      <c r="E2101" s="71"/>
      <c r="F2101" s="72"/>
      <c r="G2101" s="77">
        <v>3000</v>
      </c>
      <c r="H2101" s="3"/>
      <c r="I2101" s="91">
        <v>2.2440000000000002</v>
      </c>
      <c r="J2101" s="92">
        <v>21.91</v>
      </c>
      <c r="K2101" s="92">
        <v>38.5</v>
      </c>
      <c r="L2101" s="92">
        <v>0.2833</v>
      </c>
      <c r="M2101" s="92">
        <v>-0.108</v>
      </c>
      <c r="N2101" s="92">
        <v>-0.95950000000000002</v>
      </c>
      <c r="O2101" s="92">
        <v>1.4319999999999999E-3</v>
      </c>
      <c r="P2101" s="92">
        <v>-1.044E-3</v>
      </c>
      <c r="Q2101" s="92">
        <v>-1.3430000000000001E-4</v>
      </c>
      <c r="R2101" s="92">
        <v>7.045E-3</v>
      </c>
      <c r="S2101" s="92">
        <v>0.50739999999999996</v>
      </c>
      <c r="T2101" s="92">
        <v>0.43880000000000002</v>
      </c>
      <c r="U2101" s="92">
        <v>6.0819999999999999</v>
      </c>
      <c r="V2101" s="92">
        <v>-2.3939999999999999E-2</v>
      </c>
      <c r="W2101" s="92">
        <v>3.1060000000000001E-2</v>
      </c>
      <c r="X2101" s="92">
        <v>-0.1019</v>
      </c>
      <c r="Y2101" s="92">
        <v>-3.4670000000000002E-4</v>
      </c>
      <c r="Z2101" s="92">
        <v>1.973E-4</v>
      </c>
      <c r="AA2101" s="92">
        <v>2.0010000000000001E-4</v>
      </c>
      <c r="AB2101" s="92">
        <v>7.3870000000000001E-4</v>
      </c>
      <c r="AC2101" s="119">
        <v>0.06</v>
      </c>
      <c r="AD2101" s="119">
        <v>2.39</v>
      </c>
      <c r="AE2101" s="120">
        <v>6.3E-3</v>
      </c>
      <c r="AF2101" s="119">
        <v>0.03</v>
      </c>
      <c r="AG2101" s="119">
        <v>1.21</v>
      </c>
      <c r="AH2101" s="120">
        <v>5.1999999999999998E-3</v>
      </c>
      <c r="AI2101" s="121">
        <v>-35</v>
      </c>
      <c r="AJ2101" s="121">
        <v>0</v>
      </c>
      <c r="AK2101" s="121">
        <v>35</v>
      </c>
      <c r="AL2101" s="121">
        <v>55</v>
      </c>
      <c r="AM2101" s="122" t="s">
        <v>691</v>
      </c>
      <c r="AN2101" s="121" t="s">
        <v>481</v>
      </c>
      <c r="AP2101" s="87"/>
    </row>
    <row r="2102" spans="1:42">
      <c r="A2102" s="71"/>
      <c r="B2102" s="72"/>
      <c r="C2102" s="71"/>
      <c r="D2102" s="72"/>
      <c r="E2102" s="71"/>
      <c r="F2102" s="72"/>
      <c r="G2102" s="77">
        <v>4000</v>
      </c>
      <c r="H2102" s="3"/>
      <c r="I2102" s="91">
        <v>5.8360000000000003</v>
      </c>
      <c r="J2102" s="92">
        <v>36.479999999999997</v>
      </c>
      <c r="K2102" s="92">
        <v>54.21</v>
      </c>
      <c r="L2102" s="92">
        <v>0.33800000000000002</v>
      </c>
      <c r="M2102" s="92">
        <v>-0.47020000000000001</v>
      </c>
      <c r="N2102" s="92">
        <v>-1.446</v>
      </c>
      <c r="O2102" s="92">
        <v>-4.1970000000000001E-4</v>
      </c>
      <c r="P2102" s="92">
        <v>-3.5100000000000001E-3</v>
      </c>
      <c r="Q2102" s="92">
        <v>1.7830000000000001E-3</v>
      </c>
      <c r="R2102" s="92">
        <v>1.103E-2</v>
      </c>
      <c r="S2102" s="92">
        <v>0.56140000000000001</v>
      </c>
      <c r="T2102" s="92">
        <v>2.62</v>
      </c>
      <c r="U2102" s="92">
        <v>10.3</v>
      </c>
      <c r="V2102" s="92">
        <v>-1.958E-2</v>
      </c>
      <c r="W2102" s="92">
        <v>-2.1780000000000001E-2</v>
      </c>
      <c r="X2102" s="92">
        <v>-0.22320000000000001</v>
      </c>
      <c r="Y2102" s="92">
        <v>-2.6229999999999998E-4</v>
      </c>
      <c r="Z2102" s="92">
        <v>2.4439999999999998E-4</v>
      </c>
      <c r="AA2102" s="92">
        <v>5.8980000000000002E-4</v>
      </c>
      <c r="AB2102" s="92">
        <v>1.743E-3</v>
      </c>
      <c r="AC2102" s="119">
        <v>0.03</v>
      </c>
      <c r="AD2102" s="119">
        <v>1.1000000000000001</v>
      </c>
      <c r="AE2102" s="120">
        <v>2.5000000000000001E-3</v>
      </c>
      <c r="AF2102" s="119">
        <v>0.04</v>
      </c>
      <c r="AG2102" s="119">
        <v>1.1599999999999999</v>
      </c>
      <c r="AH2102" s="120">
        <v>4.4999999999999997E-3</v>
      </c>
      <c r="AI2102" s="121">
        <v>-35</v>
      </c>
      <c r="AJ2102" s="121">
        <v>0</v>
      </c>
      <c r="AK2102" s="121">
        <v>35</v>
      </c>
      <c r="AL2102" s="121">
        <v>55</v>
      </c>
      <c r="AM2102" s="122" t="s">
        <v>691</v>
      </c>
      <c r="AN2102" s="121" t="s">
        <v>481</v>
      </c>
      <c r="AP2102" s="87"/>
    </row>
    <row r="2103" spans="1:42">
      <c r="A2103" s="93" t="s">
        <v>43</v>
      </c>
      <c r="B2103" s="94" t="s">
        <v>44</v>
      </c>
      <c r="C2103" s="93" t="s">
        <v>105</v>
      </c>
      <c r="D2103" s="94" t="s">
        <v>101</v>
      </c>
      <c r="E2103" s="93" t="s">
        <v>47</v>
      </c>
      <c r="F2103" s="94" t="s">
        <v>151</v>
      </c>
      <c r="G2103" s="95"/>
      <c r="H2103" s="94" t="str">
        <f>CONCATENATE(A2103," ",B2103," ",C2103," ",D2103," ",E2103," ",F2103)</f>
        <v>Embraco Isobutane 60 Hz 115V VSD VESF11C</v>
      </c>
      <c r="I2103" s="96"/>
      <c r="J2103" s="96"/>
      <c r="K2103" s="96"/>
      <c r="L2103" s="96"/>
      <c r="M2103" s="96"/>
      <c r="N2103" s="96"/>
      <c r="O2103" s="96"/>
      <c r="P2103" s="96"/>
      <c r="Q2103" s="96"/>
      <c r="R2103" s="96"/>
      <c r="S2103" s="96"/>
      <c r="T2103" s="96"/>
      <c r="U2103" s="96"/>
      <c r="V2103" s="96"/>
      <c r="W2103" s="96"/>
      <c r="X2103" s="96"/>
      <c r="Y2103" s="96"/>
      <c r="Z2103" s="96"/>
      <c r="AA2103" s="96"/>
      <c r="AB2103" s="96"/>
      <c r="AC2103" s="119"/>
      <c r="AD2103" s="119"/>
      <c r="AE2103" s="120"/>
      <c r="AF2103" s="119"/>
      <c r="AG2103" s="119"/>
      <c r="AH2103" s="120"/>
      <c r="AI2103" s="121"/>
      <c r="AJ2103" s="121"/>
      <c r="AK2103" s="121"/>
      <c r="AL2103" s="121"/>
      <c r="AM2103" s="122"/>
      <c r="AN2103" s="121"/>
      <c r="AP2103" s="87"/>
    </row>
    <row r="2104" spans="1:42">
      <c r="A2104" s="93"/>
      <c r="B2104" s="94"/>
      <c r="C2104" s="93"/>
      <c r="D2104" s="94"/>
      <c r="E2104" s="93"/>
      <c r="F2104" s="94"/>
      <c r="G2104" s="95">
        <v>950</v>
      </c>
      <c r="H2104" s="94"/>
      <c r="I2104" s="96">
        <v>-18.670669897829153</v>
      </c>
      <c r="J2104" s="96">
        <v>9.7052829223849137</v>
      </c>
      <c r="K2104" s="96">
        <v>17.535923548899877</v>
      </c>
      <c r="L2104" s="96">
        <v>0.14206074995046614</v>
      </c>
      <c r="M2104" s="96">
        <v>-4.2230865599131889E-2</v>
      </c>
      <c r="N2104" s="96">
        <v>-0.43414767708050667</v>
      </c>
      <c r="O2104" s="96">
        <v>7.9090015955915699E-4</v>
      </c>
      <c r="P2104" s="96">
        <v>-3.9897469045136976E-4</v>
      </c>
      <c r="Q2104" s="96">
        <v>-4.6126182621705944E-5</v>
      </c>
      <c r="R2104" s="96">
        <v>3.1987145009910881E-3</v>
      </c>
      <c r="S2104" s="96">
        <v>0.10500786873195399</v>
      </c>
      <c r="T2104" s="96">
        <v>-0.54075401434566084</v>
      </c>
      <c r="U2104" s="96">
        <v>1.7602782408055206</v>
      </c>
      <c r="V2104" s="96">
        <v>-2.3190179837021669E-2</v>
      </c>
      <c r="W2104" s="96">
        <v>2.0989661393005038E-2</v>
      </c>
      <c r="X2104" s="96">
        <v>-2.2278805668702162E-2</v>
      </c>
      <c r="Y2104" s="96">
        <v>-7.0210675760450127E-5</v>
      </c>
      <c r="Z2104" s="96">
        <v>4.5216518595180504E-4</v>
      </c>
      <c r="AA2104" s="96">
        <v>2.4406069860921558E-4</v>
      </c>
      <c r="AB2104" s="96">
        <v>1.9799436790225849E-4</v>
      </c>
      <c r="AC2104" s="119">
        <v>3.1825033716348067E-2</v>
      </c>
      <c r="AD2104" s="119">
        <v>1.6600407489734716</v>
      </c>
      <c r="AE2104" s="120">
        <v>1.2896113993027716E-2</v>
      </c>
      <c r="AF2104" s="119">
        <v>4.7581735769368749E-2</v>
      </c>
      <c r="AG2104" s="119">
        <v>1.5827605940126397</v>
      </c>
      <c r="AH2104" s="120">
        <v>1.7446725503369721E-2</v>
      </c>
      <c r="AI2104" s="121">
        <v>-35</v>
      </c>
      <c r="AJ2104" s="121">
        <v>-5</v>
      </c>
      <c r="AK2104" s="121">
        <v>35</v>
      </c>
      <c r="AL2104" s="121">
        <v>55</v>
      </c>
      <c r="AM2104" s="122">
        <v>43318</v>
      </c>
      <c r="AN2104" s="121" t="s">
        <v>692</v>
      </c>
      <c r="AP2104" s="87"/>
    </row>
    <row r="2105" spans="1:42">
      <c r="A2105" s="93"/>
      <c r="B2105" s="94"/>
      <c r="C2105" s="93"/>
      <c r="D2105" s="94"/>
      <c r="E2105" s="93"/>
      <c r="F2105" s="94"/>
      <c r="G2105" s="95">
        <v>1300</v>
      </c>
      <c r="H2105" s="94"/>
      <c r="I2105" s="96">
        <v>1.492461712066566</v>
      </c>
      <c r="J2105" s="96">
        <v>13.361295789394445</v>
      </c>
      <c r="K2105" s="96">
        <v>22.157701783726836</v>
      </c>
      <c r="L2105" s="96">
        <v>0.19115829302860923</v>
      </c>
      <c r="M2105" s="96">
        <v>-6.9837769825887935E-2</v>
      </c>
      <c r="N2105" s="96">
        <v>-0.55734773142780336</v>
      </c>
      <c r="O2105" s="96">
        <v>9.1810517084142467E-4</v>
      </c>
      <c r="P2105" s="96">
        <v>-9.6589216644382106E-4</v>
      </c>
      <c r="Q2105" s="96">
        <v>-2.6746716252946441E-4</v>
      </c>
      <c r="R2105" s="96">
        <v>4.0622157271825747E-3</v>
      </c>
      <c r="S2105" s="96">
        <v>1.9145609254115101</v>
      </c>
      <c r="T2105" s="96">
        <v>-9.3395924608236411E-2</v>
      </c>
      <c r="U2105" s="96">
        <v>2.8036138690877883</v>
      </c>
      <c r="V2105" s="96">
        <v>-7.7526356387732824E-3</v>
      </c>
      <c r="W2105" s="96">
        <v>2.4687353305502951E-2</v>
      </c>
      <c r="X2105" s="96">
        <v>-4.5587203182559516E-2</v>
      </c>
      <c r="Y2105" s="96">
        <v>7.3270709386296756E-5</v>
      </c>
      <c r="Z2105" s="96">
        <v>2.8749572567876022E-4</v>
      </c>
      <c r="AA2105" s="96">
        <v>1.2318198747424152E-4</v>
      </c>
      <c r="AB2105" s="96">
        <v>3.642386176202585E-4</v>
      </c>
      <c r="AC2105" s="119">
        <v>4.5033819081220977E-2</v>
      </c>
      <c r="AD2105" s="119">
        <v>1.4739039026939502</v>
      </c>
      <c r="AE2105" s="120">
        <v>7.5718312325233489E-3</v>
      </c>
      <c r="AF2105" s="119">
        <v>3.6968542683424865E-2</v>
      </c>
      <c r="AG2105" s="119">
        <v>1.175655900012845</v>
      </c>
      <c r="AH2105" s="120">
        <v>1.0797549448624178E-2</v>
      </c>
      <c r="AI2105" s="121">
        <v>-35</v>
      </c>
      <c r="AJ2105" s="121">
        <v>-5</v>
      </c>
      <c r="AK2105" s="121">
        <v>35</v>
      </c>
      <c r="AL2105" s="121">
        <v>55</v>
      </c>
      <c r="AM2105" s="122">
        <v>43318</v>
      </c>
      <c r="AN2105" s="121" t="s">
        <v>692</v>
      </c>
      <c r="AP2105" s="87"/>
    </row>
    <row r="2106" spans="1:42">
      <c r="A2106" s="93"/>
      <c r="B2106" s="94"/>
      <c r="C2106" s="93"/>
      <c r="D2106" s="94"/>
      <c r="E2106" s="93"/>
      <c r="F2106" s="94"/>
      <c r="G2106" s="95">
        <v>1600</v>
      </c>
      <c r="H2106" s="94"/>
      <c r="I2106" s="96">
        <v>1.2576818039677991</v>
      </c>
      <c r="J2106" s="96">
        <v>17.007439804967373</v>
      </c>
      <c r="K2106" s="96">
        <v>27.708046368136841</v>
      </c>
      <c r="L2106" s="96">
        <v>0.24161910403053904</v>
      </c>
      <c r="M2106" s="96">
        <v>-0.10585928462089693</v>
      </c>
      <c r="N2106" s="96">
        <v>-0.70414929285693428</v>
      </c>
      <c r="O2106" s="96">
        <v>1.3081274978458892E-3</v>
      </c>
      <c r="P2106" s="96">
        <v>-1.0766071688638214E-3</v>
      </c>
      <c r="Q2106" s="96">
        <v>-8.0147332970334766E-5</v>
      </c>
      <c r="R2106" s="96">
        <v>5.1975247608306097E-3</v>
      </c>
      <c r="S2106" s="96">
        <v>0.38504159532725429</v>
      </c>
      <c r="T2106" s="96">
        <v>-0.1230413195557109</v>
      </c>
      <c r="U2106" s="96">
        <v>3.4493556249179798</v>
      </c>
      <c r="V2106" s="96">
        <v>-2.2389185102346811E-2</v>
      </c>
      <c r="W2106" s="96">
        <v>2.3121410457768381E-2</v>
      </c>
      <c r="X2106" s="96">
        <v>-5.3045511677288264E-2</v>
      </c>
      <c r="Y2106" s="96">
        <v>-7.5593476073721331E-5</v>
      </c>
      <c r="Z2106" s="96">
        <v>4.8148700138729095E-4</v>
      </c>
      <c r="AA2106" s="96">
        <v>2.8412141477960614E-4</v>
      </c>
      <c r="AB2106" s="96">
        <v>4.0634433667804286E-4</v>
      </c>
      <c r="AC2106" s="119">
        <v>3.959901448373173E-2</v>
      </c>
      <c r="AD2106" s="119">
        <v>1.5838266909769367</v>
      </c>
      <c r="AE2106" s="120">
        <v>6.2984799075748981E-3</v>
      </c>
      <c r="AF2106" s="119">
        <v>4.6962001444545917E-2</v>
      </c>
      <c r="AG2106" s="119">
        <v>1.7114209836916061</v>
      </c>
      <c r="AH2106" s="120">
        <v>1.0408887092711972E-2</v>
      </c>
      <c r="AI2106" s="121">
        <v>-35</v>
      </c>
      <c r="AJ2106" s="121">
        <v>-5</v>
      </c>
      <c r="AK2106" s="121">
        <v>35</v>
      </c>
      <c r="AL2106" s="121">
        <v>55</v>
      </c>
      <c r="AM2106" s="122">
        <v>43318</v>
      </c>
      <c r="AN2106" s="121" t="s">
        <v>692</v>
      </c>
      <c r="AP2106" s="87"/>
    </row>
    <row r="2107" spans="1:42">
      <c r="A2107" s="93"/>
      <c r="B2107" s="94"/>
      <c r="C2107" s="93"/>
      <c r="D2107" s="94"/>
      <c r="E2107" s="93"/>
      <c r="F2107" s="94"/>
      <c r="G2107" s="95">
        <v>2000</v>
      </c>
      <c r="H2107" s="94"/>
      <c r="I2107" s="96">
        <v>-1.8027758833486698</v>
      </c>
      <c r="J2107" s="96">
        <v>18.062560099522162</v>
      </c>
      <c r="K2107" s="96">
        <v>33.717045044841122</v>
      </c>
      <c r="L2107" s="96">
        <v>0.15415919064059425</v>
      </c>
      <c r="M2107" s="96">
        <v>-0.10949087150881355</v>
      </c>
      <c r="N2107" s="96">
        <v>-0.85281140046924386</v>
      </c>
      <c r="O2107" s="96">
        <v>-1.4029889393847621E-4</v>
      </c>
      <c r="P2107" s="96">
        <v>-4.8335918650866782E-4</v>
      </c>
      <c r="Q2107" s="96">
        <v>7.9179905901214769E-5</v>
      </c>
      <c r="R2107" s="96">
        <v>6.316544842117044E-3</v>
      </c>
      <c r="S2107" s="96">
        <v>0.29377504485992595</v>
      </c>
      <c r="T2107" s="96">
        <v>-1.4152110212841855</v>
      </c>
      <c r="U2107" s="96">
        <v>4.4165994067338445</v>
      </c>
      <c r="V2107" s="96">
        <v>-6.9498907665843296E-2</v>
      </c>
      <c r="W2107" s="96">
        <v>6.3847942716862879E-2</v>
      </c>
      <c r="X2107" s="96">
        <v>-6.6016379550467547E-2</v>
      </c>
      <c r="Y2107" s="96">
        <v>-6.6641025840277898E-4</v>
      </c>
      <c r="Z2107" s="96">
        <v>7.8095121643751147E-4</v>
      </c>
      <c r="AA2107" s="96">
        <v>8.3446888355200606E-6</v>
      </c>
      <c r="AB2107" s="96">
        <v>4.7715419211666495E-4</v>
      </c>
      <c r="AC2107" s="119">
        <v>1.3968235806764751E-2</v>
      </c>
      <c r="AD2107" s="119">
        <v>0.73244989427588569</v>
      </c>
      <c r="AE2107" s="120">
        <v>3.7156050044258918E-3</v>
      </c>
      <c r="AF2107" s="119">
        <v>4.0921781335296434E-2</v>
      </c>
      <c r="AG2107" s="119">
        <v>1.8627789141530509</v>
      </c>
      <c r="AH2107" s="120">
        <v>8.16700105499381E-3</v>
      </c>
      <c r="AI2107" s="121">
        <v>-35</v>
      </c>
      <c r="AJ2107" s="121">
        <v>-5</v>
      </c>
      <c r="AK2107" s="121">
        <v>35</v>
      </c>
      <c r="AL2107" s="121">
        <v>55</v>
      </c>
      <c r="AM2107" s="122">
        <v>43318</v>
      </c>
      <c r="AN2107" s="121" t="s">
        <v>692</v>
      </c>
      <c r="AP2107" s="87"/>
    </row>
    <row r="2108" spans="1:42">
      <c r="A2108" s="93"/>
      <c r="B2108" s="94"/>
      <c r="C2108" s="93"/>
      <c r="D2108" s="94"/>
      <c r="E2108" s="93"/>
      <c r="F2108" s="94"/>
      <c r="G2108" s="95">
        <v>3000</v>
      </c>
      <c r="H2108" s="94"/>
      <c r="I2108" s="96">
        <v>27.042811602425122</v>
      </c>
      <c r="J2108" s="96">
        <v>29.639935246746521</v>
      </c>
      <c r="K2108" s="96">
        <v>49.144787338113296</v>
      </c>
      <c r="L2108" s="96">
        <v>0.33307931367712268</v>
      </c>
      <c r="M2108" s="96">
        <v>-0.22090175979328758</v>
      </c>
      <c r="N2108" s="96">
        <v>-1.2687372415994504</v>
      </c>
      <c r="O2108" s="96">
        <v>1.3075456107842027E-3</v>
      </c>
      <c r="P2108" s="96">
        <v>-1.4098506160679142E-3</v>
      </c>
      <c r="Q2108" s="96">
        <v>3.310634870478531E-4</v>
      </c>
      <c r="R2108" s="96">
        <v>9.488994407093743E-3</v>
      </c>
      <c r="S2108" s="96">
        <v>0.99220305249215401</v>
      </c>
      <c r="T2108" s="96">
        <v>0.6126498796736759</v>
      </c>
      <c r="U2108" s="96">
        <v>8.8976397542424692</v>
      </c>
      <c r="V2108" s="96">
        <v>-3.4855703509301894E-2</v>
      </c>
      <c r="W2108" s="96">
        <v>6.2854805929328073E-2</v>
      </c>
      <c r="X2108" s="96">
        <v>-0.16408418735904431</v>
      </c>
      <c r="Y2108" s="96">
        <v>-2.8328615802179221E-4</v>
      </c>
      <c r="Z2108" s="96">
        <v>7.3326569294054802E-4</v>
      </c>
      <c r="AA2108" s="96">
        <v>8.5175044530226566E-6</v>
      </c>
      <c r="AB2108" s="96">
        <v>1.194115224817005E-3</v>
      </c>
      <c r="AC2108" s="119">
        <v>2.7172079324175126E-2</v>
      </c>
      <c r="AD2108" s="119">
        <v>1.496811612083117</v>
      </c>
      <c r="AE2108" s="120">
        <v>3.3588412819004431E-3</v>
      </c>
      <c r="AF2108" s="119">
        <v>5.8003934218816555E-2</v>
      </c>
      <c r="AG2108" s="119">
        <v>2.0390421744118625</v>
      </c>
      <c r="AH2108" s="120">
        <v>4.8383391405385856E-3</v>
      </c>
      <c r="AI2108" s="121">
        <v>-35</v>
      </c>
      <c r="AJ2108" s="121">
        <v>-5</v>
      </c>
      <c r="AK2108" s="121">
        <v>35</v>
      </c>
      <c r="AL2108" s="121">
        <v>55</v>
      </c>
      <c r="AM2108" s="122">
        <v>43318</v>
      </c>
      <c r="AN2108" s="121" t="s">
        <v>692</v>
      </c>
      <c r="AP2108" s="87"/>
    </row>
    <row r="2109" spans="1:42">
      <c r="A2109" s="93"/>
      <c r="B2109" s="94"/>
      <c r="C2109" s="93"/>
      <c r="D2109" s="94"/>
      <c r="E2109" s="93"/>
      <c r="F2109" s="94"/>
      <c r="G2109" s="95">
        <v>4000</v>
      </c>
      <c r="H2109" s="94"/>
      <c r="I2109" s="96">
        <v>34.103938239788661</v>
      </c>
      <c r="J2109" s="96">
        <v>57.523694716108814</v>
      </c>
      <c r="K2109" s="96">
        <v>66.05044463405703</v>
      </c>
      <c r="L2109" s="96">
        <v>1.4616715764326733</v>
      </c>
      <c r="M2109" s="96">
        <v>-0.23840418035433972</v>
      </c>
      <c r="N2109" s="96">
        <v>-1.6475638784481221</v>
      </c>
      <c r="O2109" s="96">
        <v>1.4760279381415534E-2</v>
      </c>
      <c r="P2109" s="96">
        <v>-3.8013046336877886E-3</v>
      </c>
      <c r="Q2109" s="96">
        <v>-4.9819822276148996E-4</v>
      </c>
      <c r="R2109" s="96">
        <v>1.2160307649233279E-2</v>
      </c>
      <c r="S2109" s="96">
        <v>3.5606962636217538</v>
      </c>
      <c r="T2109" s="96">
        <v>8.1435730486586202</v>
      </c>
      <c r="U2109" s="96">
        <v>13.805785886098835</v>
      </c>
      <c r="V2109" s="96">
        <v>0.25374363954124984</v>
      </c>
      <c r="W2109" s="96">
        <v>1.5180495515546661E-2</v>
      </c>
      <c r="X2109" s="96">
        <v>-0.27602179091276974</v>
      </c>
      <c r="Y2109" s="96">
        <v>3.8051239154801735E-3</v>
      </c>
      <c r="Z2109" s="96">
        <v>9.2131502360031335E-4</v>
      </c>
      <c r="AA2109" s="96">
        <v>8.1939586384112515E-4</v>
      </c>
      <c r="AB2109" s="96">
        <v>2.1395202236571776E-3</v>
      </c>
      <c r="AC2109" s="119">
        <v>0.3879786154019173</v>
      </c>
      <c r="AD2109" s="119">
        <v>19.850531760119182</v>
      </c>
      <c r="AE2109" s="120">
        <v>1.0317382840866401E-2</v>
      </c>
      <c r="AF2109" s="119">
        <v>4.338074212352578E-2</v>
      </c>
      <c r="AG2109" s="119">
        <v>1.6823861119868866</v>
      </c>
      <c r="AH2109" s="120">
        <v>3.8763191277027586E-3</v>
      </c>
      <c r="AI2109" s="121">
        <v>-35</v>
      </c>
      <c r="AJ2109" s="121">
        <v>-5</v>
      </c>
      <c r="AK2109" s="121">
        <v>35</v>
      </c>
      <c r="AL2109" s="121">
        <v>55</v>
      </c>
      <c r="AM2109" s="122">
        <v>43318</v>
      </c>
      <c r="AN2109" s="121" t="s">
        <v>692</v>
      </c>
      <c r="AP2109" s="87"/>
    </row>
    <row r="2110" spans="1:42">
      <c r="A2110" s="93" t="s">
        <v>43</v>
      </c>
      <c r="B2110" s="94" t="s">
        <v>100</v>
      </c>
      <c r="C2110" s="93" t="s">
        <v>105</v>
      </c>
      <c r="D2110" s="94" t="s">
        <v>101</v>
      </c>
      <c r="E2110" s="93" t="s">
        <v>47</v>
      </c>
      <c r="F2110" s="94" t="s">
        <v>153</v>
      </c>
      <c r="G2110" s="95"/>
      <c r="H2110" s="94" t="str">
        <f>CONCATENATE(A2110," ",B2110," ",C2110," ",D2110," ",E2110," ",F2110)</f>
        <v>Embraco R134a 60 Hz 115V VSD VEMT5H</v>
      </c>
      <c r="I2110" s="96"/>
      <c r="J2110" s="96"/>
      <c r="K2110" s="96"/>
      <c r="L2110" s="96"/>
      <c r="M2110" s="96"/>
      <c r="N2110" s="96"/>
      <c r="O2110" s="96"/>
      <c r="P2110" s="96"/>
      <c r="Q2110" s="96"/>
      <c r="R2110" s="96"/>
      <c r="S2110" s="96"/>
      <c r="T2110" s="96"/>
      <c r="U2110" s="96"/>
      <c r="V2110" s="96"/>
      <c r="W2110" s="96"/>
      <c r="X2110" s="96"/>
      <c r="Y2110" s="96"/>
      <c r="Z2110" s="96"/>
      <c r="AA2110" s="96"/>
      <c r="AB2110" s="96"/>
      <c r="AC2110" s="119"/>
      <c r="AD2110" s="119"/>
      <c r="AE2110" s="120"/>
      <c r="AF2110" s="119"/>
      <c r="AG2110" s="119"/>
      <c r="AH2110" s="120"/>
      <c r="AI2110" s="121"/>
      <c r="AJ2110" s="121"/>
      <c r="AK2110" s="121"/>
      <c r="AL2110" s="121"/>
      <c r="AM2110" s="122"/>
      <c r="AN2110" s="121"/>
      <c r="AP2110" s="87"/>
    </row>
    <row r="2111" spans="1:42">
      <c r="A2111" s="93"/>
      <c r="B2111" s="94"/>
      <c r="C2111" s="93"/>
      <c r="D2111" s="94"/>
      <c r="E2111" s="93"/>
      <c r="F2111" s="94"/>
      <c r="G2111" s="95">
        <v>1600</v>
      </c>
      <c r="H2111" s="94"/>
      <c r="I2111" s="96">
        <v>351.42251744579784</v>
      </c>
      <c r="J2111" s="96">
        <v>13.285733896646432</v>
      </c>
      <c r="K2111" s="96">
        <v>-1.6786513157933503</v>
      </c>
      <c r="L2111" s="96">
        <v>0.19333283600686196</v>
      </c>
      <c r="M2111" s="96">
        <v>-4.6649278213288625E-2</v>
      </c>
      <c r="N2111" s="96">
        <v>-1.3844185612269272E-2</v>
      </c>
      <c r="O2111" s="96">
        <v>9.9299118779896424E-4</v>
      </c>
      <c r="P2111" s="96">
        <v>-7.7596108954185769E-4</v>
      </c>
      <c r="Q2111" s="96">
        <v>-4.0084720465483818E-4</v>
      </c>
      <c r="R2111" s="96">
        <v>3.6353570645728387E-6</v>
      </c>
      <c r="S2111" s="96">
        <v>-9.1573718172222645</v>
      </c>
      <c r="T2111" s="96">
        <v>-1.0752463002313026</v>
      </c>
      <c r="U2111" s="96">
        <v>3.3287800212572178</v>
      </c>
      <c r="V2111" s="96">
        <v>-1.1899206643390782E-4</v>
      </c>
      <c r="W2111" s="96">
        <v>8.2800226029656282E-2</v>
      </c>
      <c r="X2111" s="96">
        <v>-3.0753573974858301E-2</v>
      </c>
      <c r="Y2111" s="96">
        <v>6.0377935087115421E-4</v>
      </c>
      <c r="Z2111" s="96">
        <v>9.3255823954416835E-4</v>
      </c>
      <c r="AA2111" s="96">
        <v>-8.8804939451166977E-5</v>
      </c>
      <c r="AB2111" s="96">
        <v>1.6502413413890685E-4</v>
      </c>
      <c r="AC2111" s="119">
        <v>3.439942608406122E-2</v>
      </c>
      <c r="AD2111" s="119">
        <v>1.3836832462458153</v>
      </c>
      <c r="AE2111" s="120">
        <v>1.3273751102581636E-2</v>
      </c>
      <c r="AF2111" s="119">
        <v>3.3834027058072633E-2</v>
      </c>
      <c r="AG2111" s="119">
        <v>1.8409649029975739</v>
      </c>
      <c r="AH2111" s="120">
        <v>9.2356280647108747E-3</v>
      </c>
      <c r="AI2111" s="121">
        <v>-35</v>
      </c>
      <c r="AJ2111" s="121">
        <v>-10</v>
      </c>
      <c r="AK2111" s="121">
        <v>35</v>
      </c>
      <c r="AL2111" s="121">
        <v>65</v>
      </c>
      <c r="AM2111" s="122">
        <v>43080</v>
      </c>
      <c r="AN2111" s="121" t="s">
        <v>481</v>
      </c>
      <c r="AP2111" s="87"/>
    </row>
    <row r="2112" spans="1:42">
      <c r="A2112" s="93"/>
      <c r="B2112" s="94"/>
      <c r="C2112" s="93"/>
      <c r="D2112" s="94"/>
      <c r="E2112" s="93"/>
      <c r="F2112" s="94"/>
      <c r="G2112" s="95">
        <v>2000</v>
      </c>
      <c r="H2112" s="94"/>
      <c r="I2112" s="96">
        <v>449.27964619700032</v>
      </c>
      <c r="J2112" s="96">
        <v>17.069801149163816</v>
      </c>
      <c r="K2112" s="96">
        <v>-3.3718514144978546</v>
      </c>
      <c r="L2112" s="96">
        <v>0.2313699789791662</v>
      </c>
      <c r="M2112" s="96">
        <v>-0.11830657630921046</v>
      </c>
      <c r="N2112" s="96">
        <v>-7.7342933995694337E-3</v>
      </c>
      <c r="O2112" s="96">
        <v>1.0139326363597851E-3</v>
      </c>
      <c r="P2112" s="96">
        <v>-1.301323416833159E-3</v>
      </c>
      <c r="Q2112" s="96">
        <v>-4.1638569529006472E-5</v>
      </c>
      <c r="R2112" s="96">
        <v>3.9221969431695614E-5</v>
      </c>
      <c r="S2112" s="96">
        <v>24.66963643434104</v>
      </c>
      <c r="T2112" s="96">
        <v>-2.1130266710478036</v>
      </c>
      <c r="U2112" s="96">
        <v>1.6583197645092982</v>
      </c>
      <c r="V2112" s="96">
        <v>-5.7198253664551058E-2</v>
      </c>
      <c r="W2112" s="96">
        <v>9.647931379696105E-2</v>
      </c>
      <c r="X2112" s="96">
        <v>4.8715394252040953E-3</v>
      </c>
      <c r="Y2112" s="96">
        <v>-3.5763870134118617E-5</v>
      </c>
      <c r="Z2112" s="96">
        <v>1.4185117443150689E-3</v>
      </c>
      <c r="AA2112" s="96">
        <v>-9.8320637568080857E-5</v>
      </c>
      <c r="AB2112" s="96">
        <v>-7.5821436268913497E-5</v>
      </c>
      <c r="AC2112" s="119">
        <v>3.1336623128006835E-2</v>
      </c>
      <c r="AD2112" s="119">
        <v>1.1774224984845207</v>
      </c>
      <c r="AE2112" s="120">
        <v>7.1658534079357562E-3</v>
      </c>
      <c r="AF2112" s="119">
        <v>5.1176076884118869E-2</v>
      </c>
      <c r="AG2112" s="119">
        <v>2.0408376480308728</v>
      </c>
      <c r="AH2112" s="120">
        <v>7.9974326428152893E-3</v>
      </c>
      <c r="AI2112" s="121">
        <v>-35</v>
      </c>
      <c r="AJ2112" s="121">
        <v>-10</v>
      </c>
      <c r="AK2112" s="121">
        <v>35</v>
      </c>
      <c r="AL2112" s="121">
        <v>65</v>
      </c>
      <c r="AM2112" s="122">
        <v>43080</v>
      </c>
      <c r="AN2112" s="121" t="s">
        <v>481</v>
      </c>
      <c r="AP2112" s="87"/>
    </row>
    <row r="2113" spans="1:42">
      <c r="A2113" s="93"/>
      <c r="B2113" s="94"/>
      <c r="C2113" s="93"/>
      <c r="D2113" s="94"/>
      <c r="E2113" s="93"/>
      <c r="F2113" s="94"/>
      <c r="G2113" s="95">
        <v>3000</v>
      </c>
      <c r="H2113" s="94"/>
      <c r="I2113" s="96">
        <v>667.85808772549558</v>
      </c>
      <c r="J2113" s="96">
        <v>27.686197756341709</v>
      </c>
      <c r="K2113" s="96">
        <v>-4.0984801220040286</v>
      </c>
      <c r="L2113" s="96">
        <v>0.39881965000114128</v>
      </c>
      <c r="M2113" s="96">
        <v>-0.22537219152717933</v>
      </c>
      <c r="N2113" s="96">
        <v>-3.5963306141095039E-2</v>
      </c>
      <c r="O2113" s="96">
        <v>2.1412919965702634E-3</v>
      </c>
      <c r="P2113" s="96">
        <v>-2.2529258476065473E-3</v>
      </c>
      <c r="Q2113" s="96">
        <v>3.0462248398142682E-4</v>
      </c>
      <c r="R2113" s="96">
        <v>2.4933673357710034E-4</v>
      </c>
      <c r="S2113" s="96">
        <v>36.608196569074316</v>
      </c>
      <c r="T2113" s="96">
        <v>-1.571363061587288</v>
      </c>
      <c r="U2113" s="96">
        <v>3.4827350533829939</v>
      </c>
      <c r="V2113" s="96">
        <v>-4.7450771507570322E-2</v>
      </c>
      <c r="W2113" s="96">
        <v>0.11540279543961367</v>
      </c>
      <c r="X2113" s="96">
        <v>-1.8554357320865991E-2</v>
      </c>
      <c r="Y2113" s="96">
        <v>-2.7074124959167093E-5</v>
      </c>
      <c r="Z2113" s="96">
        <v>1.2808961389670279E-3</v>
      </c>
      <c r="AA2113" s="96">
        <v>-2.4415465957821454E-4</v>
      </c>
      <c r="AB2113" s="96">
        <v>1.9925735540897266E-5</v>
      </c>
      <c r="AC2113" s="119">
        <v>2.3598572245697093E-2</v>
      </c>
      <c r="AD2113" s="119">
        <v>0.88823181842600141</v>
      </c>
      <c r="AE2113" s="120">
        <v>5.5300389719450576E-3</v>
      </c>
      <c r="AF2113" s="119">
        <v>5.6538815445869105E-2</v>
      </c>
      <c r="AG2113" s="119">
        <v>1.9930394294373401</v>
      </c>
      <c r="AH2113" s="120">
        <v>6.0003770005157735E-3</v>
      </c>
      <c r="AI2113" s="121">
        <v>-35</v>
      </c>
      <c r="AJ2113" s="121">
        <v>-10</v>
      </c>
      <c r="AK2113" s="121">
        <v>35</v>
      </c>
      <c r="AL2113" s="121">
        <v>65</v>
      </c>
      <c r="AM2113" s="122">
        <v>43080</v>
      </c>
      <c r="AN2113" s="121" t="s">
        <v>481</v>
      </c>
      <c r="AP2113" s="87"/>
    </row>
    <row r="2114" spans="1:42">
      <c r="A2114" s="93"/>
      <c r="B2114" s="93"/>
      <c r="C2114" s="93"/>
      <c r="D2114" s="93"/>
      <c r="E2114" s="93"/>
      <c r="F2114" s="93"/>
      <c r="G2114" s="95">
        <v>4000</v>
      </c>
      <c r="H2114" s="93"/>
      <c r="I2114" s="103">
        <v>857.35668061873093</v>
      </c>
      <c r="J2114" s="103">
        <v>33.354441294016176</v>
      </c>
      <c r="K2114" s="103">
        <v>-5.4876739980649774</v>
      </c>
      <c r="L2114" s="103">
        <v>0.51113371400206686</v>
      </c>
      <c r="M2114" s="103">
        <v>-0.18949530533423786</v>
      </c>
      <c r="N2114" s="103">
        <v>-2.1752449188322968E-2</v>
      </c>
      <c r="O2114" s="103">
        <v>3.5415418533613599E-3</v>
      </c>
      <c r="P2114" s="103">
        <v>-1.6722399682620184E-3</v>
      </c>
      <c r="Q2114" s="103">
        <v>-3.3645439939067767E-6</v>
      </c>
      <c r="R2114" s="103">
        <v>8.5422976188288878E-5</v>
      </c>
      <c r="S2114" s="103">
        <v>120.38449395687755</v>
      </c>
      <c r="T2114" s="103">
        <v>-1.343407180810684</v>
      </c>
      <c r="U2114" s="103">
        <v>2.2427172076928987</v>
      </c>
      <c r="V2114" s="103">
        <v>-0.10876252391311586</v>
      </c>
      <c r="W2114" s="103">
        <v>0.1371787800505791</v>
      </c>
      <c r="X2114" s="103">
        <v>3.5179417780792461E-3</v>
      </c>
      <c r="Y2114" s="103">
        <v>-5.3815135872053348E-4</v>
      </c>
      <c r="Z2114" s="103">
        <v>2.6140165763898359E-3</v>
      </c>
      <c r="AA2114" s="103">
        <v>5.3086062962337E-6</v>
      </c>
      <c r="AB2114" s="103">
        <v>-7.2513374031721206E-5</v>
      </c>
      <c r="AC2114" s="119">
        <v>4.2959963910710809E-2</v>
      </c>
      <c r="AD2114" s="119">
        <v>1.8203999925787202</v>
      </c>
      <c r="AE2114" s="120">
        <v>7.3511400698950671E-3</v>
      </c>
      <c r="AF2114" s="119">
        <v>3.2515804517228915E-2</v>
      </c>
      <c r="AG2114" s="119">
        <v>0.9903100759054152</v>
      </c>
      <c r="AH2114" s="120">
        <v>4.0239064832529731E-3</v>
      </c>
      <c r="AI2114" s="121">
        <v>-35</v>
      </c>
      <c r="AJ2114" s="121">
        <v>-10</v>
      </c>
      <c r="AK2114" s="121">
        <v>35</v>
      </c>
      <c r="AL2114" s="121">
        <v>65</v>
      </c>
      <c r="AM2114" s="122">
        <v>43080</v>
      </c>
      <c r="AN2114" s="121" t="s">
        <v>481</v>
      </c>
      <c r="AP2114" s="87"/>
    </row>
    <row r="2115" spans="1:42">
      <c r="A2115" s="71" t="s">
        <v>43</v>
      </c>
      <c r="B2115" s="71" t="s">
        <v>44</v>
      </c>
      <c r="C2115" s="71" t="s">
        <v>45</v>
      </c>
      <c r="D2115" s="71" t="s">
        <v>46</v>
      </c>
      <c r="E2115" s="71" t="s">
        <v>47</v>
      </c>
      <c r="F2115" s="71" t="s">
        <v>155</v>
      </c>
      <c r="G2115" s="95"/>
      <c r="H2115" s="71" t="str">
        <f>CONCATENATE(A2115," ",B2115," ",C2115," ",D2115," ",E2115," ",F2115)</f>
        <v>Embraco Isobutane 50 Hz 230V VSD VEMX5C</v>
      </c>
      <c r="I2115" s="104"/>
      <c r="J2115" s="105"/>
      <c r="K2115" s="105"/>
      <c r="L2115" s="105"/>
      <c r="M2115" s="105"/>
      <c r="N2115" s="105"/>
      <c r="O2115" s="105"/>
      <c r="P2115" s="105"/>
      <c r="Q2115" s="105"/>
      <c r="R2115" s="105"/>
      <c r="S2115" s="105"/>
      <c r="T2115" s="105"/>
      <c r="U2115" s="105"/>
      <c r="V2115" s="105"/>
      <c r="W2115" s="105"/>
      <c r="X2115" s="105"/>
      <c r="Y2115" s="105"/>
      <c r="Z2115" s="105"/>
      <c r="AA2115" s="105"/>
      <c r="AB2115" s="105"/>
      <c r="AC2115" s="119"/>
      <c r="AD2115" s="119"/>
      <c r="AE2115" s="120"/>
      <c r="AF2115" s="119"/>
      <c r="AG2115" s="119"/>
      <c r="AH2115" s="120"/>
      <c r="AI2115" s="121"/>
      <c r="AJ2115" s="121"/>
      <c r="AK2115" s="121"/>
      <c r="AL2115" s="121"/>
      <c r="AM2115" s="122"/>
      <c r="AN2115" s="121"/>
      <c r="AP2115" s="87"/>
    </row>
    <row r="2116" spans="1:42">
      <c r="A2116" s="71"/>
      <c r="B2116" s="71"/>
      <c r="C2116" s="71"/>
      <c r="D2116" s="71"/>
      <c r="E2116" s="71"/>
      <c r="F2116" s="71"/>
      <c r="G2116" s="95">
        <v>1200</v>
      </c>
      <c r="H2116" s="102"/>
      <c r="I2116" s="104">
        <v>145.37972356473415</v>
      </c>
      <c r="J2116" s="105">
        <v>1.8093312298123994</v>
      </c>
      <c r="K2116" s="105">
        <v>-2.9464823563183904</v>
      </c>
      <c r="L2116" s="105">
        <v>0.16789745358767741</v>
      </c>
      <c r="M2116" s="105">
        <v>0.19361989048344921</v>
      </c>
      <c r="N2116" s="105">
        <v>8.9387517549395279E-2</v>
      </c>
      <c r="O2116" s="105">
        <v>4.5000652970330077E-3</v>
      </c>
      <c r="P2116" s="105">
        <v>4.3567289468095212E-3</v>
      </c>
      <c r="Q2116" s="105">
        <v>2.2585388341493675E-4</v>
      </c>
      <c r="R2116" s="105">
        <v>-5.3382923501366889E-4</v>
      </c>
      <c r="S2116" s="105">
        <v>15.872242099372178</v>
      </c>
      <c r="T2116" s="105">
        <v>0.43982312321167061</v>
      </c>
      <c r="U2116" s="105">
        <v>0.32875757898263525</v>
      </c>
      <c r="V2116" s="105">
        <v>2.0544790638844332E-2</v>
      </c>
      <c r="W2116" s="105">
        <v>4.5329309392966812E-5</v>
      </c>
      <c r="X2116" s="105">
        <v>-3.2976753600107451E-3</v>
      </c>
      <c r="Y2116" s="105">
        <v>1.4407898356633205E-3</v>
      </c>
      <c r="Z2116" s="105">
        <v>1.9603501196094838E-3</v>
      </c>
      <c r="AA2116" s="105">
        <v>1.2909063411423662E-3</v>
      </c>
      <c r="AB2116" s="105">
        <v>2.7295353243980496E-4</v>
      </c>
      <c r="AC2116" s="119"/>
      <c r="AD2116" s="119"/>
      <c r="AE2116" s="120"/>
      <c r="AF2116" s="119"/>
      <c r="AG2116" s="119"/>
      <c r="AH2116" s="120"/>
      <c r="AI2116" s="121"/>
      <c r="AJ2116" s="121"/>
      <c r="AK2116" s="121"/>
      <c r="AL2116" s="121"/>
      <c r="AM2116" s="122"/>
      <c r="AN2116" s="121"/>
      <c r="AP2116" s="87"/>
    </row>
    <row r="2117" spans="1:42">
      <c r="A2117" s="71"/>
      <c r="B2117" s="71"/>
      <c r="C2117" s="71"/>
      <c r="D2117" s="71"/>
      <c r="E2117" s="71"/>
      <c r="F2117" s="71"/>
      <c r="G2117" s="95">
        <v>1600</v>
      </c>
      <c r="H2117" s="102"/>
      <c r="I2117" s="104">
        <v>321.50701028335124</v>
      </c>
      <c r="J2117" s="105">
        <v>10.31600452499854</v>
      </c>
      <c r="K2117" s="105">
        <v>-7.742699566551555</v>
      </c>
      <c r="L2117" s="105">
        <v>0.13443720669341339</v>
      </c>
      <c r="M2117" s="105">
        <v>-0.17039638103129517</v>
      </c>
      <c r="N2117" s="105">
        <v>8.7921921514374446E-2</v>
      </c>
      <c r="O2117" s="105">
        <v>2.3775675920312896E-3</v>
      </c>
      <c r="P2117" s="105">
        <v>1.551012348050449E-3</v>
      </c>
      <c r="Q2117" s="105">
        <v>2.4795050945144005E-3</v>
      </c>
      <c r="R2117" s="105">
        <v>-1.1760563174888581E-4</v>
      </c>
      <c r="S2117" s="105">
        <v>50.907063433538497</v>
      </c>
      <c r="T2117" s="105">
        <v>-0.38035190052176204</v>
      </c>
      <c r="U2117" s="105">
        <v>-1.5672352013651611</v>
      </c>
      <c r="V2117" s="105">
        <v>-2.4710914231579388E-2</v>
      </c>
      <c r="W2117" s="105">
        <v>5.690196791159687E-3</v>
      </c>
      <c r="X2117" s="105">
        <v>3.4631608698246247E-2</v>
      </c>
      <c r="Y2117" s="105">
        <v>1.3633925451953441E-4</v>
      </c>
      <c r="Z2117" s="105">
        <v>8.0397989390853977E-4</v>
      </c>
      <c r="AA2117" s="105">
        <v>5.2018526782993948E-4</v>
      </c>
      <c r="AB2117" s="105">
        <v>-1.0507305648422828E-4</v>
      </c>
      <c r="AC2117" s="119"/>
      <c r="AD2117" s="119"/>
      <c r="AE2117" s="120"/>
      <c r="AF2117" s="119"/>
      <c r="AG2117" s="119"/>
      <c r="AH2117" s="120"/>
      <c r="AI2117" s="121"/>
      <c r="AJ2117" s="121"/>
      <c r="AK2117" s="121"/>
      <c r="AL2117" s="121"/>
      <c r="AM2117" s="122"/>
      <c r="AN2117" s="121"/>
      <c r="AP2117" s="87"/>
    </row>
    <row r="2118" spans="1:42">
      <c r="A2118" s="71"/>
      <c r="B2118" s="71"/>
      <c r="C2118" s="71"/>
      <c r="D2118" s="71"/>
      <c r="E2118" s="71"/>
      <c r="F2118" s="71"/>
      <c r="G2118" s="95">
        <v>4500</v>
      </c>
      <c r="H2118" s="102"/>
      <c r="I2118" s="104">
        <v>638.79034681660505</v>
      </c>
      <c r="J2118" s="105">
        <v>26.142714665252814</v>
      </c>
      <c r="K2118" s="105">
        <v>-8.8708265785710054</v>
      </c>
      <c r="L2118" s="105">
        <v>0.4589963738618062</v>
      </c>
      <c r="M2118" s="105">
        <v>-0.30934104120998152</v>
      </c>
      <c r="N2118" s="105">
        <v>5.245098079419231E-2</v>
      </c>
      <c r="O2118" s="105">
        <v>3.4324401188246872E-3</v>
      </c>
      <c r="P2118" s="105">
        <v>-3.3420954564822736E-3</v>
      </c>
      <c r="Q2118" s="105">
        <v>1.0662395101154461E-3</v>
      </c>
      <c r="R2118" s="105">
        <v>-1.0121969443112382E-4</v>
      </c>
      <c r="S2118" s="105">
        <v>80.130192004084364</v>
      </c>
      <c r="T2118" s="105">
        <v>2.425629382062128</v>
      </c>
      <c r="U2118" s="105">
        <v>0.13587633476903929</v>
      </c>
      <c r="V2118" s="105">
        <v>7.4052084874838373E-2</v>
      </c>
      <c r="W2118" s="105">
        <v>-1.2791782593317581E-2</v>
      </c>
      <c r="X2118" s="105">
        <v>2.2393164400701562E-2</v>
      </c>
      <c r="Y2118" s="105">
        <v>9.8767216289511015E-4</v>
      </c>
      <c r="Z2118" s="105">
        <v>-4.9725945764582608E-4</v>
      </c>
      <c r="AA2118" s="105">
        <v>2.2684209042650428E-4</v>
      </c>
      <c r="AB2118" s="105">
        <v>-2.0240789588760956E-4</v>
      </c>
      <c r="AC2118" s="119"/>
      <c r="AD2118" s="119"/>
      <c r="AE2118" s="120"/>
      <c r="AF2118" s="119"/>
      <c r="AG2118" s="119"/>
      <c r="AH2118" s="120"/>
      <c r="AI2118" s="121"/>
      <c r="AJ2118" s="121"/>
      <c r="AK2118" s="121"/>
      <c r="AL2118" s="121"/>
      <c r="AM2118" s="122"/>
      <c r="AN2118" s="121"/>
      <c r="AP2118" s="87"/>
    </row>
    <row r="2119" spans="1:42">
      <c r="A2119" s="71" t="s">
        <v>43</v>
      </c>
      <c r="B2119" s="71" t="s">
        <v>44</v>
      </c>
      <c r="C2119" s="71" t="s">
        <v>45</v>
      </c>
      <c r="D2119" s="71" t="s">
        <v>46</v>
      </c>
      <c r="E2119" s="71" t="s">
        <v>47</v>
      </c>
      <c r="F2119" s="71" t="s">
        <v>157</v>
      </c>
      <c r="G2119" s="95"/>
      <c r="H2119" s="71" t="str">
        <f>CONCATENATE(A2119," ",B2119," ",C2119," ",D2119," ",E2119," ",F2119)</f>
        <v>Embraco Isobutane 50 Hz 230V VSD VEMX7C</v>
      </c>
      <c r="I2119" s="104"/>
      <c r="J2119" s="105"/>
      <c r="K2119" s="105"/>
      <c r="L2119" s="105"/>
      <c r="M2119" s="105"/>
      <c r="N2119" s="105"/>
      <c r="O2119" s="105"/>
      <c r="P2119" s="105"/>
      <c r="Q2119" s="105"/>
      <c r="R2119" s="105"/>
      <c r="S2119" s="105"/>
      <c r="T2119" s="105"/>
      <c r="U2119" s="105"/>
      <c r="V2119" s="105"/>
      <c r="W2119" s="105"/>
      <c r="X2119" s="105"/>
      <c r="Y2119" s="105"/>
      <c r="Z2119" s="105"/>
      <c r="AA2119" s="105"/>
      <c r="AB2119" s="105"/>
      <c r="AC2119" s="119"/>
      <c r="AD2119" s="119"/>
      <c r="AE2119" s="120"/>
      <c r="AF2119" s="119"/>
      <c r="AG2119" s="119"/>
      <c r="AH2119" s="120"/>
      <c r="AI2119" s="121"/>
      <c r="AJ2119" s="121"/>
      <c r="AK2119" s="121"/>
      <c r="AL2119" s="121"/>
      <c r="AM2119" s="122"/>
      <c r="AN2119" s="121"/>
      <c r="AP2119" s="87"/>
    </row>
    <row r="2120" spans="1:42">
      <c r="A2120" s="71"/>
      <c r="B2120" s="71"/>
      <c r="C2120" s="71"/>
      <c r="D2120" s="71"/>
      <c r="E2120" s="71"/>
      <c r="F2120" s="71"/>
      <c r="G2120" s="95">
        <v>1200</v>
      </c>
      <c r="H2120" s="102"/>
      <c r="I2120" s="104">
        <v>237.02566351767038</v>
      </c>
      <c r="J2120" s="105">
        <v>6.9771842882180808</v>
      </c>
      <c r="K2120" s="105">
        <v>-4.1910996928006004</v>
      </c>
      <c r="L2120" s="105">
        <v>9.3119957100702491E-2</v>
      </c>
      <c r="M2120" s="105">
        <v>-2.9595172273571075E-2</v>
      </c>
      <c r="N2120" s="105">
        <v>6.8057027740276888E-2</v>
      </c>
      <c r="O2120" s="105">
        <v>4.9114618061408329E-4</v>
      </c>
      <c r="P2120" s="105">
        <v>-3.3491943068551517E-4</v>
      </c>
      <c r="Q2120" s="105">
        <v>-1.1586025247884075E-4</v>
      </c>
      <c r="R2120" s="105">
        <v>-5.5069936908894049E-4</v>
      </c>
      <c r="S2120" s="105">
        <v>79.771960124423757</v>
      </c>
      <c r="T2120" s="105">
        <v>0.36177907235319767</v>
      </c>
      <c r="U2120" s="105">
        <v>-3.8836392782242197</v>
      </c>
      <c r="V2120" s="105">
        <v>1.9319504871746157E-3</v>
      </c>
      <c r="W2120" s="105">
        <v>4.4450946822171653E-5</v>
      </c>
      <c r="X2120" s="105">
        <v>0.10369250707981946</v>
      </c>
      <c r="Y2120" s="105">
        <v>5.5031794851699076E-5</v>
      </c>
      <c r="Z2120" s="105">
        <v>1.6826877427049682E-5</v>
      </c>
      <c r="AA2120" s="105">
        <v>2.0662295807758808E-4</v>
      </c>
      <c r="AB2120" s="105">
        <v>-7.8018147805837892E-4</v>
      </c>
      <c r="AC2120" s="119"/>
      <c r="AD2120" s="119"/>
      <c r="AE2120" s="120"/>
      <c r="AF2120" s="119"/>
      <c r="AG2120" s="119"/>
      <c r="AH2120" s="120"/>
      <c r="AI2120" s="121"/>
      <c r="AJ2120" s="121"/>
      <c r="AK2120" s="121"/>
      <c r="AL2120" s="121"/>
      <c r="AM2120" s="122"/>
      <c r="AN2120" s="121"/>
      <c r="AP2120" s="87"/>
    </row>
    <row r="2121" spans="1:42">
      <c r="A2121" s="71"/>
      <c r="B2121" s="71"/>
      <c r="C2121" s="71"/>
      <c r="D2121" s="71"/>
      <c r="E2121" s="71"/>
      <c r="F2121" s="71"/>
      <c r="G2121" s="95">
        <v>1600</v>
      </c>
      <c r="H2121" s="102"/>
      <c r="I2121" s="104">
        <v>294.15310146811407</v>
      </c>
      <c r="J2121" s="105">
        <v>10.165633475889997</v>
      </c>
      <c r="K2121" s="105">
        <v>-3.4306417506015712</v>
      </c>
      <c r="L2121" s="105">
        <v>0.12345500990136506</v>
      </c>
      <c r="M2121" s="105">
        <v>-7.7192424224686695E-2</v>
      </c>
      <c r="N2121" s="105">
        <v>3.1503968740079144E-2</v>
      </c>
      <c r="O2121" s="105">
        <v>4.6759293377026843E-4</v>
      </c>
      <c r="P2121" s="105">
        <v>-6.7760680735371836E-4</v>
      </c>
      <c r="Q2121" s="105">
        <v>1.6287821818987267E-4</v>
      </c>
      <c r="R2121" s="105">
        <v>-2.289327949422431E-4</v>
      </c>
      <c r="S2121" s="105">
        <v>12.567872368499721</v>
      </c>
      <c r="T2121" s="105">
        <v>-2.10804340013852</v>
      </c>
      <c r="U2121" s="105">
        <v>0.39627380777938437</v>
      </c>
      <c r="V2121" s="105">
        <v>-2.7271130038922568E-2</v>
      </c>
      <c r="W2121" s="105">
        <v>9.3627190505335037E-2</v>
      </c>
      <c r="X2121" s="105">
        <v>2.673172625930053E-2</v>
      </c>
      <c r="Y2121" s="105">
        <v>-2.6992443814475024E-5</v>
      </c>
      <c r="Z2121" s="105">
        <v>5.8679065980276495E-4</v>
      </c>
      <c r="AA2121" s="105">
        <v>-5.3173364552351881E-4</v>
      </c>
      <c r="AB2121" s="105">
        <v>-2.9537997811895916E-4</v>
      </c>
      <c r="AC2121" s="119"/>
      <c r="AD2121" s="119"/>
      <c r="AE2121" s="120"/>
      <c r="AF2121" s="119"/>
      <c r="AG2121" s="119"/>
      <c r="AH2121" s="120"/>
      <c r="AI2121" s="121"/>
      <c r="AJ2121" s="121"/>
      <c r="AK2121" s="121"/>
      <c r="AL2121" s="121"/>
      <c r="AM2121" s="122"/>
      <c r="AN2121" s="121"/>
      <c r="AP2121" s="87"/>
    </row>
    <row r="2122" spans="1:42">
      <c r="A2122" s="71"/>
      <c r="B2122" s="71"/>
      <c r="C2122" s="71"/>
      <c r="D2122" s="71"/>
      <c r="E2122" s="71"/>
      <c r="F2122" s="71"/>
      <c r="G2122" s="95">
        <v>4500</v>
      </c>
      <c r="H2122" s="102"/>
      <c r="I2122" s="104">
        <v>763.02309813493639</v>
      </c>
      <c r="J2122" s="105">
        <v>26.229268695810067</v>
      </c>
      <c r="K2122" s="105">
        <v>-6.5473763027470806</v>
      </c>
      <c r="L2122" s="105">
        <v>0.31438960212947392</v>
      </c>
      <c r="M2122" s="105">
        <v>-0.15380626372292466</v>
      </c>
      <c r="N2122" s="105">
        <v>2.9805284222916031E-2</v>
      </c>
      <c r="O2122" s="105">
        <v>1.2959693736037611E-3</v>
      </c>
      <c r="P2122" s="105">
        <v>-1.1976900728876065E-3</v>
      </c>
      <c r="Q2122" s="105">
        <v>1.4632589743865395E-4</v>
      </c>
      <c r="R2122" s="105">
        <v>-2.1730244733813179E-4</v>
      </c>
      <c r="S2122" s="105">
        <v>60.633319404875515</v>
      </c>
      <c r="T2122" s="105">
        <v>-4.9600445161487468</v>
      </c>
      <c r="U2122" s="105">
        <v>0.56528388082391368</v>
      </c>
      <c r="V2122" s="105">
        <v>-0.13842150970454375</v>
      </c>
      <c r="W2122" s="105">
        <v>0.17750717117159751</v>
      </c>
      <c r="X2122" s="105">
        <v>7.0111749272436436E-2</v>
      </c>
      <c r="Y2122" s="105">
        <v>-9.4221517898189738E-4</v>
      </c>
      <c r="Z2122" s="105">
        <v>1.8125768973981697E-3</v>
      </c>
      <c r="AA2122" s="105">
        <v>-4.4691410485516104E-4</v>
      </c>
      <c r="AB2122" s="105">
        <v>-6.6219680647084398E-4</v>
      </c>
      <c r="AC2122" s="119"/>
      <c r="AD2122" s="119"/>
      <c r="AE2122" s="120"/>
      <c r="AF2122" s="119"/>
      <c r="AG2122" s="119"/>
      <c r="AH2122" s="120"/>
      <c r="AI2122" s="121"/>
      <c r="AJ2122" s="121"/>
      <c r="AK2122" s="121"/>
      <c r="AL2122" s="121"/>
      <c r="AM2122" s="122"/>
      <c r="AN2122" s="121"/>
      <c r="AP2122" s="87"/>
    </row>
    <row r="2123" spans="1:42">
      <c r="A2123" s="71" t="s">
        <v>43</v>
      </c>
      <c r="B2123" s="71" t="s">
        <v>44</v>
      </c>
      <c r="C2123" s="71" t="s">
        <v>45</v>
      </c>
      <c r="D2123" s="71" t="s">
        <v>46</v>
      </c>
      <c r="E2123" s="71" t="s">
        <v>47</v>
      </c>
      <c r="F2123" s="71" t="s">
        <v>159</v>
      </c>
      <c r="G2123" s="95"/>
      <c r="H2123" s="71" t="str">
        <f>CONCATENATE(A2123," ",B2123," ",C2123," ",D2123," ",E2123," ",F2123)</f>
        <v>Embraco Isobutane 50 Hz 230V VSD VEMX9C</v>
      </c>
      <c r="I2123" s="104"/>
      <c r="J2123" s="105"/>
      <c r="K2123" s="105"/>
      <c r="L2123" s="105"/>
      <c r="M2123" s="105"/>
      <c r="N2123" s="105"/>
      <c r="O2123" s="105"/>
      <c r="P2123" s="105"/>
      <c r="Q2123" s="105"/>
      <c r="R2123" s="105"/>
      <c r="S2123" s="105"/>
      <c r="T2123" s="105"/>
      <c r="U2123" s="105"/>
      <c r="V2123" s="105"/>
      <c r="W2123" s="105"/>
      <c r="X2123" s="105"/>
      <c r="Y2123" s="105"/>
      <c r="Z2123" s="105"/>
      <c r="AA2123" s="105"/>
      <c r="AB2123" s="105"/>
      <c r="AC2123" s="119"/>
      <c r="AD2123" s="119"/>
      <c r="AE2123" s="120"/>
      <c r="AF2123" s="119"/>
      <c r="AG2123" s="119"/>
      <c r="AH2123" s="120"/>
      <c r="AI2123" s="121"/>
      <c r="AJ2123" s="121"/>
      <c r="AK2123" s="121"/>
      <c r="AL2123" s="121"/>
      <c r="AM2123" s="122"/>
      <c r="AN2123" s="121"/>
      <c r="AP2123" s="87"/>
    </row>
    <row r="2124" spans="1:42">
      <c r="A2124" s="71"/>
      <c r="B2124" s="71"/>
      <c r="C2124" s="71"/>
      <c r="D2124" s="71"/>
      <c r="E2124" s="71"/>
      <c r="F2124" s="71"/>
      <c r="G2124" s="95">
        <v>1200</v>
      </c>
      <c r="H2124" s="102"/>
      <c r="I2124" s="104">
        <v>289.06044087430843</v>
      </c>
      <c r="J2124" s="105">
        <v>8.6997238470011649</v>
      </c>
      <c r="K2124" s="105">
        <v>-4.6300070373320885</v>
      </c>
      <c r="L2124" s="105">
        <v>0.11089045383904304</v>
      </c>
      <c r="M2124" s="105">
        <v>-4.6815427079698026E-2</v>
      </c>
      <c r="N2124" s="105">
        <v>6.7464579617790094E-2</v>
      </c>
      <c r="O2124" s="105">
        <v>6.9136125103642248E-4</v>
      </c>
      <c r="P2124" s="105">
        <v>-1.7851386101146451E-4</v>
      </c>
      <c r="Q2124" s="105">
        <v>1.1345430162807727E-4</v>
      </c>
      <c r="R2124" s="105">
        <v>-4.931743082778365E-4</v>
      </c>
      <c r="S2124" s="105">
        <v>83.737145278769503</v>
      </c>
      <c r="T2124" s="105">
        <v>-5.1342077830485808E-3</v>
      </c>
      <c r="U2124" s="105">
        <v>-3.8268378905336862</v>
      </c>
      <c r="V2124" s="105">
        <v>-1.7292656829584651E-2</v>
      </c>
      <c r="W2124" s="105">
        <v>1.5399089145493577E-3</v>
      </c>
      <c r="X2124" s="105">
        <v>0.10380784665862139</v>
      </c>
      <c r="Y2124" s="105">
        <v>-9.6616542013380207E-5</v>
      </c>
      <c r="Z2124" s="105">
        <v>1.758796810742939E-4</v>
      </c>
      <c r="AA2124" s="105">
        <v>2.9067728433953497E-4</v>
      </c>
      <c r="AB2124" s="105">
        <v>-7.5753787689136721E-4</v>
      </c>
      <c r="AC2124" s="119">
        <v>7.2356064134421111E-2</v>
      </c>
      <c r="AD2124" s="119">
        <v>1.0406104973254013</v>
      </c>
      <c r="AE2124" s="120"/>
      <c r="AF2124" s="119">
        <v>0.12154594045648458</v>
      </c>
      <c r="AG2124" s="119">
        <v>1.8538497152109747</v>
      </c>
      <c r="AH2124" s="120"/>
      <c r="AI2124" s="121"/>
      <c r="AJ2124" s="121"/>
      <c r="AK2124" s="121"/>
      <c r="AL2124" s="121"/>
      <c r="AM2124" s="122"/>
      <c r="AN2124" s="121"/>
      <c r="AP2124" s="87"/>
    </row>
    <row r="2125" spans="1:42">
      <c r="A2125" s="71"/>
      <c r="B2125" s="71"/>
      <c r="C2125" s="71"/>
      <c r="D2125" s="71"/>
      <c r="E2125" s="71"/>
      <c r="F2125" s="71"/>
      <c r="G2125" s="95">
        <v>1600</v>
      </c>
      <c r="H2125" s="102"/>
      <c r="I2125" s="104">
        <v>382.64320063003589</v>
      </c>
      <c r="J2125" s="105">
        <v>12.426828021520247</v>
      </c>
      <c r="K2125" s="105">
        <v>-5.2416410676680538</v>
      </c>
      <c r="L2125" s="105">
        <v>0.15466517450163486</v>
      </c>
      <c r="M2125" s="105">
        <v>-8.2906519401501635E-2</v>
      </c>
      <c r="N2125" s="105">
        <v>6.2661817895410532E-2</v>
      </c>
      <c r="O2125" s="105">
        <v>5.9372421722278296E-4</v>
      </c>
      <c r="P2125" s="105">
        <v>-8.215514479757303E-4</v>
      </c>
      <c r="Q2125" s="105">
        <v>7.866093987578432E-5</v>
      </c>
      <c r="R2125" s="105">
        <v>-4.6340858401944024E-4</v>
      </c>
      <c r="S2125" s="105">
        <v>90.398045216660009</v>
      </c>
      <c r="T2125" s="105">
        <v>-1.4081645160455162E-2</v>
      </c>
      <c r="U2125" s="105">
        <v>-3.5521828879148174</v>
      </c>
      <c r="V2125" s="105">
        <v>-2.1430308142800784E-2</v>
      </c>
      <c r="W2125" s="105">
        <v>8.7528981437126445E-3</v>
      </c>
      <c r="X2125" s="105">
        <v>0.10400442520963567</v>
      </c>
      <c r="Y2125" s="105">
        <v>-1.1511123280603601E-4</v>
      </c>
      <c r="Z2125" s="105">
        <v>2.7894787546702601E-4</v>
      </c>
      <c r="AA2125" s="105">
        <v>3.1552164673040673E-4</v>
      </c>
      <c r="AB2125" s="105">
        <v>-7.7337133759858452E-4</v>
      </c>
      <c r="AC2125" s="119"/>
      <c r="AD2125" s="119"/>
      <c r="AE2125" s="120"/>
      <c r="AF2125" s="119"/>
      <c r="AG2125" s="119"/>
      <c r="AH2125" s="120"/>
      <c r="AI2125" s="121"/>
      <c r="AJ2125" s="121"/>
      <c r="AK2125" s="121"/>
      <c r="AL2125" s="121"/>
      <c r="AM2125" s="122"/>
      <c r="AN2125" s="121"/>
      <c r="AP2125" s="87"/>
    </row>
    <row r="2126" spans="1:42">
      <c r="A2126" s="71"/>
      <c r="B2126" s="71"/>
      <c r="C2126" s="71"/>
      <c r="D2126" s="71"/>
      <c r="E2126" s="71"/>
      <c r="F2126" s="71"/>
      <c r="G2126" s="95">
        <v>2000</v>
      </c>
      <c r="H2126" s="102"/>
      <c r="I2126" s="104">
        <v>462.23223811833327</v>
      </c>
      <c r="J2126" s="105">
        <v>14.814562955424961</v>
      </c>
      <c r="K2126" s="105">
        <v>-5.6268568544710353</v>
      </c>
      <c r="L2126" s="105">
        <v>0.18750045302573984</v>
      </c>
      <c r="M2126" s="105">
        <v>-7.6625525173070516E-2</v>
      </c>
      <c r="N2126" s="105">
        <v>6.0699535509140402E-2</v>
      </c>
      <c r="O2126" s="105">
        <v>9.1358052344486568E-4</v>
      </c>
      <c r="P2126" s="105">
        <v>-6.4286656476025556E-4</v>
      </c>
      <c r="Q2126" s="105">
        <v>-2.5596227805641921E-5</v>
      </c>
      <c r="R2126" s="105">
        <v>-4.4772168755313741E-4</v>
      </c>
      <c r="S2126" s="105">
        <v>76.894214760158519</v>
      </c>
      <c r="T2126" s="105">
        <v>-2.4638535879934191</v>
      </c>
      <c r="U2126" s="105">
        <v>-2.9793772637422542</v>
      </c>
      <c r="V2126" s="105">
        <v>-4.8658795421659094E-2</v>
      </c>
      <c r="W2126" s="105">
        <v>0.10178312864390861</v>
      </c>
      <c r="X2126" s="105">
        <v>0.11582333770523538</v>
      </c>
      <c r="Y2126" s="105">
        <v>-3.4278447799259099E-4</v>
      </c>
      <c r="Z2126" s="105">
        <v>5.3536759630267415E-4</v>
      </c>
      <c r="AA2126" s="105">
        <v>-5.1402872729216533E-4</v>
      </c>
      <c r="AB2126" s="105">
        <v>-9.8066035960330152E-4</v>
      </c>
      <c r="AC2126" s="119"/>
      <c r="AD2126" s="119"/>
      <c r="AE2126" s="120"/>
      <c r="AF2126" s="119"/>
      <c r="AG2126" s="119"/>
      <c r="AH2126" s="120"/>
      <c r="AI2126" s="121"/>
      <c r="AJ2126" s="121"/>
      <c r="AK2126" s="121"/>
      <c r="AL2126" s="121"/>
      <c r="AM2126" s="122"/>
      <c r="AN2126" s="121"/>
      <c r="AP2126" s="87"/>
    </row>
    <row r="2127" spans="1:42">
      <c r="A2127" s="71"/>
      <c r="B2127" s="71"/>
      <c r="C2127" s="71"/>
      <c r="D2127" s="71"/>
      <c r="E2127" s="71"/>
      <c r="F2127" s="71"/>
      <c r="G2127" s="95">
        <v>3000</v>
      </c>
      <c r="H2127" s="102"/>
      <c r="I2127" s="104">
        <v>670.31938731333082</v>
      </c>
      <c r="J2127" s="105">
        <v>23.000964782880573</v>
      </c>
      <c r="K2127" s="105">
        <v>-6.5846856016614383</v>
      </c>
      <c r="L2127" s="105">
        <v>0.30547727359505655</v>
      </c>
      <c r="M2127" s="105">
        <v>-0.12291485292985545</v>
      </c>
      <c r="N2127" s="105">
        <v>5.3645175152785871E-2</v>
      </c>
      <c r="O2127" s="105">
        <v>1.4814821155985172E-3</v>
      </c>
      <c r="P2127" s="105">
        <v>-1.2857385222077612E-3</v>
      </c>
      <c r="Q2127" s="105">
        <v>-1.0571520327126607E-4</v>
      </c>
      <c r="R2127" s="105">
        <v>-4.4589216712464364E-4</v>
      </c>
      <c r="S2127" s="105">
        <v>92.285007930497727</v>
      </c>
      <c r="T2127" s="105">
        <v>-3.7551522034860447</v>
      </c>
      <c r="U2127" s="105">
        <v>-2.3422853778395782</v>
      </c>
      <c r="V2127" s="105">
        <v>-0.10590687890531983</v>
      </c>
      <c r="W2127" s="105">
        <v>0.14854682456559079</v>
      </c>
      <c r="X2127" s="105">
        <v>0.12368320526000211</v>
      </c>
      <c r="Y2127" s="105">
        <v>-9.1373589339926477E-4</v>
      </c>
      <c r="Z2127" s="105">
        <v>1.178649056039518E-3</v>
      </c>
      <c r="AA2127" s="105">
        <v>-6.0087628112809853E-4</v>
      </c>
      <c r="AB2127" s="105">
        <v>-1.0965682087312732E-3</v>
      </c>
      <c r="AC2127" s="119"/>
      <c r="AD2127" s="119"/>
      <c r="AE2127" s="120"/>
      <c r="AF2127" s="119"/>
      <c r="AG2127" s="119"/>
      <c r="AH2127" s="120"/>
      <c r="AI2127" s="121"/>
      <c r="AJ2127" s="121"/>
      <c r="AK2127" s="121"/>
      <c r="AL2127" s="121"/>
      <c r="AM2127" s="122"/>
      <c r="AN2127" s="121"/>
      <c r="AP2127" s="87"/>
    </row>
    <row r="2128" spans="1:42">
      <c r="A2128" s="71"/>
      <c r="B2128" s="71"/>
      <c r="C2128" s="71"/>
      <c r="D2128" s="71"/>
      <c r="E2128" s="71"/>
      <c r="F2128" s="71"/>
      <c r="G2128" s="95">
        <v>4500</v>
      </c>
      <c r="H2128" s="102"/>
      <c r="I2128" s="104">
        <v>918.41809723804442</v>
      </c>
      <c r="J2128" s="105">
        <v>32.177259023524272</v>
      </c>
      <c r="K2128" s="105">
        <v>-8.1770747515648967</v>
      </c>
      <c r="L2128" s="105">
        <v>0.42017931115091856</v>
      </c>
      <c r="M2128" s="105">
        <v>-0.19132952330644062</v>
      </c>
      <c r="N2128" s="105">
        <v>5.0192547127328374E-2</v>
      </c>
      <c r="O2128" s="105">
        <v>1.6790150656736612E-3</v>
      </c>
      <c r="P2128" s="105">
        <v>-2.3214409504164041E-3</v>
      </c>
      <c r="Q2128" s="105">
        <v>-1.649957676968079E-4</v>
      </c>
      <c r="R2128" s="105">
        <v>-4.2398659280366982E-4</v>
      </c>
      <c r="S2128" s="105">
        <v>108.25296809045003</v>
      </c>
      <c r="T2128" s="105">
        <v>-6.6893773003295385</v>
      </c>
      <c r="U2128" s="105">
        <v>-1.8329606619036438</v>
      </c>
      <c r="V2128" s="105">
        <v>-0.182081811718527</v>
      </c>
      <c r="W2128" s="105">
        <v>0.24330803631891601</v>
      </c>
      <c r="X2128" s="105">
        <v>0.1487796987123742</v>
      </c>
      <c r="Y2128" s="105">
        <v>-1.3333201753033895E-3</v>
      </c>
      <c r="Z2128" s="105">
        <v>2.321414892239099E-3</v>
      </c>
      <c r="AA2128" s="105">
        <v>-8.8557246286279426E-4</v>
      </c>
      <c r="AB2128" s="105">
        <v>-1.3299139277361952E-3</v>
      </c>
      <c r="AC2128" s="119"/>
      <c r="AD2128" s="119"/>
      <c r="AE2128" s="120"/>
      <c r="AF2128" s="119"/>
      <c r="AG2128" s="119"/>
      <c r="AH2128" s="120"/>
      <c r="AI2128" s="121"/>
      <c r="AJ2128" s="121"/>
      <c r="AK2128" s="121"/>
      <c r="AL2128" s="121"/>
      <c r="AM2128" s="122"/>
      <c r="AN2128" s="121"/>
      <c r="AP2128" s="87"/>
    </row>
    <row r="2129" spans="1:42">
      <c r="A2129" s="71" t="s">
        <v>43</v>
      </c>
      <c r="B2129" s="71" t="s">
        <v>44</v>
      </c>
      <c r="C2129" s="71" t="s">
        <v>45</v>
      </c>
      <c r="D2129" s="71" t="s">
        <v>46</v>
      </c>
      <c r="E2129" s="71" t="s">
        <v>47</v>
      </c>
      <c r="F2129" s="71" t="s">
        <v>161</v>
      </c>
      <c r="G2129" s="95"/>
      <c r="H2129" s="71" t="str">
        <f>CONCATENATE(A2129," ",B2129," ",C2129," ",D2129," ",E2129," ",F2129)</f>
        <v>Embraco Isobutane 50 Hz 230V VSD VEMZ5C</v>
      </c>
      <c r="I2129" s="104"/>
      <c r="J2129" s="105"/>
      <c r="K2129" s="105"/>
      <c r="L2129" s="105"/>
      <c r="M2129" s="105"/>
      <c r="N2129" s="105"/>
      <c r="O2129" s="105"/>
      <c r="P2129" s="105"/>
      <c r="Q2129" s="105"/>
      <c r="R2129" s="105"/>
      <c r="S2129" s="105"/>
      <c r="T2129" s="105"/>
      <c r="U2129" s="105"/>
      <c r="V2129" s="105"/>
      <c r="W2129" s="105"/>
      <c r="X2129" s="105"/>
      <c r="Y2129" s="105"/>
      <c r="Z2129" s="105"/>
      <c r="AA2129" s="105"/>
      <c r="AB2129" s="105"/>
      <c r="AC2129" s="119"/>
      <c r="AD2129" s="119"/>
      <c r="AE2129" s="120"/>
      <c r="AF2129" s="119"/>
      <c r="AG2129" s="119"/>
      <c r="AH2129" s="120"/>
      <c r="AI2129" s="121"/>
      <c r="AJ2129" s="121"/>
      <c r="AK2129" s="121"/>
      <c r="AL2129" s="121"/>
      <c r="AM2129" s="122"/>
      <c r="AN2129" s="121"/>
      <c r="AP2129" s="87"/>
    </row>
    <row r="2130" spans="1:42">
      <c r="A2130" s="71"/>
      <c r="B2130" s="71"/>
      <c r="C2130" s="71"/>
      <c r="D2130" s="71"/>
      <c r="E2130" s="71"/>
      <c r="F2130" s="71"/>
      <c r="G2130" s="95">
        <v>1600</v>
      </c>
      <c r="H2130" s="102"/>
      <c r="I2130" s="104">
        <v>246.83776641309552</v>
      </c>
      <c r="J2130" s="105">
        <v>9.838249848760535</v>
      </c>
      <c r="K2130" s="105">
        <v>-4.0241330572260336</v>
      </c>
      <c r="L2130" s="105">
        <v>0.15377310069084779</v>
      </c>
      <c r="M2130" s="105">
        <v>-0.11283150361375972</v>
      </c>
      <c r="N2130" s="105">
        <v>4.2721903116133719E-2</v>
      </c>
      <c r="O2130" s="105">
        <v>8.9491702695005824E-4</v>
      </c>
      <c r="P2130" s="105">
        <v>-1.09699510086374E-3</v>
      </c>
      <c r="Q2130" s="105">
        <v>3.947296734468035E-4</v>
      </c>
      <c r="R2130" s="105">
        <v>-2.6839465344860055E-4</v>
      </c>
      <c r="S2130" s="105">
        <v>31.560025609024077</v>
      </c>
      <c r="T2130" s="105">
        <v>-0.76657471722821569</v>
      </c>
      <c r="U2130" s="105">
        <v>-1.0100770813147859</v>
      </c>
      <c r="V2130" s="105">
        <v>-2.8680840278364622E-2</v>
      </c>
      <c r="W2130" s="105">
        <v>1.8318183908475231E-2</v>
      </c>
      <c r="X2130" s="105">
        <v>3.7999086163836418E-2</v>
      </c>
      <c r="Y2130" s="105">
        <v>-2.8682518929273995E-4</v>
      </c>
      <c r="Z2130" s="105">
        <v>1.6708831700884371E-4</v>
      </c>
      <c r="AA2130" s="105">
        <v>3.3488313344667801E-5</v>
      </c>
      <c r="AB2130" s="105">
        <v>-2.9834590199603325E-4</v>
      </c>
      <c r="AC2130" s="119"/>
      <c r="AD2130" s="119"/>
      <c r="AE2130" s="120"/>
      <c r="AF2130" s="119"/>
      <c r="AG2130" s="119"/>
      <c r="AH2130" s="120"/>
      <c r="AI2130" s="121"/>
      <c r="AJ2130" s="121"/>
      <c r="AK2130" s="121"/>
      <c r="AL2130" s="121"/>
      <c r="AM2130" s="122"/>
      <c r="AN2130" s="121"/>
      <c r="AP2130" s="87"/>
    </row>
    <row r="2131" spans="1:42">
      <c r="A2131" s="71"/>
      <c r="B2131" s="71"/>
      <c r="C2131" s="71"/>
      <c r="D2131" s="71"/>
      <c r="E2131" s="71"/>
      <c r="F2131" s="71"/>
      <c r="G2131" s="95">
        <v>4500</v>
      </c>
      <c r="H2131" s="102"/>
      <c r="I2131" s="104">
        <v>453.74630517253917</v>
      </c>
      <c r="J2131" s="105">
        <v>12.822504945672595</v>
      </c>
      <c r="K2131" s="105">
        <v>-4.3841027835144049</v>
      </c>
      <c r="L2131" s="105">
        <v>0.15193099747551442</v>
      </c>
      <c r="M2131" s="105">
        <v>-2.6393378704311139E-2</v>
      </c>
      <c r="N2131" s="105">
        <v>5.8813380054251185E-2</v>
      </c>
      <c r="O2131" s="105">
        <v>1.2458328455414185E-3</v>
      </c>
      <c r="P2131" s="105">
        <v>-2.0339781453500248E-4</v>
      </c>
      <c r="Q2131" s="105">
        <v>-3.4617600580299915E-4</v>
      </c>
      <c r="R2131" s="105">
        <v>-6.3503006698995142E-4</v>
      </c>
      <c r="S2131" s="105">
        <v>118.88375263968437</v>
      </c>
      <c r="T2131" s="105">
        <v>0.71787092936641583</v>
      </c>
      <c r="U2131" s="105">
        <v>-3.2511999554444926</v>
      </c>
      <c r="V2131" s="105">
        <v>6.5920457498107911E-3</v>
      </c>
      <c r="W2131" s="105">
        <v>4.4152182247363929E-5</v>
      </c>
      <c r="X2131" s="105">
        <v>0.10618654618930208</v>
      </c>
      <c r="Y2131" s="105">
        <v>2.9868515257601744E-4</v>
      </c>
      <c r="Z2131" s="105">
        <v>2.1136392218843686E-5</v>
      </c>
      <c r="AA2131" s="105">
        <v>3.9726260370954503E-4</v>
      </c>
      <c r="AB2131" s="105">
        <v>-8.4657144651122714E-4</v>
      </c>
      <c r="AC2131" s="119"/>
      <c r="AD2131" s="119"/>
      <c r="AE2131" s="120"/>
      <c r="AF2131" s="119"/>
      <c r="AG2131" s="119"/>
      <c r="AH2131" s="120"/>
      <c r="AI2131" s="121"/>
      <c r="AJ2131" s="121"/>
      <c r="AK2131" s="121"/>
      <c r="AL2131" s="121"/>
      <c r="AM2131" s="122"/>
      <c r="AN2131" s="121"/>
      <c r="AP2131" s="87"/>
    </row>
    <row r="2132" spans="1:42">
      <c r="A2132" s="71" t="s">
        <v>43</v>
      </c>
      <c r="B2132" s="71" t="s">
        <v>44</v>
      </c>
      <c r="C2132" s="71" t="s">
        <v>45</v>
      </c>
      <c r="D2132" s="71" t="s">
        <v>46</v>
      </c>
      <c r="E2132" s="71" t="s">
        <v>47</v>
      </c>
      <c r="F2132" s="71" t="s">
        <v>163</v>
      </c>
      <c r="G2132" s="95"/>
      <c r="H2132" s="71" t="str">
        <f>CONCATENATE(A2132," ",B2132," ",C2132," ",D2132," ",E2132," ",F2132)</f>
        <v>Embraco Isobutane 50 Hz 230V VSD VEMZ7C</v>
      </c>
      <c r="I2132" s="104"/>
      <c r="J2132" s="105"/>
      <c r="K2132" s="105"/>
      <c r="L2132" s="105"/>
      <c r="M2132" s="105"/>
      <c r="N2132" s="105"/>
      <c r="O2132" s="105"/>
      <c r="P2132" s="105"/>
      <c r="Q2132" s="105"/>
      <c r="R2132" s="105"/>
      <c r="S2132" s="105"/>
      <c r="T2132" s="105"/>
      <c r="U2132" s="105"/>
      <c r="V2132" s="105"/>
      <c r="W2132" s="105"/>
      <c r="X2132" s="105"/>
      <c r="Y2132" s="105"/>
      <c r="Z2132" s="105"/>
      <c r="AA2132" s="105"/>
      <c r="AB2132" s="105"/>
      <c r="AC2132" s="119"/>
      <c r="AD2132" s="119"/>
      <c r="AE2132" s="120"/>
      <c r="AF2132" s="119"/>
      <c r="AG2132" s="119"/>
      <c r="AH2132" s="120"/>
      <c r="AI2132" s="121"/>
      <c r="AJ2132" s="121"/>
      <c r="AK2132" s="121"/>
      <c r="AL2132" s="121"/>
      <c r="AM2132" s="122"/>
      <c r="AN2132" s="121"/>
      <c r="AP2132" s="87"/>
    </row>
    <row r="2133" spans="1:42">
      <c r="A2133" s="71"/>
      <c r="B2133" s="71"/>
      <c r="C2133" s="71"/>
      <c r="D2133" s="71"/>
      <c r="E2133" s="71"/>
      <c r="F2133" s="71"/>
      <c r="G2133" s="95">
        <v>1600</v>
      </c>
      <c r="H2133" s="102"/>
      <c r="I2133" s="104">
        <v>255.06413371857113</v>
      </c>
      <c r="J2133" s="105">
        <v>8.8835784034343703</v>
      </c>
      <c r="K2133" s="105">
        <v>-1.3869600168406084</v>
      </c>
      <c r="L2133" s="105">
        <v>0.10700970294840245</v>
      </c>
      <c r="M2133" s="105">
        <v>-3.7238783758665572E-2</v>
      </c>
      <c r="N2133" s="105">
        <v>-2.5401887156069063E-3</v>
      </c>
      <c r="O2133" s="105">
        <v>3.0947661494726741E-4</v>
      </c>
      <c r="P2133" s="105">
        <v>-5.6477088052134022E-4</v>
      </c>
      <c r="Q2133" s="105">
        <v>-2.2540956042176025E-4</v>
      </c>
      <c r="R2133" s="105">
        <v>-4.9190873233867426E-5</v>
      </c>
      <c r="S2133" s="105">
        <v>14.23388957445381</v>
      </c>
      <c r="T2133" s="105">
        <v>-0.2820789895529035</v>
      </c>
      <c r="U2133" s="105">
        <v>0.98460842740866761</v>
      </c>
      <c r="V2133" s="105">
        <v>-1.5341150368101082E-2</v>
      </c>
      <c r="W2133" s="105">
        <v>1.2240598616399138E-2</v>
      </c>
      <c r="X2133" s="105">
        <v>-4.902196765795713E-4</v>
      </c>
      <c r="Y2133" s="105">
        <v>-7.5027390110261056E-5</v>
      </c>
      <c r="Z2133" s="105">
        <v>1.1392036568453148E-4</v>
      </c>
      <c r="AA2133" s="105">
        <v>1.9715283246083768E-4</v>
      </c>
      <c r="AB2133" s="105">
        <v>6.8122565053877158E-6</v>
      </c>
      <c r="AC2133" s="119"/>
      <c r="AD2133" s="119"/>
      <c r="AE2133" s="120"/>
      <c r="AF2133" s="119"/>
      <c r="AG2133" s="119"/>
      <c r="AH2133" s="120"/>
      <c r="AI2133" s="121"/>
      <c r="AJ2133" s="121"/>
      <c r="AK2133" s="121"/>
      <c r="AL2133" s="121"/>
      <c r="AM2133" s="122"/>
      <c r="AN2133" s="121"/>
      <c r="AP2133" s="87"/>
    </row>
    <row r="2134" spans="1:42">
      <c r="A2134" s="71"/>
      <c r="B2134" s="71"/>
      <c r="C2134" s="71"/>
      <c r="D2134" s="71"/>
      <c r="E2134" s="71"/>
      <c r="F2134" s="71"/>
      <c r="G2134" s="95">
        <v>4500</v>
      </c>
      <c r="H2134" s="102"/>
      <c r="I2134" s="104">
        <v>745.15876529759089</v>
      </c>
      <c r="J2134" s="105">
        <v>26.515568605575023</v>
      </c>
      <c r="K2134" s="105">
        <v>-4.7294955273898012</v>
      </c>
      <c r="L2134" s="105">
        <v>0.34038178169634037</v>
      </c>
      <c r="M2134" s="105">
        <v>-0.1302121375672132</v>
      </c>
      <c r="N2134" s="105">
        <v>-2.9913450549311819E-3</v>
      </c>
      <c r="O2134" s="105">
        <v>1.4684041095671572E-3</v>
      </c>
      <c r="P2134" s="105">
        <v>-1.4675475282455992E-3</v>
      </c>
      <c r="Q2134" s="105">
        <v>-2.7405602449197773E-4</v>
      </c>
      <c r="R2134" s="105">
        <v>-5.6933295836526925E-5</v>
      </c>
      <c r="S2134" s="105">
        <v>38.494240240092971</v>
      </c>
      <c r="T2134" s="105">
        <v>-3.9944897308174823</v>
      </c>
      <c r="U2134" s="105">
        <v>3.5706031566130405</v>
      </c>
      <c r="V2134" s="105">
        <v>-0.14330422103213308</v>
      </c>
      <c r="W2134" s="105">
        <v>0.15169123701925966</v>
      </c>
      <c r="X2134" s="105">
        <v>-5.8709698745685777E-4</v>
      </c>
      <c r="Y2134" s="105">
        <v>-1.1552930185225914E-3</v>
      </c>
      <c r="Z2134" s="105">
        <v>1.7309252854131431E-3</v>
      </c>
      <c r="AA2134" s="105">
        <v>-1.9117309042685347E-4</v>
      </c>
      <c r="AB2134" s="105">
        <v>-1.0431699073434432E-4</v>
      </c>
      <c r="AC2134" s="119"/>
      <c r="AD2134" s="119"/>
      <c r="AE2134" s="120"/>
      <c r="AF2134" s="119"/>
      <c r="AG2134" s="119"/>
      <c r="AH2134" s="120"/>
      <c r="AI2134" s="121"/>
      <c r="AJ2134" s="121"/>
      <c r="AK2134" s="121"/>
      <c r="AL2134" s="121"/>
      <c r="AM2134" s="122"/>
      <c r="AN2134" s="121"/>
      <c r="AP2134" s="87"/>
    </row>
    <row r="2135" spans="1:42">
      <c r="A2135" s="71" t="s">
        <v>43</v>
      </c>
      <c r="B2135" s="71" t="s">
        <v>44</v>
      </c>
      <c r="C2135" s="71" t="s">
        <v>45</v>
      </c>
      <c r="D2135" s="71" t="s">
        <v>46</v>
      </c>
      <c r="E2135" s="71" t="s">
        <v>47</v>
      </c>
      <c r="F2135" s="71" t="s">
        <v>165</v>
      </c>
      <c r="G2135" s="95"/>
      <c r="H2135" s="71" t="str">
        <f>CONCATENATE(A2135," ",B2135," ",C2135," ",D2135," ",E2135," ",F2135)</f>
        <v>Embraco Isobutane 50 Hz 230V VSD VEMZ9C</v>
      </c>
      <c r="I2135" s="104"/>
      <c r="J2135" s="105"/>
      <c r="K2135" s="105"/>
      <c r="L2135" s="105"/>
      <c r="M2135" s="105"/>
      <c r="N2135" s="105"/>
      <c r="O2135" s="105"/>
      <c r="P2135" s="105"/>
      <c r="Q2135" s="105"/>
      <c r="R2135" s="105"/>
      <c r="S2135" s="105"/>
      <c r="T2135" s="105"/>
      <c r="U2135" s="105"/>
      <c r="V2135" s="105"/>
      <c r="W2135" s="105"/>
      <c r="X2135" s="105"/>
      <c r="Y2135" s="105"/>
      <c r="Z2135" s="105"/>
      <c r="AA2135" s="105"/>
      <c r="AB2135" s="105"/>
      <c r="AC2135" s="119"/>
      <c r="AD2135" s="119"/>
      <c r="AE2135" s="120"/>
      <c r="AF2135" s="119"/>
      <c r="AG2135" s="119"/>
      <c r="AH2135" s="120"/>
      <c r="AI2135" s="121"/>
      <c r="AJ2135" s="121"/>
      <c r="AK2135" s="121"/>
      <c r="AL2135" s="121"/>
      <c r="AM2135" s="122"/>
      <c r="AN2135" s="121"/>
      <c r="AP2135" s="87"/>
    </row>
    <row r="2136" spans="1:42">
      <c r="A2136" s="71"/>
      <c r="B2136" s="71"/>
      <c r="C2136" s="71"/>
      <c r="D2136" s="71"/>
      <c r="E2136" s="71"/>
      <c r="F2136" s="71"/>
      <c r="G2136" s="95">
        <v>1600</v>
      </c>
      <c r="H2136" s="102"/>
      <c r="I2136" s="104">
        <v>342.93338761990094</v>
      </c>
      <c r="J2136" s="105">
        <v>12.469320657710933</v>
      </c>
      <c r="K2136" s="105">
        <v>-2.0551710820618467</v>
      </c>
      <c r="L2136" s="105">
        <v>0.16416904374020597</v>
      </c>
      <c r="M2136" s="105">
        <v>-6.2841692732178808E-2</v>
      </c>
      <c r="N2136" s="105">
        <v>-2.5558258246745672E-3</v>
      </c>
      <c r="O2136" s="105">
        <v>6.4843469782526169E-4</v>
      </c>
      <c r="P2136" s="105">
        <v>-8.8033016493753457E-4</v>
      </c>
      <c r="Q2136" s="105">
        <v>-2.0819660239929948E-4</v>
      </c>
      <c r="R2136" s="105">
        <v>-3.9238318562457547E-5</v>
      </c>
      <c r="S2136" s="105">
        <v>4.5545379210150472</v>
      </c>
      <c r="T2136" s="105">
        <v>-2.0881630307496248</v>
      </c>
      <c r="U2136" s="105">
        <v>1.8536304832073951</v>
      </c>
      <c r="V2136" s="105">
        <v>-5.176826119937393E-2</v>
      </c>
      <c r="W2136" s="105">
        <v>8.4686943796913383E-2</v>
      </c>
      <c r="X2136" s="105">
        <v>-5.8892093793355747E-4</v>
      </c>
      <c r="Y2136" s="105">
        <v>-4.1781805924064389E-4</v>
      </c>
      <c r="Z2136" s="105">
        <v>5.7863571697124906E-4</v>
      </c>
      <c r="AA2136" s="105">
        <v>-3.8634203175438072E-4</v>
      </c>
      <c r="AB2136" s="105">
        <v>-9.8508066006207877E-5</v>
      </c>
      <c r="AC2136" s="119"/>
      <c r="AD2136" s="119"/>
      <c r="AE2136" s="120"/>
      <c r="AF2136" s="119"/>
      <c r="AG2136" s="119"/>
      <c r="AH2136" s="120"/>
      <c r="AI2136" s="121"/>
      <c r="AJ2136" s="121"/>
      <c r="AK2136" s="121"/>
      <c r="AL2136" s="121"/>
      <c r="AM2136" s="122"/>
      <c r="AN2136" s="121"/>
      <c r="AP2136" s="87"/>
    </row>
    <row r="2137" spans="1:42">
      <c r="A2137" s="71"/>
      <c r="B2137" s="71"/>
      <c r="C2137" s="71"/>
      <c r="D2137" s="71"/>
      <c r="E2137" s="71"/>
      <c r="F2137" s="71"/>
      <c r="G2137" s="95">
        <v>4500</v>
      </c>
      <c r="H2137" s="102"/>
      <c r="I2137" s="104">
        <v>969.84984381176127</v>
      </c>
      <c r="J2137" s="105">
        <v>34.563675284837281</v>
      </c>
      <c r="K2137" s="105">
        <v>-6.4039750689516897</v>
      </c>
      <c r="L2137" s="105">
        <v>0.44940804938316131</v>
      </c>
      <c r="M2137" s="105">
        <v>-0.17399423723003296</v>
      </c>
      <c r="N2137" s="105">
        <v>-2.7844772185537923E-3</v>
      </c>
      <c r="O2137" s="105">
        <v>2.0306150729665273E-3</v>
      </c>
      <c r="P2137" s="105">
        <v>-1.9298465320891477E-3</v>
      </c>
      <c r="Q2137" s="105">
        <v>-3.2048392599319118E-4</v>
      </c>
      <c r="R2137" s="105">
        <v>-4.5245721716318284E-5</v>
      </c>
      <c r="S2137" s="105">
        <v>51.266901522225076</v>
      </c>
      <c r="T2137" s="105">
        <v>-6.7520180284698146</v>
      </c>
      <c r="U2137" s="105">
        <v>5.1514407577929706</v>
      </c>
      <c r="V2137" s="105">
        <v>-0.20882958094864265</v>
      </c>
      <c r="W2137" s="105">
        <v>0.29193628534247767</v>
      </c>
      <c r="X2137" s="105">
        <v>-6.1578792907170576E-4</v>
      </c>
      <c r="Y2137" s="105">
        <v>-1.6479193521810997E-3</v>
      </c>
      <c r="Z2137" s="105">
        <v>2.8927583165570983E-3</v>
      </c>
      <c r="AA2137" s="105">
        <v>-1.1358180829141014E-3</v>
      </c>
      <c r="AB2137" s="105">
        <v>-2.7276963831402497E-4</v>
      </c>
      <c r="AC2137" s="119"/>
      <c r="AD2137" s="119"/>
      <c r="AE2137" s="120"/>
      <c r="AF2137" s="119"/>
      <c r="AG2137" s="119"/>
      <c r="AH2137" s="120"/>
      <c r="AI2137" s="121"/>
      <c r="AJ2137" s="121"/>
      <c r="AK2137" s="121"/>
      <c r="AL2137" s="121"/>
      <c r="AM2137" s="122"/>
      <c r="AN2137" s="121"/>
      <c r="AP2137" s="87"/>
    </row>
    <row r="2138" spans="1:42">
      <c r="A2138" s="93" t="s">
        <v>43</v>
      </c>
      <c r="B2138" s="93" t="s">
        <v>44</v>
      </c>
      <c r="C2138" s="93" t="s">
        <v>105</v>
      </c>
      <c r="D2138" s="93" t="s">
        <v>101</v>
      </c>
      <c r="E2138" s="93" t="s">
        <v>47</v>
      </c>
      <c r="F2138" s="93" t="s">
        <v>167</v>
      </c>
      <c r="G2138" s="95"/>
      <c r="H2138" s="93" t="str">
        <f>CONCATENATE(A2138," ",B2138," ",C2138," ",D2138," ",E2138," ",F2138)</f>
        <v>Embraco Isobutane 60 Hz 115V VSD VESA9C</v>
      </c>
      <c r="I2138" s="103"/>
      <c r="J2138" s="103"/>
      <c r="K2138" s="103"/>
      <c r="L2138" s="103"/>
      <c r="M2138" s="103"/>
      <c r="N2138" s="103"/>
      <c r="O2138" s="103"/>
      <c r="P2138" s="103"/>
      <c r="Q2138" s="103"/>
      <c r="R2138" s="103"/>
      <c r="S2138" s="103"/>
      <c r="T2138" s="103"/>
      <c r="U2138" s="103"/>
      <c r="V2138" s="103"/>
      <c r="W2138" s="103"/>
      <c r="X2138" s="103"/>
      <c r="Y2138" s="103"/>
      <c r="Z2138" s="103"/>
      <c r="AA2138" s="103"/>
      <c r="AB2138" s="103"/>
      <c r="AC2138" s="119"/>
      <c r="AD2138" s="119"/>
      <c r="AE2138" s="120"/>
      <c r="AF2138" s="119"/>
      <c r="AG2138" s="119"/>
      <c r="AH2138" s="120"/>
      <c r="AI2138" s="121"/>
      <c r="AJ2138" s="121"/>
      <c r="AK2138" s="121"/>
      <c r="AL2138" s="121"/>
      <c r="AM2138" s="122"/>
      <c r="AN2138" s="121"/>
      <c r="AP2138" s="87"/>
    </row>
    <row r="2139" spans="1:42">
      <c r="A2139" s="93"/>
      <c r="B2139" s="93"/>
      <c r="C2139" s="93"/>
      <c r="D2139" s="93"/>
      <c r="E2139" s="93"/>
      <c r="F2139" s="93"/>
      <c r="G2139" s="95">
        <v>1300</v>
      </c>
      <c r="H2139" s="93"/>
      <c r="I2139" s="103">
        <v>2.4061185975575561</v>
      </c>
      <c r="J2139" s="103">
        <v>6.496779917024921</v>
      </c>
      <c r="K2139" s="103">
        <v>14.567148822212062</v>
      </c>
      <c r="L2139" s="103">
        <v>0.13663851224816387</v>
      </c>
      <c r="M2139" s="103">
        <v>0.12362247941006482</v>
      </c>
      <c r="N2139" s="103">
        <v>-0.30750095614291534</v>
      </c>
      <c r="O2139" s="103">
        <v>5.8059640305730624E-4</v>
      </c>
      <c r="P2139" s="103">
        <v>-6.4756260997573287E-4</v>
      </c>
      <c r="Q2139" s="103">
        <v>-2.1524527681252149E-3</v>
      </c>
      <c r="R2139" s="103">
        <v>1.7537800213797031E-3</v>
      </c>
      <c r="S2139" s="103">
        <v>0.15988554860568061</v>
      </c>
      <c r="T2139" s="103">
        <v>-3.7414143158254833</v>
      </c>
      <c r="U2139" s="103">
        <v>0.18137021180656412</v>
      </c>
      <c r="V2139" s="103">
        <v>-6.1503138126044229E-2</v>
      </c>
      <c r="W2139" s="103">
        <v>0.14290933606333098</v>
      </c>
      <c r="X2139" s="103">
        <v>5.8211014086916105E-2</v>
      </c>
      <c r="Y2139" s="103">
        <v>-8.5300355156876101E-4</v>
      </c>
      <c r="Z2139" s="103">
        <v>2.0528370527209651E-4</v>
      </c>
      <c r="AA2139" s="103">
        <v>-1.1722423178683356E-3</v>
      </c>
      <c r="AB2139" s="103">
        <v>-7.0660928669254457E-4</v>
      </c>
      <c r="AC2139" s="119">
        <v>1.4096440747078639E-2</v>
      </c>
      <c r="AD2139" s="119">
        <v>0.49087723043964088</v>
      </c>
      <c r="AE2139" s="120">
        <v>7.36226431125788E-3</v>
      </c>
      <c r="AF2139" s="119">
        <v>4.9591997383803529E-2</v>
      </c>
      <c r="AG2139" s="119">
        <v>1.4551007109152645</v>
      </c>
      <c r="AH2139" s="120">
        <v>1.3325900493159877E-2</v>
      </c>
      <c r="AI2139" s="121">
        <v>-35</v>
      </c>
      <c r="AJ2139" s="121">
        <v>-10</v>
      </c>
      <c r="AK2139" s="121">
        <v>35</v>
      </c>
      <c r="AL2139" s="121">
        <v>55</v>
      </c>
      <c r="AM2139" s="122">
        <v>43271</v>
      </c>
      <c r="AN2139" s="121" t="s">
        <v>692</v>
      </c>
      <c r="AP2139" s="87"/>
    </row>
    <row r="2140" spans="1:42">
      <c r="A2140" s="93"/>
      <c r="B2140" s="93"/>
      <c r="C2140" s="93"/>
      <c r="D2140" s="93"/>
      <c r="E2140" s="93"/>
      <c r="F2140" s="93"/>
      <c r="G2140" s="95">
        <v>1600</v>
      </c>
      <c r="H2140" s="93"/>
      <c r="I2140" s="103">
        <v>1.555331770892064</v>
      </c>
      <c r="J2140" s="103">
        <v>17.480682753436259</v>
      </c>
      <c r="K2140" s="103">
        <v>23.338203101119465</v>
      </c>
      <c r="L2140" s="103">
        <v>0.20776267406936028</v>
      </c>
      <c r="M2140" s="103">
        <v>-0.24109022017913301</v>
      </c>
      <c r="N2140" s="103">
        <v>-0.61622719982574126</v>
      </c>
      <c r="O2140" s="103">
        <v>9.8550045447138137E-4</v>
      </c>
      <c r="P2140" s="103">
        <v>-1.1830707298186441E-3</v>
      </c>
      <c r="Q2140" s="103">
        <v>1.5162684617652524E-3</v>
      </c>
      <c r="R2140" s="103">
        <v>4.7276431118751204E-3</v>
      </c>
      <c r="S2140" s="103">
        <v>0.15555839797084808</v>
      </c>
      <c r="T2140" s="103">
        <v>-1.4277578627552454</v>
      </c>
      <c r="U2140" s="103">
        <v>2.1054586116852589</v>
      </c>
      <c r="V2140" s="103">
        <v>-4.8037714286837563E-2</v>
      </c>
      <c r="W2140" s="103">
        <v>5.648516603376199E-2</v>
      </c>
      <c r="X2140" s="103">
        <v>-1.0777151769320984E-2</v>
      </c>
      <c r="Y2140" s="103">
        <v>-3.970633974673421E-4</v>
      </c>
      <c r="Z2140" s="103">
        <v>6.8688402966533618E-4</v>
      </c>
      <c r="AA2140" s="103">
        <v>4.8102244138247868E-5</v>
      </c>
      <c r="AB2140" s="103">
        <v>2.8601331221295125E-5</v>
      </c>
      <c r="AC2140" s="119">
        <v>2.7314440618387743E-2</v>
      </c>
      <c r="AD2140" s="119">
        <v>0.89987515049029587</v>
      </c>
      <c r="AE2140" s="120">
        <v>7.6242545115943715E-3</v>
      </c>
      <c r="AF2140" s="119">
        <v>3.4995008544577919E-2</v>
      </c>
      <c r="AG2140" s="119">
        <v>1.0863271857166261</v>
      </c>
      <c r="AH2140" s="120">
        <v>1.1181977199003218E-2</v>
      </c>
      <c r="AI2140" s="121">
        <v>-35</v>
      </c>
      <c r="AJ2140" s="121">
        <v>-10</v>
      </c>
      <c r="AK2140" s="121">
        <v>35</v>
      </c>
      <c r="AL2140" s="121">
        <v>55</v>
      </c>
      <c r="AM2140" s="122">
        <v>43271</v>
      </c>
      <c r="AN2140" s="121" t="s">
        <v>692</v>
      </c>
      <c r="AP2140" s="87"/>
    </row>
    <row r="2141" spans="1:42">
      <c r="A2141" s="93"/>
      <c r="B2141" s="93"/>
      <c r="C2141" s="93"/>
      <c r="D2141" s="93"/>
      <c r="E2141" s="93"/>
      <c r="F2141" s="93"/>
      <c r="G2141" s="95">
        <v>2000</v>
      </c>
      <c r="H2141" s="93"/>
      <c r="I2141" s="103">
        <v>3.5967826393394819</v>
      </c>
      <c r="J2141" s="103">
        <v>13.346931409272015</v>
      </c>
      <c r="K2141" s="103">
        <v>25.354406532925928</v>
      </c>
      <c r="L2141" s="103">
        <v>0.16936356754112825</v>
      </c>
      <c r="M2141" s="103">
        <v>-8.45328312449572E-3</v>
      </c>
      <c r="N2141" s="103">
        <v>-0.61641978337643832</v>
      </c>
      <c r="O2141" s="103">
        <v>9.0702605390966624E-4</v>
      </c>
      <c r="P2141" s="103">
        <v>-1.2025460650689549E-4</v>
      </c>
      <c r="Q2141" s="103">
        <v>-6.739377559362216E-4</v>
      </c>
      <c r="R2141" s="103">
        <v>4.375357294513227E-3</v>
      </c>
      <c r="S2141" s="103">
        <v>-2.9297676139410807</v>
      </c>
      <c r="T2141" s="103">
        <v>-1.7659708281388606</v>
      </c>
      <c r="U2141" s="103">
        <v>3.2392982849550078</v>
      </c>
      <c r="V2141" s="103">
        <v>-6.3303435227794094E-2</v>
      </c>
      <c r="W2141" s="103">
        <v>6.5833637528670386E-2</v>
      </c>
      <c r="X2141" s="103">
        <v>-3.5831364457173755E-2</v>
      </c>
      <c r="Y2141" s="103">
        <v>-4.3507998749701108E-4</v>
      </c>
      <c r="Z2141" s="103">
        <v>8.9391762055880295E-4</v>
      </c>
      <c r="AA2141" s="103">
        <v>5.8565852689794132E-5</v>
      </c>
      <c r="AB2141" s="103">
        <v>2.3565565472049321E-4</v>
      </c>
      <c r="AC2141" s="119">
        <v>4.0612078517718517E-2</v>
      </c>
      <c r="AD2141" s="119">
        <v>1.7084099762750833</v>
      </c>
      <c r="AE2141" s="120">
        <v>6.8170921278797383E-3</v>
      </c>
      <c r="AF2141" s="119">
        <v>2.5939232182422386E-2</v>
      </c>
      <c r="AG2141" s="119">
        <v>0.97146136233810421</v>
      </c>
      <c r="AH2141" s="120">
        <v>7.3767581400929318E-3</v>
      </c>
      <c r="AI2141" s="121">
        <v>-35</v>
      </c>
      <c r="AJ2141" s="121">
        <v>-10</v>
      </c>
      <c r="AK2141" s="121">
        <v>35</v>
      </c>
      <c r="AL2141" s="121">
        <v>55</v>
      </c>
      <c r="AM2141" s="122">
        <v>43271</v>
      </c>
      <c r="AN2141" s="121" t="s">
        <v>692</v>
      </c>
      <c r="AP2141" s="87"/>
    </row>
    <row r="2142" spans="1:42">
      <c r="A2142" s="93"/>
      <c r="B2142" s="93"/>
      <c r="C2142" s="93"/>
      <c r="D2142" s="93"/>
      <c r="E2142" s="93"/>
      <c r="F2142" s="93"/>
      <c r="G2142" s="95">
        <v>3000</v>
      </c>
      <c r="H2142" s="93"/>
      <c r="I2142" s="103">
        <v>1.874744977984014</v>
      </c>
      <c r="J2142" s="103">
        <v>23.265126595857371</v>
      </c>
      <c r="K2142" s="103">
        <v>41.526602204803915</v>
      </c>
      <c r="L2142" s="103">
        <v>0.29149474535064179</v>
      </c>
      <c r="M2142" s="103">
        <v>-0.11309712449005452</v>
      </c>
      <c r="N2142" s="103">
        <v>-1.0573204888816381</v>
      </c>
      <c r="O2142" s="103">
        <v>1.6053981311910694E-3</v>
      </c>
      <c r="P2142" s="103">
        <v>-5.7037032113843372E-4</v>
      </c>
      <c r="Q2142" s="103">
        <v>-1.2453335706573391E-4</v>
      </c>
      <c r="R2142" s="103">
        <v>7.8753579985913844E-3</v>
      </c>
      <c r="S2142" s="103">
        <v>3.9758060785686822</v>
      </c>
      <c r="T2142" s="103">
        <v>-1.8600944231530869</v>
      </c>
      <c r="U2142" s="103">
        <v>5.5616109097331607</v>
      </c>
      <c r="V2142" s="103">
        <v>-5.9378799170973051E-2</v>
      </c>
      <c r="W2142" s="103">
        <v>0.11712393850484634</v>
      </c>
      <c r="X2142" s="103">
        <v>-7.2777412937699668E-2</v>
      </c>
      <c r="Y2142" s="103">
        <v>-3.468880286601687E-4</v>
      </c>
      <c r="Z2142" s="103">
        <v>1.1358018585942336E-3</v>
      </c>
      <c r="AA2142" s="103">
        <v>-2.780125497045313E-4</v>
      </c>
      <c r="AB2142" s="103">
        <v>4.645113944747084E-4</v>
      </c>
      <c r="AC2142" s="119">
        <v>1.8755694740668055E-2</v>
      </c>
      <c r="AD2142" s="119">
        <v>0.54340737558637797</v>
      </c>
      <c r="AE2142" s="120">
        <v>2.8051415769687637E-3</v>
      </c>
      <c r="AF2142" s="119">
        <v>3.2053338562853043E-2</v>
      </c>
      <c r="AG2142" s="119">
        <v>1.0375280882716575</v>
      </c>
      <c r="AH2142" s="120">
        <v>5.2731567431576068E-3</v>
      </c>
      <c r="AI2142" s="121">
        <v>-35</v>
      </c>
      <c r="AJ2142" s="121">
        <v>-10</v>
      </c>
      <c r="AK2142" s="121">
        <v>35</v>
      </c>
      <c r="AL2142" s="121">
        <v>55</v>
      </c>
      <c r="AM2142" s="122">
        <v>43271</v>
      </c>
      <c r="AN2142" s="121" t="s">
        <v>692</v>
      </c>
      <c r="AP2142" s="87"/>
    </row>
    <row r="2143" spans="1:42">
      <c r="A2143" s="93"/>
      <c r="B2143" s="93"/>
      <c r="C2143" s="93"/>
      <c r="D2143" s="93"/>
      <c r="E2143" s="93"/>
      <c r="F2143" s="93"/>
      <c r="G2143" s="95">
        <v>4500</v>
      </c>
      <c r="H2143" s="93"/>
      <c r="I2143" s="103">
        <v>-0.34126690840248075</v>
      </c>
      <c r="J2143" s="103">
        <v>39.536958699018093</v>
      </c>
      <c r="K2143" s="103">
        <v>59.551408848519415</v>
      </c>
      <c r="L2143" s="103">
        <v>0.5327721325664494</v>
      </c>
      <c r="M2143" s="103">
        <v>-0.39940364104341242</v>
      </c>
      <c r="N2143" s="103">
        <v>-1.5493423264143438</v>
      </c>
      <c r="O2143" s="103">
        <v>3.2292447729745581E-3</v>
      </c>
      <c r="P2143" s="103">
        <v>-1.8905108430269646E-3</v>
      </c>
      <c r="Q2143" s="103">
        <v>2.2745701422874024E-3</v>
      </c>
      <c r="R2143" s="103">
        <v>1.1863018731527456E-2</v>
      </c>
      <c r="S2143" s="103">
        <v>2.8166011529694046</v>
      </c>
      <c r="T2143" s="103">
        <v>5.5169838890239546</v>
      </c>
      <c r="U2143" s="103">
        <v>12.775339393865844</v>
      </c>
      <c r="V2143" s="103">
        <v>3.2545002394664728E-2</v>
      </c>
      <c r="W2143" s="103">
        <v>-6.4956870341679282E-2</v>
      </c>
      <c r="X2143" s="103">
        <v>-0.2631178129772288</v>
      </c>
      <c r="Y2143" s="103">
        <v>-2.7637271101838267E-4</v>
      </c>
      <c r="Z2143" s="103">
        <v>-5.8092394733274253E-4</v>
      </c>
      <c r="AA2143" s="103">
        <v>8.8740563532787426E-4</v>
      </c>
      <c r="AB2143" s="103">
        <v>1.9572174873980675E-3</v>
      </c>
      <c r="AC2143" s="119">
        <v>3.3672156493139406E-2</v>
      </c>
      <c r="AD2143" s="119">
        <v>0.84899518471939228</v>
      </c>
      <c r="AE2143" s="120">
        <v>2.1043289589967283E-3</v>
      </c>
      <c r="AF2143" s="119">
        <v>2.5849433878817777E-2</v>
      </c>
      <c r="AG2143" s="119">
        <v>0.85101181873294907</v>
      </c>
      <c r="AH2143" s="120">
        <v>3.1189808870165105E-3</v>
      </c>
      <c r="AI2143" s="121">
        <v>-35</v>
      </c>
      <c r="AJ2143" s="121">
        <v>-10</v>
      </c>
      <c r="AK2143" s="121">
        <v>35</v>
      </c>
      <c r="AL2143" s="121">
        <v>55</v>
      </c>
      <c r="AM2143" s="122">
        <v>43271</v>
      </c>
      <c r="AN2143" s="121" t="s">
        <v>692</v>
      </c>
      <c r="AP2143" s="87"/>
    </row>
    <row r="2144" spans="1:42">
      <c r="A2144" s="93" t="s">
        <v>43</v>
      </c>
      <c r="B2144" s="93" t="s">
        <v>44</v>
      </c>
      <c r="C2144" s="93" t="s">
        <v>45</v>
      </c>
      <c r="D2144" s="93" t="s">
        <v>46</v>
      </c>
      <c r="E2144" s="93" t="s">
        <v>47</v>
      </c>
      <c r="F2144" s="93" t="s">
        <v>169</v>
      </c>
      <c r="G2144" s="95"/>
      <c r="H2144" s="93" t="str">
        <f>CONCATENATE(A2144," ",B2144," ",C2144," ",D2144," ",E2144," ",F2144)</f>
        <v>Embraco Isobutane 50 Hz 230V VSD VESA11C</v>
      </c>
      <c r="I2144" s="103"/>
      <c r="J2144" s="103"/>
      <c r="K2144" s="103"/>
      <c r="L2144" s="103"/>
      <c r="M2144" s="103"/>
      <c r="N2144" s="103"/>
      <c r="O2144" s="103"/>
      <c r="P2144" s="103"/>
      <c r="Q2144" s="103"/>
      <c r="R2144" s="103"/>
      <c r="S2144" s="103"/>
      <c r="T2144" s="103"/>
      <c r="U2144" s="103"/>
      <c r="V2144" s="103"/>
      <c r="W2144" s="103"/>
      <c r="X2144" s="103"/>
      <c r="Y2144" s="103"/>
      <c r="Z2144" s="103"/>
      <c r="AA2144" s="103"/>
      <c r="AB2144" s="103"/>
      <c r="AC2144" s="119"/>
      <c r="AD2144" s="119"/>
      <c r="AE2144" s="120"/>
      <c r="AF2144" s="119"/>
      <c r="AG2144" s="119"/>
      <c r="AH2144" s="120"/>
      <c r="AI2144" s="121"/>
      <c r="AJ2144" s="121"/>
      <c r="AK2144" s="121"/>
      <c r="AL2144" s="121"/>
      <c r="AM2144" s="122"/>
      <c r="AN2144" s="121"/>
      <c r="AP2144" s="87"/>
    </row>
    <row r="2145" spans="1:42">
      <c r="A2145" s="93"/>
      <c r="B2145" s="93"/>
      <c r="C2145" s="93"/>
      <c r="D2145" s="93"/>
      <c r="E2145" s="93"/>
      <c r="F2145" s="93"/>
      <c r="G2145" s="95">
        <v>1300</v>
      </c>
      <c r="H2145" s="93"/>
      <c r="I2145" s="103">
        <v>0.97435901818887838</v>
      </c>
      <c r="J2145" s="103">
        <v>12.683828566491073</v>
      </c>
      <c r="K2145" s="103">
        <v>21.805132685874195</v>
      </c>
      <c r="L2145" s="103">
        <v>0.16153449645616588</v>
      </c>
      <c r="M2145" s="103">
        <v>-6.6439821417678444E-2</v>
      </c>
      <c r="N2145" s="103">
        <v>-0.54415586831447926</v>
      </c>
      <c r="O2145" s="103">
        <v>7.1360690210074251E-4</v>
      </c>
      <c r="P2145" s="103">
        <v>-6.2599147651777999E-4</v>
      </c>
      <c r="Q2145" s="103">
        <v>-1.4017880812979106E-4</v>
      </c>
      <c r="R2145" s="103">
        <v>3.9474118461738598E-3</v>
      </c>
      <c r="S2145" s="103">
        <v>0.17291317750167329</v>
      </c>
      <c r="T2145" s="103">
        <v>-1.7935677269583297</v>
      </c>
      <c r="U2145" s="103">
        <v>2.1382561568014546</v>
      </c>
      <c r="V2145" s="103">
        <v>-7.6573434597735635E-2</v>
      </c>
      <c r="W2145" s="103">
        <v>3.9126757057381563E-2</v>
      </c>
      <c r="X2145" s="103">
        <v>-2.2222806185473738E-2</v>
      </c>
      <c r="Y2145" s="103">
        <v>-6.6723745527905512E-4</v>
      </c>
      <c r="Z2145" s="103">
        <v>7.557565910395604E-4</v>
      </c>
      <c r="AA2145" s="103">
        <v>2.3366258512610164E-4</v>
      </c>
      <c r="AB2145" s="103">
        <v>1.8469861846632103E-4</v>
      </c>
      <c r="AC2145" s="119">
        <v>1.7553346551126437E-2</v>
      </c>
      <c r="AD2145" s="119">
        <v>0.60295268433538718</v>
      </c>
      <c r="AE2145" s="120">
        <v>6.093899412878097E-3</v>
      </c>
      <c r="AF2145" s="119">
        <v>2.4594348013946148E-2</v>
      </c>
      <c r="AG2145" s="119">
        <v>1.1374057980014067</v>
      </c>
      <c r="AH2145" s="120">
        <v>9.6462850689157647E-3</v>
      </c>
      <c r="AI2145" s="121">
        <v>-35</v>
      </c>
      <c r="AJ2145" s="121">
        <v>-10</v>
      </c>
      <c r="AK2145" s="121">
        <v>35</v>
      </c>
      <c r="AL2145" s="121">
        <v>55</v>
      </c>
      <c r="AM2145" s="122">
        <v>43271</v>
      </c>
      <c r="AN2145" s="121" t="s">
        <v>692</v>
      </c>
      <c r="AP2145" s="87"/>
    </row>
    <row r="2146" spans="1:42">
      <c r="A2146" s="93"/>
      <c r="B2146" s="93"/>
      <c r="C2146" s="93"/>
      <c r="D2146" s="93"/>
      <c r="E2146" s="93"/>
      <c r="F2146" s="93"/>
      <c r="G2146" s="95">
        <v>1600</v>
      </c>
      <c r="H2146" s="93"/>
      <c r="I2146" s="103">
        <v>2.2849128177902478</v>
      </c>
      <c r="J2146" s="103">
        <v>15.892981539926971</v>
      </c>
      <c r="K2146" s="103">
        <v>27.530015385651133</v>
      </c>
      <c r="L2146" s="103">
        <v>0.17617678098006162</v>
      </c>
      <c r="M2146" s="103">
        <v>-0.10473578337590973</v>
      </c>
      <c r="N2146" s="103">
        <v>-0.69952131903452552</v>
      </c>
      <c r="O2146" s="103">
        <v>7.7349051399003082E-4</v>
      </c>
      <c r="P2146" s="103">
        <v>-3.1876759770750043E-4</v>
      </c>
      <c r="Q2146" s="103">
        <v>2.5781592191649963E-4</v>
      </c>
      <c r="R2146" s="103">
        <v>5.1997020797268549E-3</v>
      </c>
      <c r="S2146" s="103">
        <v>-9.521803418177841</v>
      </c>
      <c r="T2146" s="103">
        <v>-1.5302731977651893</v>
      </c>
      <c r="U2146" s="103">
        <v>3.8261778163587867</v>
      </c>
      <c r="V2146" s="103">
        <v>-6.3630719789782034E-2</v>
      </c>
      <c r="W2146" s="103">
        <v>5.5997299450125965E-2</v>
      </c>
      <c r="X2146" s="103">
        <v>-5.4079387801451544E-2</v>
      </c>
      <c r="Y2146" s="103">
        <v>-5.3266497839840176E-4</v>
      </c>
      <c r="Z2146" s="103">
        <v>7.7878597917480693E-4</v>
      </c>
      <c r="AA2146" s="103">
        <v>8.6964689701013169E-5</v>
      </c>
      <c r="AB2146" s="103">
        <v>3.9691604306506652E-4</v>
      </c>
      <c r="AC2146" s="119">
        <v>1.8336524183371571E-2</v>
      </c>
      <c r="AD2146" s="119">
        <v>0.6397010522488833</v>
      </c>
      <c r="AE2146" s="120">
        <v>4.3452851961050254E-3</v>
      </c>
      <c r="AF2146" s="119">
        <v>4.4256816386930797E-2</v>
      </c>
      <c r="AG2146" s="119">
        <v>1.4387918679718839</v>
      </c>
      <c r="AH2146" s="120">
        <v>9.3211571657225226E-3</v>
      </c>
      <c r="AI2146" s="121">
        <v>-35</v>
      </c>
      <c r="AJ2146" s="121">
        <v>-10</v>
      </c>
      <c r="AK2146" s="121">
        <v>35</v>
      </c>
      <c r="AL2146" s="121">
        <v>55</v>
      </c>
      <c r="AM2146" s="122">
        <v>43271</v>
      </c>
      <c r="AN2146" s="121" t="s">
        <v>692</v>
      </c>
      <c r="AP2146" s="87"/>
    </row>
    <row r="2147" spans="1:42">
      <c r="A2147" s="93"/>
      <c r="B2147" s="93"/>
      <c r="C2147" s="93"/>
      <c r="D2147" s="93"/>
      <c r="E2147" s="93"/>
      <c r="F2147" s="93"/>
      <c r="G2147" s="95">
        <v>2000</v>
      </c>
      <c r="H2147" s="93"/>
      <c r="I2147" s="103">
        <v>3.9987128284733426</v>
      </c>
      <c r="J2147" s="103">
        <v>20.085051225190476</v>
      </c>
      <c r="K2147" s="103">
        <v>34.422958256549116</v>
      </c>
      <c r="L2147" s="103">
        <v>0.20913152699155282</v>
      </c>
      <c r="M2147" s="103">
        <v>-0.15874893856012395</v>
      </c>
      <c r="N2147" s="103">
        <v>-0.88300392143843309</v>
      </c>
      <c r="O2147" s="103">
        <v>4.5236657638121213E-4</v>
      </c>
      <c r="P2147" s="103">
        <v>-1.0053502080319282E-3</v>
      </c>
      <c r="Q2147" s="103">
        <v>4.3911346578386659E-4</v>
      </c>
      <c r="R2147" s="103">
        <v>6.6363581865683833E-3</v>
      </c>
      <c r="S2147" s="103">
        <v>0.18421070062976364</v>
      </c>
      <c r="T2147" s="103">
        <v>-1.4304569865522379</v>
      </c>
      <c r="U2147" s="103">
        <v>4.3402737371355133</v>
      </c>
      <c r="V2147" s="103">
        <v>-8.0592928827937504E-2</v>
      </c>
      <c r="W2147" s="103">
        <v>4.9653765150482573E-2</v>
      </c>
      <c r="X2147" s="103">
        <v>-6.2385583039196897E-2</v>
      </c>
      <c r="Y2147" s="103">
        <v>-8.8549412253303462E-4</v>
      </c>
      <c r="Z2147" s="103">
        <v>6.4680132278135136E-4</v>
      </c>
      <c r="AA2147" s="103">
        <v>1.5763193039785358E-4</v>
      </c>
      <c r="AB2147" s="103">
        <v>4.5634732018776434E-4</v>
      </c>
      <c r="AC2147" s="119">
        <v>2.4258397729839377E-2</v>
      </c>
      <c r="AD2147" s="119">
        <v>0.83636823579166242</v>
      </c>
      <c r="AE2147" s="120">
        <v>4.0610382882603022E-3</v>
      </c>
      <c r="AF2147" s="119">
        <v>4.0152270696720442E-2</v>
      </c>
      <c r="AG2147" s="119">
        <v>1.5599505716118167</v>
      </c>
      <c r="AH2147" s="120">
        <v>7.2536897290649081E-3</v>
      </c>
      <c r="AI2147" s="121">
        <v>-35</v>
      </c>
      <c r="AJ2147" s="121">
        <v>-10</v>
      </c>
      <c r="AK2147" s="121">
        <v>35</v>
      </c>
      <c r="AL2147" s="121">
        <v>55</v>
      </c>
      <c r="AM2147" s="122">
        <v>43271</v>
      </c>
      <c r="AN2147" s="121" t="s">
        <v>692</v>
      </c>
      <c r="AP2147" s="87"/>
    </row>
    <row r="2148" spans="1:42">
      <c r="A2148" s="93"/>
      <c r="B2148" s="93"/>
      <c r="C2148" s="93"/>
      <c r="D2148" s="93"/>
      <c r="E2148" s="93"/>
      <c r="F2148" s="93"/>
      <c r="G2148" s="95">
        <v>3000</v>
      </c>
      <c r="H2148" s="93"/>
      <c r="I2148" s="103">
        <v>2.8879375472085234</v>
      </c>
      <c r="J2148" s="103">
        <v>30.408393341053468</v>
      </c>
      <c r="K2148" s="103">
        <v>51.743266364054733</v>
      </c>
      <c r="L2148" s="103">
        <v>0.33201607611316575</v>
      </c>
      <c r="M2148" s="103">
        <v>-0.25024877025715286</v>
      </c>
      <c r="N2148" s="103">
        <v>-1.3283972234774832</v>
      </c>
      <c r="O2148" s="103">
        <v>6.429024473214906E-4</v>
      </c>
      <c r="P2148" s="103">
        <v>-2.3159500964599023E-3</v>
      </c>
      <c r="Q2148" s="103">
        <v>3.7398903828364972E-4</v>
      </c>
      <c r="R2148" s="103">
        <v>9.9229450306950948E-3</v>
      </c>
      <c r="S2148" s="103">
        <v>0.51945286607591135</v>
      </c>
      <c r="T2148" s="103">
        <v>1.6779807643371421</v>
      </c>
      <c r="U2148" s="103">
        <v>9.409341249222857</v>
      </c>
      <c r="V2148" s="103">
        <v>-8.2879852246325377E-3</v>
      </c>
      <c r="W2148" s="103">
        <v>3.9730514358481489E-2</v>
      </c>
      <c r="X2148" s="103">
        <v>-0.17233263059629236</v>
      </c>
      <c r="Y2148" s="103">
        <v>-3.8074324885361681E-4</v>
      </c>
      <c r="Z2148" s="103">
        <v>4.8819504078639982E-5</v>
      </c>
      <c r="AA2148" s="103">
        <v>7.9596377998806655E-5</v>
      </c>
      <c r="AB2148" s="103">
        <v>1.2488800125348353E-3</v>
      </c>
      <c r="AC2148" s="119">
        <v>1.3549188708609565E-2</v>
      </c>
      <c r="AD2148" s="119">
        <v>0.73343864602030007</v>
      </c>
      <c r="AE2148" s="120">
        <v>2.6041756922676675E-3</v>
      </c>
      <c r="AF2148" s="119">
        <v>4.6813935237905988E-2</v>
      </c>
      <c r="AG2148" s="119">
        <v>1.5162906321923804</v>
      </c>
      <c r="AH2148" s="120">
        <v>4.7484524893389689E-3</v>
      </c>
      <c r="AI2148" s="121">
        <v>-35</v>
      </c>
      <c r="AJ2148" s="121">
        <v>-10</v>
      </c>
      <c r="AK2148" s="121">
        <v>35</v>
      </c>
      <c r="AL2148" s="121">
        <v>55</v>
      </c>
      <c r="AM2148" s="122">
        <v>43272</v>
      </c>
      <c r="AN2148" s="121" t="s">
        <v>692</v>
      </c>
      <c r="AP2148" s="87"/>
    </row>
    <row r="2149" spans="1:42">
      <c r="A2149" s="93"/>
      <c r="B2149" s="93"/>
      <c r="C2149" s="93"/>
      <c r="D2149" s="93"/>
      <c r="E2149" s="93"/>
      <c r="F2149" s="93"/>
      <c r="G2149" s="95">
        <v>4500</v>
      </c>
      <c r="H2149" s="93"/>
      <c r="I2149" s="103">
        <v>3.7318942417406245</v>
      </c>
      <c r="J2149" s="103">
        <v>52.837470239254422</v>
      </c>
      <c r="K2149" s="103">
        <v>73.294746417045076</v>
      </c>
      <c r="L2149" s="103">
        <v>1.1927012832268349</v>
      </c>
      <c r="M2149" s="103">
        <v>-0.10064665669892336</v>
      </c>
      <c r="N2149" s="103">
        <v>-1.7960505359984893</v>
      </c>
      <c r="O2149" s="103">
        <v>1.1348641871541484E-2</v>
      </c>
      <c r="P2149" s="103">
        <v>-1.4781781210553818E-3</v>
      </c>
      <c r="Q2149" s="103">
        <v>-9.9050757791663952E-4</v>
      </c>
      <c r="R2149" s="103">
        <v>1.3211116278714406E-2</v>
      </c>
      <c r="S2149" s="103">
        <v>0.76118838925533583</v>
      </c>
      <c r="T2149" s="103">
        <v>5.2106754824425563</v>
      </c>
      <c r="U2149" s="103">
        <v>15.245502725681723</v>
      </c>
      <c r="V2149" s="103">
        <v>0.10656792598968816</v>
      </c>
      <c r="W2149" s="103">
        <v>6.1215949936643428E-2</v>
      </c>
      <c r="X2149" s="103">
        <v>-0.29719926966550181</v>
      </c>
      <c r="Y2149" s="103">
        <v>1.5781813142777975E-3</v>
      </c>
      <c r="Z2149" s="103">
        <v>1.3320776817247752E-3</v>
      </c>
      <c r="AA2149" s="103">
        <v>6.525354838447866E-4</v>
      </c>
      <c r="AB2149" s="103">
        <v>2.327038447878127E-3</v>
      </c>
      <c r="AC2149" s="119">
        <v>9.626084691880217E-2</v>
      </c>
      <c r="AD2149" s="119">
        <v>2.8413015413754708</v>
      </c>
      <c r="AE2149" s="120">
        <v>3.531658936993962E-3</v>
      </c>
      <c r="AF2149" s="119">
        <v>3.421717059348757E-2</v>
      </c>
      <c r="AG2149" s="119">
        <v>1.3405763630455827</v>
      </c>
      <c r="AH2149" s="120">
        <v>2.837229396014212E-3</v>
      </c>
      <c r="AI2149" s="121">
        <v>-35</v>
      </c>
      <c r="AJ2149" s="121">
        <v>-10</v>
      </c>
      <c r="AK2149" s="121">
        <v>35</v>
      </c>
      <c r="AL2149" s="121">
        <v>55</v>
      </c>
      <c r="AM2149" s="122">
        <v>43272</v>
      </c>
      <c r="AN2149" s="121" t="s">
        <v>692</v>
      </c>
      <c r="AP2149" s="87"/>
    </row>
    <row r="2150" spans="1:42">
      <c r="A2150" s="93" t="s">
        <v>43</v>
      </c>
      <c r="B2150" s="93" t="s">
        <v>44</v>
      </c>
      <c r="C2150" s="93" t="s">
        <v>105</v>
      </c>
      <c r="D2150" s="93" t="s">
        <v>101</v>
      </c>
      <c r="E2150" s="93" t="s">
        <v>47</v>
      </c>
      <c r="F2150" s="93" t="s">
        <v>171</v>
      </c>
      <c r="G2150" s="95"/>
      <c r="H2150" s="93" t="str">
        <f>CONCATENATE(A2150," ",B2150," ",C2150," ",D2150," ",E2150," ",F2150)</f>
        <v>Embraco Isobutane 60 Hz 115V VSD VESC9C</v>
      </c>
      <c r="I2150" s="103"/>
      <c r="J2150" s="103"/>
      <c r="K2150" s="103"/>
      <c r="L2150" s="103"/>
      <c r="M2150" s="103"/>
      <c r="N2150" s="103"/>
      <c r="O2150" s="103"/>
      <c r="P2150" s="103"/>
      <c r="Q2150" s="103"/>
      <c r="R2150" s="103"/>
      <c r="S2150" s="103"/>
      <c r="T2150" s="103"/>
      <c r="U2150" s="103"/>
      <c r="V2150" s="103"/>
      <c r="W2150" s="103"/>
      <c r="X2150" s="103"/>
      <c r="Y2150" s="103"/>
      <c r="Z2150" s="103"/>
      <c r="AA2150" s="103"/>
      <c r="AB2150" s="103"/>
      <c r="AC2150" s="119"/>
      <c r="AD2150" s="119"/>
      <c r="AE2150" s="120"/>
      <c r="AF2150" s="119"/>
      <c r="AG2150" s="119"/>
      <c r="AH2150" s="120"/>
      <c r="AI2150" s="121"/>
      <c r="AJ2150" s="121"/>
      <c r="AK2150" s="121"/>
      <c r="AL2150" s="121"/>
      <c r="AM2150" s="122"/>
      <c r="AN2150" s="121"/>
      <c r="AP2150" s="87"/>
    </row>
    <row r="2151" spans="1:42">
      <c r="A2151" s="93"/>
      <c r="B2151" s="93"/>
      <c r="C2151" s="93"/>
      <c r="D2151" s="93"/>
      <c r="E2151" s="93"/>
      <c r="F2151" s="93"/>
      <c r="G2151" s="95">
        <v>1300</v>
      </c>
      <c r="H2151" s="93"/>
      <c r="I2151" s="103">
        <v>1.2385206955335177</v>
      </c>
      <c r="J2151" s="103">
        <v>7.6123731126055203</v>
      </c>
      <c r="K2151" s="103">
        <v>15.689090084229937</v>
      </c>
      <c r="L2151" s="103">
        <v>0.12193248659299756</v>
      </c>
      <c r="M2151" s="103">
        <v>5.8433857616805529E-2</v>
      </c>
      <c r="N2151" s="103">
        <v>-0.35810431521590252</v>
      </c>
      <c r="O2151" s="103">
        <v>4.4501894763485919E-4</v>
      </c>
      <c r="P2151" s="103">
        <v>-4.2716550874589249E-4</v>
      </c>
      <c r="Q2151" s="103">
        <v>-1.2425892666761624E-3</v>
      </c>
      <c r="R2151" s="103">
        <v>2.3455873579406659E-3</v>
      </c>
      <c r="S2151" s="103">
        <v>-4.1980862004387075E-2</v>
      </c>
      <c r="T2151" s="103">
        <v>-2.5117040498543504</v>
      </c>
      <c r="U2151" s="103">
        <v>0.78058893323723189</v>
      </c>
      <c r="V2151" s="103">
        <v>-3.0387999558338562E-2</v>
      </c>
      <c r="W2151" s="103">
        <v>0.11150788277609806</v>
      </c>
      <c r="X2151" s="103">
        <v>3.0196826550682652E-2</v>
      </c>
      <c r="Y2151" s="103">
        <v>-2.58669785328027E-4</v>
      </c>
      <c r="Z2151" s="103">
        <v>3.8280666381913971E-4</v>
      </c>
      <c r="AA2151" s="103">
        <v>-8.0240191992171888E-4</v>
      </c>
      <c r="AB2151" s="103">
        <v>-4.0783626518450295E-4</v>
      </c>
      <c r="AC2151" s="119">
        <v>3.5920236691316741E-2</v>
      </c>
      <c r="AD2151" s="119">
        <v>1.7994550165651337</v>
      </c>
      <c r="AE2151" s="120">
        <v>1.1628528157899855E-2</v>
      </c>
      <c r="AF2151" s="119">
        <v>2.2230118772728631E-2</v>
      </c>
      <c r="AG2151" s="119">
        <v>0.82776894384938249</v>
      </c>
      <c r="AH2151" s="120">
        <v>1.0420391508380552E-2</v>
      </c>
      <c r="AI2151" s="121">
        <v>-35</v>
      </c>
      <c r="AJ2151" s="121">
        <v>-10</v>
      </c>
      <c r="AK2151" s="121">
        <v>35</v>
      </c>
      <c r="AL2151" s="121">
        <v>55</v>
      </c>
      <c r="AM2151" s="122">
        <v>43272</v>
      </c>
      <c r="AN2151" s="121" t="s">
        <v>692</v>
      </c>
      <c r="AP2151" s="87"/>
    </row>
    <row r="2152" spans="1:42">
      <c r="A2152" s="93"/>
      <c r="B2152" s="93"/>
      <c r="C2152" s="93"/>
      <c r="D2152" s="93"/>
      <c r="E2152" s="93"/>
      <c r="F2152" s="93"/>
      <c r="G2152" s="95">
        <v>1600</v>
      </c>
      <c r="H2152" s="93"/>
      <c r="I2152" s="103">
        <v>-1.389327622840653</v>
      </c>
      <c r="J2152" s="103">
        <v>7.5284603614586212</v>
      </c>
      <c r="K2152" s="103">
        <v>18.170849369576793</v>
      </c>
      <c r="L2152" s="103">
        <v>0.18903245673258051</v>
      </c>
      <c r="M2152" s="103">
        <v>0.19272237502193909</v>
      </c>
      <c r="N2152" s="103">
        <v>-0.37535186617550242</v>
      </c>
      <c r="O2152" s="103">
        <v>1.1277221875353879E-3</v>
      </c>
      <c r="P2152" s="103">
        <v>-5.3425441527020457E-4</v>
      </c>
      <c r="Q2152" s="103">
        <v>-2.897603708819562E-3</v>
      </c>
      <c r="R2152" s="103">
        <v>2.1075423594818688E-3</v>
      </c>
      <c r="S2152" s="103">
        <v>-2.9484092711716342E-2</v>
      </c>
      <c r="T2152" s="103">
        <v>-3.013165690016987</v>
      </c>
      <c r="U2152" s="103">
        <v>1.0059818650372592</v>
      </c>
      <c r="V2152" s="103">
        <v>4.9856369865134808E-4</v>
      </c>
      <c r="W2152" s="103">
        <v>0.17038570853976376</v>
      </c>
      <c r="X2152" s="103">
        <v>4.5298528005115177E-2</v>
      </c>
      <c r="Y2152" s="103">
        <v>2.4589736959612814E-4</v>
      </c>
      <c r="Z2152" s="103">
        <v>4.5077064231264607E-4</v>
      </c>
      <c r="AA2152" s="103">
        <v>-1.3794706711089504E-3</v>
      </c>
      <c r="AB2152" s="103">
        <v>-6.4660274981480814E-4</v>
      </c>
      <c r="AC2152" s="119">
        <v>3.3987901664698235E-2</v>
      </c>
      <c r="AD2152" s="119">
        <v>1.1204394236327115</v>
      </c>
      <c r="AE2152" s="120">
        <v>7.9244911818939206E-3</v>
      </c>
      <c r="AF2152" s="119">
        <v>3.2799829949612565E-2</v>
      </c>
      <c r="AG2152" s="119">
        <v>0.91147870970689226</v>
      </c>
      <c r="AH2152" s="120">
        <v>1.0090912075515367E-2</v>
      </c>
      <c r="AI2152" s="121">
        <v>-35</v>
      </c>
      <c r="AJ2152" s="121">
        <v>-10</v>
      </c>
      <c r="AK2152" s="121">
        <v>35</v>
      </c>
      <c r="AL2152" s="121">
        <v>55</v>
      </c>
      <c r="AM2152" s="122">
        <v>43272</v>
      </c>
      <c r="AN2152" s="121" t="s">
        <v>692</v>
      </c>
      <c r="AP2152" s="87"/>
    </row>
    <row r="2153" spans="1:42">
      <c r="A2153" s="93"/>
      <c r="B2153" s="93"/>
      <c r="C2153" s="93"/>
      <c r="D2153" s="93"/>
      <c r="E2153" s="93"/>
      <c r="F2153" s="93"/>
      <c r="G2153" s="95">
        <v>2000</v>
      </c>
      <c r="H2153" s="93"/>
      <c r="I2153" s="103">
        <v>-0.31387028317312088</v>
      </c>
      <c r="J2153" s="103">
        <v>16.410633089533697</v>
      </c>
      <c r="K2153" s="103">
        <v>27.337926748371633</v>
      </c>
      <c r="L2153" s="103">
        <v>0.23552673571815413</v>
      </c>
      <c r="M2153" s="103">
        <v>-8.367748641403365E-2</v>
      </c>
      <c r="N2153" s="103">
        <v>-0.68292528062593261</v>
      </c>
      <c r="O2153" s="103">
        <v>1.2144593735843939E-3</v>
      </c>
      <c r="P2153" s="103">
        <v>-1.1267192599285392E-3</v>
      </c>
      <c r="Q2153" s="103">
        <v>-3.0286894345020156E-4</v>
      </c>
      <c r="R2153" s="103">
        <v>4.9595643984400653E-3</v>
      </c>
      <c r="S2153" s="103">
        <v>-2.7420419315403755</v>
      </c>
      <c r="T2153" s="103">
        <v>-0.99466581844161495</v>
      </c>
      <c r="U2153" s="103">
        <v>3.4134091672454701</v>
      </c>
      <c r="V2153" s="103">
        <v>-4.3999780463239484E-2</v>
      </c>
      <c r="W2153" s="103">
        <v>4.0093175241753834E-2</v>
      </c>
      <c r="X2153" s="103">
        <v>-4.6963187181073202E-2</v>
      </c>
      <c r="Y2153" s="103">
        <v>-2.8748145095736219E-4</v>
      </c>
      <c r="Z2153" s="103">
        <v>5.8231334787583002E-4</v>
      </c>
      <c r="AA2153" s="103">
        <v>1.8379954436630887E-4</v>
      </c>
      <c r="AB2153" s="103">
        <v>3.4838993457575815E-4</v>
      </c>
      <c r="AC2153" s="119">
        <v>1.2155809519928115E-2</v>
      </c>
      <c r="AD2153" s="119">
        <v>0.58482532567301337</v>
      </c>
      <c r="AE2153" s="120">
        <v>4.2110271422138371E-3</v>
      </c>
      <c r="AF2153" s="119">
        <v>4.3574436238221312E-2</v>
      </c>
      <c r="AG2153" s="119">
        <v>1.2442999302736792</v>
      </c>
      <c r="AH2153" s="120">
        <v>9.8877860651250728E-3</v>
      </c>
      <c r="AI2153" s="121">
        <v>-35</v>
      </c>
      <c r="AJ2153" s="121">
        <v>-10</v>
      </c>
      <c r="AK2153" s="121">
        <v>35</v>
      </c>
      <c r="AL2153" s="121">
        <v>55</v>
      </c>
      <c r="AM2153" s="122">
        <v>43272</v>
      </c>
      <c r="AN2153" s="121" t="s">
        <v>692</v>
      </c>
      <c r="AP2153" s="87"/>
    </row>
    <row r="2154" spans="1:42">
      <c r="A2154" s="93"/>
      <c r="B2154" s="93"/>
      <c r="C2154" s="93"/>
      <c r="D2154" s="93"/>
      <c r="E2154" s="93"/>
      <c r="F2154" s="93"/>
      <c r="G2154" s="95">
        <v>3000</v>
      </c>
      <c r="H2154" s="93"/>
      <c r="I2154" s="103">
        <v>6.4163548449823766</v>
      </c>
      <c r="J2154" s="103">
        <v>19.045023952600761</v>
      </c>
      <c r="K2154" s="103">
        <v>38.463596477836717</v>
      </c>
      <c r="L2154" s="103">
        <v>0.23432452875254337</v>
      </c>
      <c r="M2154" s="103">
        <v>5.9209479244227538E-3</v>
      </c>
      <c r="N2154" s="103">
        <v>-0.94193559470340038</v>
      </c>
      <c r="O2154" s="103">
        <v>9.1185481487528501E-4</v>
      </c>
      <c r="P2154" s="103">
        <v>-6.5837989759443699E-4</v>
      </c>
      <c r="Q2154" s="103">
        <v>-1.3611897285262106E-3</v>
      </c>
      <c r="R2154" s="103">
        <v>6.7326505666555356E-3</v>
      </c>
      <c r="S2154" s="103">
        <v>0.37953330325372353</v>
      </c>
      <c r="T2154" s="103">
        <v>0.37724619158285794</v>
      </c>
      <c r="U2154" s="103">
        <v>6.6278023383037077</v>
      </c>
      <c r="V2154" s="103">
        <v>-3.4266191977496236E-3</v>
      </c>
      <c r="W2154" s="103">
        <v>6.1537725047912127E-2</v>
      </c>
      <c r="X2154" s="103">
        <v>-0.10895406250291333</v>
      </c>
      <c r="Y2154" s="103">
        <v>1.1703943311562009E-4</v>
      </c>
      <c r="Z2154" s="103">
        <v>4.2365676495387337E-4</v>
      </c>
      <c r="AA2154" s="103">
        <v>-6.0634268561788777E-5</v>
      </c>
      <c r="AB2154" s="103">
        <v>7.5686812043792315E-4</v>
      </c>
      <c r="AC2154" s="119">
        <v>2.6234528164810738E-2</v>
      </c>
      <c r="AD2154" s="119">
        <v>1.0056094809236156</v>
      </c>
      <c r="AE2154" s="120">
        <v>3.7674459843316404E-3</v>
      </c>
      <c r="AF2154" s="119">
        <v>3.9289470080537472E-2</v>
      </c>
      <c r="AG2154" s="119">
        <v>1.473174653690668</v>
      </c>
      <c r="AH2154" s="120">
        <v>6.0122266280826994E-3</v>
      </c>
      <c r="AI2154" s="121">
        <v>-35</v>
      </c>
      <c r="AJ2154" s="121">
        <v>-10</v>
      </c>
      <c r="AK2154" s="121">
        <v>35</v>
      </c>
      <c r="AL2154" s="121">
        <v>55</v>
      </c>
      <c r="AM2154" s="122">
        <v>43272</v>
      </c>
      <c r="AN2154" s="121" t="s">
        <v>692</v>
      </c>
      <c r="AP2154" s="87"/>
    </row>
    <row r="2155" spans="1:42">
      <c r="A2155" s="93"/>
      <c r="B2155" s="93"/>
      <c r="C2155" s="93"/>
      <c r="D2155" s="93"/>
      <c r="E2155" s="93"/>
      <c r="F2155" s="93"/>
      <c r="G2155" s="95">
        <v>4500</v>
      </c>
      <c r="H2155" s="93"/>
      <c r="I2155" s="103">
        <v>3.3369377378658456</v>
      </c>
      <c r="J2155" s="103">
        <v>48.028788140765215</v>
      </c>
      <c r="K2155" s="103">
        <v>60.413692889055447</v>
      </c>
      <c r="L2155" s="103">
        <v>0.82284885128329099</v>
      </c>
      <c r="M2155" s="103">
        <v>-0.55325222762781168</v>
      </c>
      <c r="N2155" s="103">
        <v>-1.5821812607245616</v>
      </c>
      <c r="O2155" s="103">
        <v>6.6558761188946483E-3</v>
      </c>
      <c r="P2155" s="103">
        <v>-3.6047808051722832E-3</v>
      </c>
      <c r="Q2155" s="103">
        <v>3.1818906714278609E-3</v>
      </c>
      <c r="R2155" s="103">
        <v>1.2191626581817251E-2</v>
      </c>
      <c r="S2155" s="103">
        <v>2.8877507574186869</v>
      </c>
      <c r="T2155" s="103">
        <v>8.6011403325828901</v>
      </c>
      <c r="U2155" s="103">
        <v>13.428055440397305</v>
      </c>
      <c r="V2155" s="103">
        <v>0.17229142412983908</v>
      </c>
      <c r="W2155" s="103">
        <v>-0.1067120517279929</v>
      </c>
      <c r="X2155" s="103">
        <v>-0.30106829073720415</v>
      </c>
      <c r="Y2155" s="103">
        <v>1.8994267475915606E-3</v>
      </c>
      <c r="Z2155" s="103">
        <v>-5.6466013588656603E-4</v>
      </c>
      <c r="AA2155" s="103">
        <v>1.3970905085822001E-3</v>
      </c>
      <c r="AB2155" s="103">
        <v>2.460918969876125E-3</v>
      </c>
      <c r="AC2155" s="119">
        <v>6.0232326366337324E-2</v>
      </c>
      <c r="AD2155" s="119">
        <v>2.1732476420092484</v>
      </c>
      <c r="AE2155" s="120">
        <v>4.4091729890014843E-3</v>
      </c>
      <c r="AF2155" s="119">
        <v>1.9363481914057592E-2</v>
      </c>
      <c r="AG2155" s="119">
        <v>0.76523905008634641</v>
      </c>
      <c r="AH2155" s="120">
        <v>2.7729240877115845E-3</v>
      </c>
      <c r="AI2155" s="121">
        <v>-35</v>
      </c>
      <c r="AJ2155" s="121">
        <v>-10</v>
      </c>
      <c r="AK2155" s="121">
        <v>35</v>
      </c>
      <c r="AL2155" s="121">
        <v>55</v>
      </c>
      <c r="AM2155" s="122">
        <v>43272</v>
      </c>
      <c r="AN2155" s="121" t="s">
        <v>692</v>
      </c>
      <c r="AP2155" s="87"/>
    </row>
    <row r="2156" spans="1:42">
      <c r="A2156" s="93" t="s">
        <v>43</v>
      </c>
      <c r="B2156" s="93" t="s">
        <v>44</v>
      </c>
      <c r="C2156" s="93" t="s">
        <v>45</v>
      </c>
      <c r="D2156" s="93" t="s">
        <v>46</v>
      </c>
      <c r="E2156" s="93" t="s">
        <v>47</v>
      </c>
      <c r="F2156" s="93" t="s">
        <v>173</v>
      </c>
      <c r="G2156" s="95"/>
      <c r="H2156" s="93" t="str">
        <f>CONCATENATE(A2156," ",B2156," ",C2156," ",D2156," ",E2156," ",F2156)</f>
        <v>Embraco Isobutane 50 Hz 230V VSD VESC11C</v>
      </c>
      <c r="I2156" s="103"/>
      <c r="J2156" s="103"/>
      <c r="K2156" s="103"/>
      <c r="L2156" s="103"/>
      <c r="M2156" s="103"/>
      <c r="N2156" s="103"/>
      <c r="O2156" s="103"/>
      <c r="P2156" s="103"/>
      <c r="Q2156" s="103"/>
      <c r="R2156" s="103"/>
      <c r="S2156" s="103"/>
      <c r="T2156" s="103"/>
      <c r="U2156" s="103"/>
      <c r="V2156" s="103"/>
      <c r="W2156" s="103"/>
      <c r="X2156" s="103"/>
      <c r="Y2156" s="103"/>
      <c r="Z2156" s="103"/>
      <c r="AA2156" s="103"/>
      <c r="AB2156" s="103"/>
      <c r="AC2156" s="119"/>
      <c r="AD2156" s="119"/>
      <c r="AE2156" s="120"/>
      <c r="AF2156" s="119"/>
      <c r="AG2156" s="119"/>
      <c r="AH2156" s="120"/>
      <c r="AI2156" s="121"/>
      <c r="AJ2156" s="121"/>
      <c r="AK2156" s="121"/>
      <c r="AL2156" s="121"/>
      <c r="AM2156" s="122"/>
      <c r="AN2156" s="121"/>
      <c r="AP2156" s="87"/>
    </row>
    <row r="2157" spans="1:42">
      <c r="A2157" s="93"/>
      <c r="B2157" s="93"/>
      <c r="C2157" s="93"/>
      <c r="D2157" s="93"/>
      <c r="E2157" s="93"/>
      <c r="F2157" s="93"/>
      <c r="G2157" s="95">
        <v>1300</v>
      </c>
      <c r="H2157" s="93"/>
      <c r="I2157" s="103">
        <v>0.95725610790634075</v>
      </c>
      <c r="J2157" s="103">
        <v>12.685566430106746</v>
      </c>
      <c r="K2157" s="103">
        <v>21.795551750766887</v>
      </c>
      <c r="L2157" s="103">
        <v>0.16120988575784675</v>
      </c>
      <c r="M2157" s="103">
        <v>-6.7266881157766578E-2</v>
      </c>
      <c r="N2157" s="103">
        <v>-0.54422117611372223</v>
      </c>
      <c r="O2157" s="103">
        <v>7.1213427417086451E-4</v>
      </c>
      <c r="P2157" s="103">
        <v>-6.2187890993368566E-4</v>
      </c>
      <c r="Q2157" s="103">
        <v>-1.262291292652132E-4</v>
      </c>
      <c r="R2157" s="103">
        <v>3.9519071548343877E-3</v>
      </c>
      <c r="S2157" s="103">
        <v>0.17291317750167329</v>
      </c>
      <c r="T2157" s="103">
        <v>-1.7935677269583297</v>
      </c>
      <c r="U2157" s="103">
        <v>2.1382561568014546</v>
      </c>
      <c r="V2157" s="103">
        <v>-7.6573434597735635E-2</v>
      </c>
      <c r="W2157" s="103">
        <v>3.9126757057381563E-2</v>
      </c>
      <c r="X2157" s="103">
        <v>-2.2222806185473738E-2</v>
      </c>
      <c r="Y2157" s="103">
        <v>-6.6723745527905512E-4</v>
      </c>
      <c r="Z2157" s="103">
        <v>7.557565910395604E-4</v>
      </c>
      <c r="AA2157" s="103">
        <v>2.3366258512610164E-4</v>
      </c>
      <c r="AB2157" s="103">
        <v>1.8469861846632103E-4</v>
      </c>
      <c r="AC2157" s="119">
        <v>1.7413800806500054E-2</v>
      </c>
      <c r="AD2157" s="119">
        <v>0.60128476523486962</v>
      </c>
      <c r="AE2157" s="120">
        <v>6.0853427764251565E-3</v>
      </c>
      <c r="AF2157" s="119">
        <v>2.4594348013946148E-2</v>
      </c>
      <c r="AG2157" s="119">
        <v>1.1374057980014067</v>
      </c>
      <c r="AH2157" s="120">
        <v>9.6462850689157647E-3</v>
      </c>
      <c r="AI2157" s="121">
        <v>-35</v>
      </c>
      <c r="AJ2157" s="121">
        <v>-10</v>
      </c>
      <c r="AK2157" s="121">
        <v>35</v>
      </c>
      <c r="AL2157" s="121">
        <v>55</v>
      </c>
      <c r="AM2157" s="122">
        <v>42697</v>
      </c>
      <c r="AN2157" s="121" t="s">
        <v>481</v>
      </c>
      <c r="AP2157" s="87"/>
    </row>
    <row r="2158" spans="1:42">
      <c r="A2158" s="93"/>
      <c r="B2158" s="93"/>
      <c r="C2158" s="93"/>
      <c r="D2158" s="93"/>
      <c r="E2158" s="93"/>
      <c r="F2158" s="93"/>
      <c r="G2158" s="95">
        <v>1600</v>
      </c>
      <c r="H2158" s="93"/>
      <c r="I2158" s="103">
        <v>1.3093574779201926</v>
      </c>
      <c r="J2158" s="103">
        <v>15.887922089680702</v>
      </c>
      <c r="K2158" s="103">
        <v>27.580471911080249</v>
      </c>
      <c r="L2158" s="103">
        <v>0.17574264470406839</v>
      </c>
      <c r="M2158" s="103">
        <v>-0.10549030358958805</v>
      </c>
      <c r="N2158" s="103">
        <v>-0.70095244396661271</v>
      </c>
      <c r="O2158" s="103">
        <v>7.7183320341745615E-4</v>
      </c>
      <c r="P2158" s="103">
        <v>-3.1312870359676275E-4</v>
      </c>
      <c r="Q2158" s="103">
        <v>2.7243515676435726E-4</v>
      </c>
      <c r="R2158" s="103">
        <v>5.2149231830088535E-3</v>
      </c>
      <c r="S2158" s="103">
        <v>-9.521803418177841</v>
      </c>
      <c r="T2158" s="103">
        <v>-1.5302731977651893</v>
      </c>
      <c r="U2158" s="103">
        <v>3.8261778163587867</v>
      </c>
      <c r="V2158" s="103">
        <v>-6.3630719789782034E-2</v>
      </c>
      <c r="W2158" s="103">
        <v>5.5997299450125965E-2</v>
      </c>
      <c r="X2158" s="103">
        <v>-5.4079387801451544E-2</v>
      </c>
      <c r="Y2158" s="103">
        <v>-5.3266497839840176E-4</v>
      </c>
      <c r="Z2158" s="103">
        <v>7.7878597917480693E-4</v>
      </c>
      <c r="AA2158" s="103">
        <v>8.6964689701013169E-5</v>
      </c>
      <c r="AB2158" s="103">
        <v>3.9691604306506652E-4</v>
      </c>
      <c r="AC2158" s="119">
        <v>1.8274850704123671E-2</v>
      </c>
      <c r="AD2158" s="119">
        <v>0.63260725099978732</v>
      </c>
      <c r="AE2158" s="120">
        <v>4.3270423755959212E-3</v>
      </c>
      <c r="AF2158" s="119">
        <v>4.4256816386930797E-2</v>
      </c>
      <c r="AG2158" s="119">
        <v>1.4387918679718839</v>
      </c>
      <c r="AH2158" s="120">
        <v>9.3211571657225226E-3</v>
      </c>
      <c r="AI2158" s="121">
        <v>-35</v>
      </c>
      <c r="AJ2158" s="121">
        <v>-10</v>
      </c>
      <c r="AK2158" s="121">
        <v>35</v>
      </c>
      <c r="AL2158" s="121">
        <v>55</v>
      </c>
      <c r="AM2158" s="122">
        <v>42697</v>
      </c>
      <c r="AN2158" s="121" t="s">
        <v>481</v>
      </c>
      <c r="AP2158" s="87"/>
    </row>
    <row r="2159" spans="1:42">
      <c r="A2159" s="93"/>
      <c r="B2159" s="93"/>
      <c r="C2159" s="93"/>
      <c r="D2159" s="93"/>
      <c r="E2159" s="93"/>
      <c r="F2159" s="93"/>
      <c r="G2159" s="95">
        <v>2000</v>
      </c>
      <c r="H2159" s="93"/>
      <c r="I2159" s="103">
        <v>1.0778932748240813</v>
      </c>
      <c r="J2159" s="103">
        <v>20.138158002191823</v>
      </c>
      <c r="K2159" s="103">
        <v>34.63718574752685</v>
      </c>
      <c r="L2159" s="103">
        <v>0.20968825140373418</v>
      </c>
      <c r="M2159" s="103">
        <v>-0.1612668611517013</v>
      </c>
      <c r="N2159" s="103">
        <v>-0.88871329068240945</v>
      </c>
      <c r="O2159" s="103">
        <v>4.6253364629525847E-4</v>
      </c>
      <c r="P2159" s="103">
        <v>-1.0032069213513886E-3</v>
      </c>
      <c r="Q2159" s="103">
        <v>4.7208793534621291E-4</v>
      </c>
      <c r="R2159" s="103">
        <v>6.6875867275658588E-3</v>
      </c>
      <c r="S2159" s="103">
        <v>0.18421070062976364</v>
      </c>
      <c r="T2159" s="103">
        <v>-1.4304569865522379</v>
      </c>
      <c r="U2159" s="103">
        <v>4.3402737371355133</v>
      </c>
      <c r="V2159" s="103">
        <v>-8.0592928827937504E-2</v>
      </c>
      <c r="W2159" s="103">
        <v>4.9653765150482573E-2</v>
      </c>
      <c r="X2159" s="103">
        <v>-6.2385583039196897E-2</v>
      </c>
      <c r="Y2159" s="103">
        <v>-8.8549412253303462E-4</v>
      </c>
      <c r="Z2159" s="103">
        <v>6.4680132278135136E-4</v>
      </c>
      <c r="AA2159" s="103">
        <v>1.5763193039785358E-4</v>
      </c>
      <c r="AB2159" s="103">
        <v>4.5634732018776434E-4</v>
      </c>
      <c r="AC2159" s="119">
        <v>2.4191366607061858E-2</v>
      </c>
      <c r="AD2159" s="119">
        <v>0.84991062614311985</v>
      </c>
      <c r="AE2159" s="120">
        <v>3.9882961932671459E-3</v>
      </c>
      <c r="AF2159" s="119">
        <v>4.0152270696720442E-2</v>
      </c>
      <c r="AG2159" s="119">
        <v>1.5599505716118167</v>
      </c>
      <c r="AH2159" s="120">
        <v>7.2536897290649081E-3</v>
      </c>
      <c r="AI2159" s="121">
        <v>-35</v>
      </c>
      <c r="AJ2159" s="121">
        <v>-10</v>
      </c>
      <c r="AK2159" s="121">
        <v>35</v>
      </c>
      <c r="AL2159" s="121">
        <v>55</v>
      </c>
      <c r="AM2159" s="122">
        <v>42697</v>
      </c>
      <c r="AN2159" s="121" t="s">
        <v>481</v>
      </c>
      <c r="AP2159" s="87"/>
    </row>
    <row r="2160" spans="1:42">
      <c r="A2160" s="93"/>
      <c r="B2160" s="93"/>
      <c r="C2160" s="93"/>
      <c r="D2160" s="93"/>
      <c r="E2160" s="93"/>
      <c r="F2160" s="93"/>
      <c r="G2160" s="95">
        <v>3000</v>
      </c>
      <c r="H2160" s="93"/>
      <c r="I2160" s="103">
        <v>2.4343218307037917</v>
      </c>
      <c r="J2160" s="103">
        <v>30.404193814714287</v>
      </c>
      <c r="K2160" s="103">
        <v>51.745067502322776</v>
      </c>
      <c r="L2160" s="103">
        <v>0.33147048015910163</v>
      </c>
      <c r="M2160" s="103">
        <v>-0.25160088561671751</v>
      </c>
      <c r="N2160" s="103">
        <v>-1.3289528255134591</v>
      </c>
      <c r="O2160" s="103">
        <v>6.4312024374559181E-4</v>
      </c>
      <c r="P2160" s="103">
        <v>-2.3056490816661039E-3</v>
      </c>
      <c r="Q2160" s="103">
        <v>4.0046314931951291E-4</v>
      </c>
      <c r="R2160" s="103">
        <v>9.9354443202482011E-3</v>
      </c>
      <c r="S2160" s="103">
        <v>0.51945286607591135</v>
      </c>
      <c r="T2160" s="103">
        <v>1.6779807643371421</v>
      </c>
      <c r="U2160" s="103">
        <v>9.409341249222857</v>
      </c>
      <c r="V2160" s="103">
        <v>-8.2879852246325377E-3</v>
      </c>
      <c r="W2160" s="103">
        <v>3.9730514358481489E-2</v>
      </c>
      <c r="X2160" s="103">
        <v>-0.17233263059629236</v>
      </c>
      <c r="Y2160" s="103">
        <v>-3.8074324885361681E-4</v>
      </c>
      <c r="Z2160" s="103">
        <v>4.8819504078639982E-5</v>
      </c>
      <c r="AA2160" s="103">
        <v>7.9596377998806655E-5</v>
      </c>
      <c r="AB2160" s="103">
        <v>1.2488800125348353E-3</v>
      </c>
      <c r="AC2160" s="119">
        <v>1.3620329071692442E-2</v>
      </c>
      <c r="AD2160" s="119">
        <v>0.73449832808898119</v>
      </c>
      <c r="AE2160" s="120">
        <v>2.6135015415706319E-3</v>
      </c>
      <c r="AF2160" s="119">
        <v>4.6813935237905988E-2</v>
      </c>
      <c r="AG2160" s="119">
        <v>1.5162906321923804</v>
      </c>
      <c r="AH2160" s="120">
        <v>4.7484524893389689E-3</v>
      </c>
      <c r="AI2160" s="121">
        <v>-35</v>
      </c>
      <c r="AJ2160" s="121">
        <v>-10</v>
      </c>
      <c r="AK2160" s="121">
        <v>35</v>
      </c>
      <c r="AL2160" s="121">
        <v>55</v>
      </c>
      <c r="AM2160" s="122">
        <v>42697</v>
      </c>
      <c r="AN2160" s="121" t="s">
        <v>481</v>
      </c>
      <c r="AP2160" s="87"/>
    </row>
    <row r="2161" spans="1:42">
      <c r="A2161" s="93"/>
      <c r="B2161" s="93"/>
      <c r="C2161" s="93"/>
      <c r="D2161" s="93"/>
      <c r="E2161" s="93"/>
      <c r="F2161" s="93"/>
      <c r="G2161" s="95">
        <v>4500</v>
      </c>
      <c r="H2161" s="93"/>
      <c r="I2161" s="103">
        <v>3.6978396878804114</v>
      </c>
      <c r="J2161" s="103">
        <v>52.825539188552597</v>
      </c>
      <c r="K2161" s="103">
        <v>73.258432990334839</v>
      </c>
      <c r="L2161" s="103">
        <v>1.1915339375850367</v>
      </c>
      <c r="M2161" s="103">
        <v>-0.10261616482860407</v>
      </c>
      <c r="N2161" s="103">
        <v>-1.7960301497827953</v>
      </c>
      <c r="O2161" s="103">
        <v>1.1345401183160971E-2</v>
      </c>
      <c r="P2161" s="103">
        <v>-1.4608087772355614E-3</v>
      </c>
      <c r="Q2161" s="103">
        <v>-9.5170793588886086E-4</v>
      </c>
      <c r="R2161" s="103">
        <v>1.3223150470854273E-2</v>
      </c>
      <c r="S2161" s="103">
        <v>0.76118838925533583</v>
      </c>
      <c r="T2161" s="103">
        <v>5.2106754824425563</v>
      </c>
      <c r="U2161" s="103">
        <v>15.245502725681723</v>
      </c>
      <c r="V2161" s="103">
        <v>0.10656792598968816</v>
      </c>
      <c r="W2161" s="103">
        <v>6.1215949936643428E-2</v>
      </c>
      <c r="X2161" s="103">
        <v>-0.29719926966550181</v>
      </c>
      <c r="Y2161" s="103">
        <v>1.5781813142777975E-3</v>
      </c>
      <c r="Z2161" s="103">
        <v>1.3320776817247752E-3</v>
      </c>
      <c r="AA2161" s="103">
        <v>6.525354838447866E-4</v>
      </c>
      <c r="AB2161" s="103">
        <v>2.327038447878127E-3</v>
      </c>
      <c r="AC2161" s="119">
        <v>9.4586809728237686E-2</v>
      </c>
      <c r="AD2161" s="119">
        <v>2.8150790450995591</v>
      </c>
      <c r="AE2161" s="120">
        <v>3.5296734435453551E-3</v>
      </c>
      <c r="AF2161" s="119">
        <v>3.421717059348757E-2</v>
      </c>
      <c r="AG2161" s="119">
        <v>1.3405763630455827</v>
      </c>
      <c r="AH2161" s="120">
        <v>2.837229396014212E-3</v>
      </c>
      <c r="AI2161" s="121">
        <v>-35</v>
      </c>
      <c r="AJ2161" s="121">
        <v>-10</v>
      </c>
      <c r="AK2161" s="121">
        <v>35</v>
      </c>
      <c r="AL2161" s="121">
        <v>55</v>
      </c>
      <c r="AM2161" s="122">
        <v>42697</v>
      </c>
      <c r="AN2161" s="121" t="s">
        <v>481</v>
      </c>
      <c r="AP2161" s="87"/>
    </row>
    <row r="2162" spans="1:42">
      <c r="A2162" s="106" t="s">
        <v>43</v>
      </c>
      <c r="B2162" s="106" t="s">
        <v>44</v>
      </c>
      <c r="C2162" s="106" t="s">
        <v>45</v>
      </c>
      <c r="D2162" s="106" t="s">
        <v>46</v>
      </c>
      <c r="E2162" s="106" t="s">
        <v>47</v>
      </c>
      <c r="F2162" s="106" t="s">
        <v>175</v>
      </c>
      <c r="G2162" s="95"/>
      <c r="H2162" s="106" t="str">
        <f>CONCATENATE(A2162," ",B2162," ",C2162," ",D2162," ",E2162," ",F2162)</f>
        <v>Embraco Isobutane 50 Hz 230V VSD VESD7C</v>
      </c>
      <c r="I2162" s="107"/>
      <c r="J2162" s="107"/>
      <c r="K2162" s="107"/>
      <c r="L2162" s="107"/>
      <c r="M2162" s="107"/>
      <c r="N2162" s="107"/>
      <c r="O2162" s="107"/>
      <c r="P2162" s="107"/>
      <c r="Q2162" s="107"/>
      <c r="R2162" s="107"/>
      <c r="S2162" s="107"/>
      <c r="T2162" s="107"/>
      <c r="U2162" s="107"/>
      <c r="V2162" s="107"/>
      <c r="W2162" s="107"/>
      <c r="X2162" s="107"/>
      <c r="Y2162" s="107"/>
      <c r="Z2162" s="107"/>
      <c r="AA2162" s="107"/>
      <c r="AB2162" s="107"/>
      <c r="AC2162" s="119"/>
      <c r="AD2162" s="119"/>
      <c r="AE2162" s="120"/>
      <c r="AF2162" s="119"/>
      <c r="AG2162" s="119"/>
      <c r="AH2162" s="120"/>
      <c r="AI2162" s="121"/>
      <c r="AJ2162" s="121"/>
      <c r="AK2162" s="121"/>
      <c r="AL2162" s="121"/>
      <c r="AM2162" s="122"/>
      <c r="AN2162" s="121"/>
      <c r="AP2162" s="87"/>
    </row>
    <row r="2163" spans="1:42">
      <c r="A2163" s="106"/>
      <c r="B2163" s="106"/>
      <c r="C2163" s="106"/>
      <c r="D2163" s="106"/>
      <c r="E2163" s="106"/>
      <c r="F2163" s="106"/>
      <c r="G2163" s="95">
        <v>1300</v>
      </c>
      <c r="H2163" s="108"/>
      <c r="I2163" s="107">
        <v>154.76839430114032</v>
      </c>
      <c r="J2163" s="107">
        <v>10.439436961368743</v>
      </c>
      <c r="K2163" s="107">
        <v>4.3597465846441033</v>
      </c>
      <c r="L2163" s="107">
        <v>0.14655209501256039</v>
      </c>
      <c r="M2163" s="107">
        <v>-0.11272357759549347</v>
      </c>
      <c r="N2163" s="107">
        <v>-0.15360928043260519</v>
      </c>
      <c r="O2163" s="107">
        <v>8.2054763672201293E-4</v>
      </c>
      <c r="P2163" s="107">
        <v>-7.8672984086299361E-4</v>
      </c>
      <c r="Q2163" s="107">
        <v>5.6379157406222799E-4</v>
      </c>
      <c r="R2163" s="107">
        <v>1.2184615417378095E-3</v>
      </c>
      <c r="S2163" s="107">
        <v>125.29356406663527</v>
      </c>
      <c r="T2163" s="107">
        <v>0.35198780755353204</v>
      </c>
      <c r="U2163" s="107">
        <v>-6.6765493190153338</v>
      </c>
      <c r="V2163" s="107">
        <v>-1.1952195136786378E-2</v>
      </c>
      <c r="W2163" s="107">
        <v>-8.9004309885249901E-3</v>
      </c>
      <c r="X2163" s="107">
        <v>0.15919864240214526</v>
      </c>
      <c r="Y2163" s="107">
        <v>-1.1151842601287977E-4</v>
      </c>
      <c r="Z2163" s="107">
        <v>1.3040903291593002E-4</v>
      </c>
      <c r="AA2163" s="107">
        <v>3.3543745123818224E-4</v>
      </c>
      <c r="AB2163" s="107">
        <v>-1.1491052796590202E-3</v>
      </c>
      <c r="AC2163" s="119">
        <v>3.9518451946093602E-2</v>
      </c>
      <c r="AD2163" s="119">
        <v>1.2624688443195087</v>
      </c>
      <c r="AE2163" s="120">
        <v>1.2790032698649824E-2</v>
      </c>
      <c r="AF2163" s="119">
        <v>4.2312367712433636E-2</v>
      </c>
      <c r="AG2163" s="119">
        <v>1.2336360947018628</v>
      </c>
      <c r="AH2163" s="120">
        <v>1.7506341873179149E-2</v>
      </c>
      <c r="AI2163" s="121">
        <v>-35</v>
      </c>
      <c r="AJ2163" s="121">
        <v>-10</v>
      </c>
      <c r="AK2163" s="121">
        <v>35</v>
      </c>
      <c r="AL2163" s="121">
        <v>55</v>
      </c>
      <c r="AM2163" s="122">
        <v>41522</v>
      </c>
      <c r="AN2163" s="121" t="s">
        <v>668</v>
      </c>
      <c r="AP2163" s="87"/>
    </row>
    <row r="2164" spans="1:42">
      <c r="A2164" s="106"/>
      <c r="B2164" s="106"/>
      <c r="C2164" s="106"/>
      <c r="D2164" s="106"/>
      <c r="E2164" s="106"/>
      <c r="F2164" s="106"/>
      <c r="G2164" s="95">
        <v>1600</v>
      </c>
      <c r="H2164" s="108"/>
      <c r="I2164" s="107">
        <v>203.31770076225101</v>
      </c>
      <c r="J2164" s="107">
        <v>12.139659577355822</v>
      </c>
      <c r="K2164" s="107">
        <v>4.3253314920554402</v>
      </c>
      <c r="L2164" s="107">
        <v>0.17035750943382164</v>
      </c>
      <c r="M2164" s="107">
        <v>-0.11629450460393179</v>
      </c>
      <c r="N2164" s="107">
        <v>-0.1621002732582898</v>
      </c>
      <c r="O2164" s="107">
        <v>9.9037357771438687E-4</v>
      </c>
      <c r="P2164" s="107">
        <v>-9.8776918938384335E-4</v>
      </c>
      <c r="Q2164" s="107">
        <v>3.6637924821902277E-4</v>
      </c>
      <c r="R2164" s="107">
        <v>1.2606564031490753E-3</v>
      </c>
      <c r="S2164" s="107">
        <v>141.81375739828746</v>
      </c>
      <c r="T2164" s="107">
        <v>3.562433901298151E-2</v>
      </c>
      <c r="U2164" s="107">
        <v>-7.569893599468303</v>
      </c>
      <c r="V2164" s="107">
        <v>-1.219550574704921E-3</v>
      </c>
      <c r="W2164" s="107">
        <v>1.7182905405484134E-2</v>
      </c>
      <c r="X2164" s="107">
        <v>0.18721154780048016</v>
      </c>
      <c r="Y2164" s="107">
        <v>5.2135047999265263E-5</v>
      </c>
      <c r="Z2164" s="107">
        <v>9.1060127948717131E-5</v>
      </c>
      <c r="AA2164" s="107">
        <v>6.7693699064602474E-5</v>
      </c>
      <c r="AB2164" s="107">
        <v>-1.3971586283375206E-3</v>
      </c>
      <c r="AC2164" s="119">
        <v>1.5541210775442332E-2</v>
      </c>
      <c r="AD2164" s="119">
        <v>0.73602422636806986</v>
      </c>
      <c r="AE2164" s="120">
        <v>7.5634359523388123E-3</v>
      </c>
      <c r="AF2164" s="119">
        <v>2.0760468517008929E-2</v>
      </c>
      <c r="AG2164" s="119">
        <v>1.0332587157003985</v>
      </c>
      <c r="AH2164" s="120">
        <v>1.3101728417421129E-2</v>
      </c>
      <c r="AI2164" s="121">
        <v>-35</v>
      </c>
      <c r="AJ2164" s="121">
        <v>-10</v>
      </c>
      <c r="AK2164" s="121">
        <v>35</v>
      </c>
      <c r="AL2164" s="121">
        <v>55</v>
      </c>
      <c r="AM2164" s="122">
        <v>41522</v>
      </c>
      <c r="AN2164" s="121" t="s">
        <v>668</v>
      </c>
      <c r="AP2164" s="87"/>
    </row>
    <row r="2165" spans="1:42">
      <c r="A2165" s="106"/>
      <c r="B2165" s="106"/>
      <c r="C2165" s="106"/>
      <c r="D2165" s="106"/>
      <c r="E2165" s="106"/>
      <c r="F2165" s="106"/>
      <c r="G2165" s="95">
        <v>2000</v>
      </c>
      <c r="H2165" s="108"/>
      <c r="I2165" s="107">
        <v>238.60282786667833</v>
      </c>
      <c r="J2165" s="107">
        <v>11.473405456581183</v>
      </c>
      <c r="K2165" s="107">
        <v>4.5976840547661828</v>
      </c>
      <c r="L2165" s="107">
        <v>0.15376986962959835</v>
      </c>
      <c r="M2165" s="107">
        <v>-2.2847317334127794E-2</v>
      </c>
      <c r="N2165" s="107">
        <v>-0.15005497255346323</v>
      </c>
      <c r="O2165" s="107">
        <v>5.0845128955738289E-4</v>
      </c>
      <c r="P2165" s="107">
        <v>-8.0230367542850369E-4</v>
      </c>
      <c r="Q2165" s="107">
        <v>-6.5780182905251345E-4</v>
      </c>
      <c r="R2165" s="107">
        <v>9.9627509029090282E-4</v>
      </c>
      <c r="S2165" s="107">
        <v>163.44333523788967</v>
      </c>
      <c r="T2165" s="107">
        <v>-1.1989272868510057</v>
      </c>
      <c r="U2165" s="107">
        <v>-9.22332964974375</v>
      </c>
      <c r="V2165" s="107">
        <v>-1.9590296620304266E-2</v>
      </c>
      <c r="W2165" s="107">
        <v>6.6951597787624384E-2</v>
      </c>
      <c r="X2165" s="107">
        <v>0.24528555049238798</v>
      </c>
      <c r="Y2165" s="107">
        <v>-1.8613750691166559E-4</v>
      </c>
      <c r="Z2165" s="107">
        <v>1.9050424994333643E-4</v>
      </c>
      <c r="AA2165" s="107">
        <v>-4.0418669105728806E-4</v>
      </c>
      <c r="AB2165" s="107">
        <v>-1.9537276073968665E-3</v>
      </c>
      <c r="AC2165" s="119">
        <v>2.5106055330237936E-2</v>
      </c>
      <c r="AD2165" s="119">
        <v>0.97334581467204184</v>
      </c>
      <c r="AE2165" s="120">
        <v>7.6529842747889683E-3</v>
      </c>
      <c r="AF2165" s="119">
        <v>2.8496442324669857E-2</v>
      </c>
      <c r="AG2165" s="119">
        <v>1.0812344856819016</v>
      </c>
      <c r="AH2165" s="120">
        <v>1.0821785091828226E-2</v>
      </c>
      <c r="AI2165" s="121">
        <v>-35</v>
      </c>
      <c r="AJ2165" s="121">
        <v>-10</v>
      </c>
      <c r="AK2165" s="121">
        <v>35</v>
      </c>
      <c r="AL2165" s="121">
        <v>55</v>
      </c>
      <c r="AM2165" s="122">
        <v>41522</v>
      </c>
      <c r="AN2165" s="121" t="s">
        <v>668</v>
      </c>
      <c r="AP2165" s="87"/>
    </row>
    <row r="2166" spans="1:42">
      <c r="A2166" s="106"/>
      <c r="B2166" s="106"/>
      <c r="C2166" s="106"/>
      <c r="D2166" s="106"/>
      <c r="E2166" s="106"/>
      <c r="F2166" s="106"/>
      <c r="G2166" s="95">
        <v>3000</v>
      </c>
      <c r="H2166" s="108"/>
      <c r="I2166" s="107">
        <v>410.29927932685479</v>
      </c>
      <c r="J2166" s="107">
        <v>17.07896973499734</v>
      </c>
      <c r="K2166" s="107">
        <v>4.3181902453770507</v>
      </c>
      <c r="L2166" s="107">
        <v>0.19304047958606368</v>
      </c>
      <c r="M2166" s="107">
        <v>-3.6124256691451966E-2</v>
      </c>
      <c r="N2166" s="107">
        <v>-0.17774193219502216</v>
      </c>
      <c r="O2166" s="107">
        <v>7.9761256601375936E-4</v>
      </c>
      <c r="P2166" s="107">
        <v>-1.0439051316919902E-4</v>
      </c>
      <c r="Q2166" s="107">
        <v>-5.987377674555182E-4</v>
      </c>
      <c r="R2166" s="107">
        <v>1.237848777912044E-3</v>
      </c>
      <c r="S2166" s="107">
        <v>207.16939844208503</v>
      </c>
      <c r="T2166" s="107">
        <v>-2.1277159250541695</v>
      </c>
      <c r="U2166" s="107">
        <v>-10.355795102008523</v>
      </c>
      <c r="V2166" s="107">
        <v>-4.6278840773522359E-2</v>
      </c>
      <c r="W2166" s="107">
        <v>0.11346260017457267</v>
      </c>
      <c r="X2166" s="107">
        <v>0.28042284692592778</v>
      </c>
      <c r="Y2166" s="107">
        <v>-1.2519176613946348E-4</v>
      </c>
      <c r="Z2166" s="107">
        <v>9.9031577019725826E-4</v>
      </c>
      <c r="AA2166" s="107">
        <v>-4.8739933822406731E-4</v>
      </c>
      <c r="AB2166" s="107">
        <v>-2.2040891707523747E-3</v>
      </c>
      <c r="AC2166" s="119">
        <v>4.3433873219632414E-2</v>
      </c>
      <c r="AD2166" s="119">
        <v>1.8121576774409711</v>
      </c>
      <c r="AE2166" s="120">
        <v>6.5489104786168682E-3</v>
      </c>
      <c r="AF2166" s="119">
        <v>2.7716317577330288E-2</v>
      </c>
      <c r="AG2166" s="119">
        <v>1.1699451668365222</v>
      </c>
      <c r="AH2166" s="120">
        <v>6.0637559938498953E-3</v>
      </c>
      <c r="AI2166" s="121">
        <v>-35</v>
      </c>
      <c r="AJ2166" s="121">
        <v>-10</v>
      </c>
      <c r="AK2166" s="121">
        <v>35</v>
      </c>
      <c r="AL2166" s="121">
        <v>55</v>
      </c>
      <c r="AM2166" s="122">
        <v>41522</v>
      </c>
      <c r="AN2166" s="121" t="s">
        <v>668</v>
      </c>
      <c r="AP2166" s="87"/>
    </row>
    <row r="2167" spans="1:42">
      <c r="A2167" s="106"/>
      <c r="B2167" s="106"/>
      <c r="C2167" s="106"/>
      <c r="D2167" s="106"/>
      <c r="E2167" s="106"/>
      <c r="F2167" s="106"/>
      <c r="G2167" s="95">
        <v>4500</v>
      </c>
      <c r="H2167" s="108"/>
      <c r="I2167" s="107">
        <v>544.00183956259764</v>
      </c>
      <c r="J2167" s="107">
        <v>29.388158675497923</v>
      </c>
      <c r="K2167" s="107">
        <v>6.060574885866262</v>
      </c>
      <c r="L2167" s="107">
        <v>0.63968066605930074</v>
      </c>
      <c r="M2167" s="107">
        <v>-4.8708635709453961E-2</v>
      </c>
      <c r="N2167" s="107">
        <v>-0.18183952907042863</v>
      </c>
      <c r="O2167" s="107">
        <v>4.8765189355384868E-3</v>
      </c>
      <c r="P2167" s="107">
        <v>-3.4103283361650977E-3</v>
      </c>
      <c r="Q2167" s="107">
        <v>-1.8867209736258585E-3</v>
      </c>
      <c r="R2167" s="107">
        <v>7.7776533583341048E-4</v>
      </c>
      <c r="S2167" s="107">
        <v>219.89227700732332</v>
      </c>
      <c r="T2167" s="107">
        <v>1.230820025506578</v>
      </c>
      <c r="U2167" s="107">
        <v>-8.4915728533689041</v>
      </c>
      <c r="V2167" s="107">
        <v>5.7741238979508676E-2</v>
      </c>
      <c r="W2167" s="107">
        <v>5.9488917217294761E-2</v>
      </c>
      <c r="X2167" s="107">
        <v>0.25504496250330183</v>
      </c>
      <c r="Y2167" s="107">
        <v>7.1169377374675222E-4</v>
      </c>
      <c r="Z2167" s="107">
        <v>-2.0073959486008653E-4</v>
      </c>
      <c r="AA2167" s="107">
        <v>-1.5044808880895023E-4</v>
      </c>
      <c r="AB2167" s="107">
        <v>-2.0860970648847255E-3</v>
      </c>
      <c r="AC2167" s="119">
        <v>6.7646381316399121E-2</v>
      </c>
      <c r="AD2167" s="119">
        <v>2.8038743312809662</v>
      </c>
      <c r="AE2167" s="120">
        <v>5.8044370747172428E-3</v>
      </c>
      <c r="AF2167" s="119">
        <v>3.968729266698607E-2</v>
      </c>
      <c r="AG2167" s="119">
        <v>1.3179029284898951</v>
      </c>
      <c r="AH2167" s="120">
        <v>5.1697473831963285E-3</v>
      </c>
      <c r="AI2167" s="121">
        <v>-35</v>
      </c>
      <c r="AJ2167" s="121">
        <v>-10</v>
      </c>
      <c r="AK2167" s="121">
        <v>35</v>
      </c>
      <c r="AL2167" s="121">
        <v>55</v>
      </c>
      <c r="AM2167" s="122">
        <v>41522</v>
      </c>
      <c r="AN2167" s="121" t="s">
        <v>668</v>
      </c>
      <c r="AP2167" s="87"/>
    </row>
    <row r="2168" spans="1:42">
      <c r="A2168" s="106" t="s">
        <v>43</v>
      </c>
      <c r="B2168" s="106" t="s">
        <v>44</v>
      </c>
      <c r="C2168" s="106" t="s">
        <v>45</v>
      </c>
      <c r="D2168" s="106" t="s">
        <v>46</v>
      </c>
      <c r="E2168" s="106" t="s">
        <v>47</v>
      </c>
      <c r="F2168" s="106" t="s">
        <v>177</v>
      </c>
      <c r="G2168" s="95"/>
      <c r="H2168" s="106" t="str">
        <f>CONCATENATE(A2168," ",B2168," ",C2168," ",D2168," ",E2168," ",F2168)</f>
        <v>Embraco Isobutane 50 Hz 230V VSD VESD9C</v>
      </c>
      <c r="I2168" s="107"/>
      <c r="J2168" s="107"/>
      <c r="K2168" s="107"/>
      <c r="L2168" s="107"/>
      <c r="M2168" s="107"/>
      <c r="N2168" s="107"/>
      <c r="O2168" s="107"/>
      <c r="P2168" s="107"/>
      <c r="Q2168" s="107"/>
      <c r="R2168" s="107"/>
      <c r="S2168" s="107"/>
      <c r="T2168" s="107"/>
      <c r="U2168" s="107"/>
      <c r="V2168" s="107"/>
      <c r="W2168" s="107"/>
      <c r="X2168" s="107"/>
      <c r="Y2168" s="107"/>
      <c r="Z2168" s="107"/>
      <c r="AA2168" s="107"/>
      <c r="AB2168" s="107"/>
      <c r="AC2168" s="119"/>
      <c r="AD2168" s="119"/>
      <c r="AE2168" s="120"/>
      <c r="AF2168" s="119"/>
      <c r="AG2168" s="119"/>
      <c r="AH2168" s="120"/>
      <c r="AI2168" s="121"/>
      <c r="AJ2168" s="121"/>
      <c r="AK2168" s="121"/>
      <c r="AL2168" s="121"/>
      <c r="AM2168" s="122"/>
      <c r="AN2168" s="121"/>
      <c r="AP2168" s="87"/>
    </row>
    <row r="2169" spans="1:42">
      <c r="A2169" s="106"/>
      <c r="B2169" s="106"/>
      <c r="C2169" s="106"/>
      <c r="D2169" s="106"/>
      <c r="E2169" s="106"/>
      <c r="F2169" s="106"/>
      <c r="G2169" s="95">
        <v>1300</v>
      </c>
      <c r="H2169" s="108"/>
      <c r="I2169" s="107">
        <v>136.2775592531375</v>
      </c>
      <c r="J2169" s="107">
        <v>7.0503835571340217</v>
      </c>
      <c r="K2169" s="107">
        <v>6.028298132255582</v>
      </c>
      <c r="L2169" s="107">
        <v>0.11116250135809279</v>
      </c>
      <c r="M2169" s="107">
        <v>7.1129559505742332E-2</v>
      </c>
      <c r="N2169" s="107">
        <v>-0.13596949637211553</v>
      </c>
      <c r="O2169" s="107">
        <v>3.6604551015011666E-4</v>
      </c>
      <c r="P2169" s="107">
        <v>-3.2047139049768292E-4</v>
      </c>
      <c r="Q2169" s="107">
        <v>-1.3176523490765599E-3</v>
      </c>
      <c r="R2169" s="107">
        <v>6.8589333348190076E-4</v>
      </c>
      <c r="S2169" s="107">
        <v>104.41720160750143</v>
      </c>
      <c r="T2169" s="107">
        <v>-1.4797380165956624</v>
      </c>
      <c r="U2169" s="107">
        <v>-5.8618808259057955</v>
      </c>
      <c r="V2169" s="107">
        <v>-3.1289937465126282E-2</v>
      </c>
      <c r="W2169" s="107">
        <v>6.0167572642506779E-2</v>
      </c>
      <c r="X2169" s="107">
        <v>0.16396405876475609</v>
      </c>
      <c r="Y2169" s="107">
        <v>-4.049591649917538E-4</v>
      </c>
      <c r="Z2169" s="107">
        <v>9.5112572775340605E-5</v>
      </c>
      <c r="AA2169" s="107">
        <v>-3.8483844648861315E-4</v>
      </c>
      <c r="AB2169" s="107">
        <v>-1.3063112863490182E-3</v>
      </c>
      <c r="AC2169" s="119">
        <v>4.5101695227245504E-2</v>
      </c>
      <c r="AD2169" s="119">
        <v>1.565968360029562</v>
      </c>
      <c r="AE2169" s="120">
        <v>1.061733976616127E-2</v>
      </c>
      <c r="AF2169" s="119">
        <v>1.4187551727675463E-2</v>
      </c>
      <c r="AG2169" s="119">
        <v>0.49795964848925167</v>
      </c>
      <c r="AH2169" s="120">
        <v>9.3112211649184276E-3</v>
      </c>
      <c r="AI2169" s="121">
        <v>-35</v>
      </c>
      <c r="AJ2169" s="121">
        <v>-10</v>
      </c>
      <c r="AK2169" s="121">
        <v>35</v>
      </c>
      <c r="AL2169" s="121">
        <v>55</v>
      </c>
      <c r="AM2169" s="122">
        <v>41486</v>
      </c>
      <c r="AN2169" s="121" t="s">
        <v>668</v>
      </c>
      <c r="AP2169" s="87"/>
    </row>
    <row r="2170" spans="1:42">
      <c r="A2170" s="106"/>
      <c r="B2170" s="106"/>
      <c r="C2170" s="106"/>
      <c r="D2170" s="106"/>
      <c r="E2170" s="106"/>
      <c r="F2170" s="106"/>
      <c r="G2170" s="95">
        <v>1600</v>
      </c>
      <c r="H2170" s="108"/>
      <c r="I2170" s="107">
        <v>141.87781880917117</v>
      </c>
      <c r="J2170" s="107">
        <v>7.531145109057185</v>
      </c>
      <c r="K2170" s="107">
        <v>8.2797207967143152</v>
      </c>
      <c r="L2170" s="107">
        <v>0.18873976901343914</v>
      </c>
      <c r="M2170" s="107">
        <v>0.19188401508706646</v>
      </c>
      <c r="N2170" s="107">
        <v>-0.15217135766150008</v>
      </c>
      <c r="O2170" s="107">
        <v>1.1272051999916964E-3</v>
      </c>
      <c r="P2170" s="107">
        <v>-5.29581093306536E-4</v>
      </c>
      <c r="Q2170" s="107">
        <v>-2.8833175762042378E-3</v>
      </c>
      <c r="R2170" s="107">
        <v>4.5849546086818146E-4</v>
      </c>
      <c r="S2170" s="107">
        <v>90.87263861240848</v>
      </c>
      <c r="T2170" s="107">
        <v>-3.3734418008399913</v>
      </c>
      <c r="U2170" s="107">
        <v>-5.3530079222629574</v>
      </c>
      <c r="V2170" s="107">
        <v>-4.846292161831646E-2</v>
      </c>
      <c r="W2170" s="107">
        <v>0.13816147692036018</v>
      </c>
      <c r="X2170" s="107">
        <v>0.17745531080157795</v>
      </c>
      <c r="Y2170" s="107">
        <v>-3.2504092260903991E-4</v>
      </c>
      <c r="Z2170" s="107">
        <v>6.6289965085183488E-4</v>
      </c>
      <c r="AA2170" s="107">
        <v>-9.4542182844007977E-4</v>
      </c>
      <c r="AB2170" s="107">
        <v>-1.5385725931723626E-3</v>
      </c>
      <c r="AC2170" s="119">
        <v>3.4099175256489103E-2</v>
      </c>
      <c r="AD2170" s="119">
        <v>1.116620426675458</v>
      </c>
      <c r="AE2170" s="120">
        <v>7.941546030326466E-3</v>
      </c>
      <c r="AF2170" s="119">
        <v>3.3585513832891066E-2</v>
      </c>
      <c r="AG2170" s="119">
        <v>1.3529710698207493</v>
      </c>
      <c r="AH2170" s="120">
        <v>1.045573829248604E-2</v>
      </c>
      <c r="AI2170" s="121">
        <v>-35</v>
      </c>
      <c r="AJ2170" s="121">
        <v>-10</v>
      </c>
      <c r="AK2170" s="121">
        <v>35</v>
      </c>
      <c r="AL2170" s="121">
        <v>55</v>
      </c>
      <c r="AM2170" s="122">
        <v>41486</v>
      </c>
      <c r="AN2170" s="121" t="s">
        <v>668</v>
      </c>
      <c r="AP2170" s="87"/>
    </row>
    <row r="2171" spans="1:42">
      <c r="A2171" s="106"/>
      <c r="B2171" s="106"/>
      <c r="C2171" s="106"/>
      <c r="D2171" s="106"/>
      <c r="E2171" s="106"/>
      <c r="F2171" s="106"/>
      <c r="G2171" s="95">
        <v>2000</v>
      </c>
      <c r="H2171" s="108"/>
      <c r="I2171" s="107">
        <v>364.3017407092745</v>
      </c>
      <c r="J2171" s="107">
        <v>16.430708451043309</v>
      </c>
      <c r="K2171" s="107">
        <v>2.1836814318541253</v>
      </c>
      <c r="L2171" s="107">
        <v>0.2357235228578968</v>
      </c>
      <c r="M2171" s="107">
        <v>-8.4946977788315725E-2</v>
      </c>
      <c r="N2171" s="107">
        <v>-0.11500703375883316</v>
      </c>
      <c r="O2171" s="107">
        <v>1.2195544237856551E-3</v>
      </c>
      <c r="P2171" s="107">
        <v>-1.1246623504260745E-3</v>
      </c>
      <c r="Q2171" s="107">
        <v>-2.8432703509861815E-4</v>
      </c>
      <c r="R2171" s="107">
        <v>7.5804653212905465E-4</v>
      </c>
      <c r="S2171" s="107">
        <v>124.81761867886304</v>
      </c>
      <c r="T2171" s="107">
        <v>-1.4345050888022071</v>
      </c>
      <c r="U2171" s="107">
        <v>-5.4817056984725667</v>
      </c>
      <c r="V2171" s="107">
        <v>-6.2369271382192351E-2</v>
      </c>
      <c r="W2171" s="107">
        <v>4.610352911142291E-2</v>
      </c>
      <c r="X2171" s="107">
        <v>0.15211893085084055</v>
      </c>
      <c r="Y2171" s="107">
        <v>-5.2296602219679695E-4</v>
      </c>
      <c r="Z2171" s="107">
        <v>6.3596729744889286E-4</v>
      </c>
      <c r="AA2171" s="107">
        <v>7.8147387015404095E-5</v>
      </c>
      <c r="AB2171" s="107">
        <v>-1.1371901887098478E-3</v>
      </c>
      <c r="AC2171" s="119">
        <v>1.1978658569989357E-2</v>
      </c>
      <c r="AD2171" s="119">
        <v>0.58506530189478423</v>
      </c>
      <c r="AE2171" s="120">
        <v>4.3650965035944931E-3</v>
      </c>
      <c r="AF2171" s="119">
        <v>3.6743298624005015E-2</v>
      </c>
      <c r="AG2171" s="119">
        <v>1.3471316378141924</v>
      </c>
      <c r="AH2171" s="120">
        <v>9.3386342365846531E-3</v>
      </c>
      <c r="AI2171" s="121">
        <v>-35</v>
      </c>
      <c r="AJ2171" s="121">
        <v>-10</v>
      </c>
      <c r="AK2171" s="121">
        <v>35</v>
      </c>
      <c r="AL2171" s="121">
        <v>55</v>
      </c>
      <c r="AM2171" s="122">
        <v>41486</v>
      </c>
      <c r="AN2171" s="121" t="s">
        <v>668</v>
      </c>
      <c r="AP2171" s="87"/>
    </row>
    <row r="2172" spans="1:42">
      <c r="A2172" s="106"/>
      <c r="B2172" s="106"/>
      <c r="C2172" s="106"/>
      <c r="D2172" s="106"/>
      <c r="E2172" s="106"/>
      <c r="F2172" s="106"/>
      <c r="G2172" s="109">
        <v>3000</v>
      </c>
      <c r="H2172" s="108"/>
      <c r="I2172" s="107">
        <v>-19.220382587839666</v>
      </c>
      <c r="J2172" s="107">
        <v>5.9485523199603243</v>
      </c>
      <c r="K2172" s="107">
        <v>34.49801461295656</v>
      </c>
      <c r="L2172" s="107">
        <v>-0.11901214202754394</v>
      </c>
      <c r="M2172" s="107">
        <v>0.13622954663030665</v>
      </c>
      <c r="N2172" s="107">
        <v>-0.84891443954195522</v>
      </c>
      <c r="O2172" s="107">
        <v>-5.8539378006372059E-3</v>
      </c>
      <c r="P2172" s="107">
        <v>-5.4223489879924366E-3</v>
      </c>
      <c r="Q2172" s="107">
        <v>-4.8114313541699951E-3</v>
      </c>
      <c r="R2172" s="107">
        <v>5.7933683329796726E-3</v>
      </c>
      <c r="S2172" s="107">
        <v>164.9418897066578</v>
      </c>
      <c r="T2172" s="107">
        <v>-0.95486380285935435</v>
      </c>
      <c r="U2172" s="107">
        <v>-5.3626360071844035</v>
      </c>
      <c r="V2172" s="107">
        <v>-4.0743757089239364E-2</v>
      </c>
      <c r="W2172" s="107">
        <v>8.2346034385853348E-2</v>
      </c>
      <c r="X2172" s="107">
        <v>0.16424856014530198</v>
      </c>
      <c r="Y2172" s="107">
        <v>-3.4315553584505533E-4</v>
      </c>
      <c r="Z2172" s="107">
        <v>5.0089512550217062E-4</v>
      </c>
      <c r="AA2172" s="107">
        <v>-2.7501399704390111E-4</v>
      </c>
      <c r="AB2172" s="107">
        <v>-1.290363229440983E-3</v>
      </c>
      <c r="AC2172" s="119">
        <v>42.915903937195978</v>
      </c>
      <c r="AD2172" s="119">
        <v>1412.3121184144777</v>
      </c>
      <c r="AE2172" s="120">
        <v>0.14658177059298932</v>
      </c>
      <c r="AF2172" s="119">
        <v>1.4169556157789259E-2</v>
      </c>
      <c r="AG2172" s="119">
        <v>1.040178222480713</v>
      </c>
      <c r="AH2172" s="120">
        <v>5.0488025180947015E-3</v>
      </c>
      <c r="AI2172" s="121">
        <v>-35</v>
      </c>
      <c r="AJ2172" s="121">
        <v>-10</v>
      </c>
      <c r="AK2172" s="121">
        <v>35</v>
      </c>
      <c r="AL2172" s="121">
        <v>55</v>
      </c>
      <c r="AM2172" s="122">
        <v>42982</v>
      </c>
      <c r="AN2172" s="121" t="s">
        <v>504</v>
      </c>
      <c r="AP2172" s="87"/>
    </row>
    <row r="2173" spans="1:42">
      <c r="A2173" s="106"/>
      <c r="B2173" s="106"/>
      <c r="C2173" s="106"/>
      <c r="D2173" s="106"/>
      <c r="E2173" s="106"/>
      <c r="F2173" s="106"/>
      <c r="G2173" s="95">
        <v>4500</v>
      </c>
      <c r="H2173" s="108"/>
      <c r="I2173" s="107">
        <v>948.66706387767397</v>
      </c>
      <c r="J2173" s="107">
        <v>47.435242529395154</v>
      </c>
      <c r="K2173" s="107">
        <v>-4.9764774881471334</v>
      </c>
      <c r="L2173" s="107">
        <v>0.81539592442292896</v>
      </c>
      <c r="M2173" s="107">
        <v>-0.53742376852722951</v>
      </c>
      <c r="N2173" s="107">
        <v>-0.10388343244734384</v>
      </c>
      <c r="O2173" s="107">
        <v>6.6388004203943394E-3</v>
      </c>
      <c r="P2173" s="107">
        <v>-3.4841642633594294E-3</v>
      </c>
      <c r="Q2173" s="107">
        <v>3.0879938985359685E-3</v>
      </c>
      <c r="R2173" s="107">
        <v>1.248488718370841E-3</v>
      </c>
      <c r="S2173" s="107">
        <v>275.55310109555762</v>
      </c>
      <c r="T2173" s="107">
        <v>8.5258648694052539</v>
      </c>
      <c r="U2173" s="107">
        <v>-5.6170141366701101</v>
      </c>
      <c r="V2173" s="107">
        <v>0.1712098883059448</v>
      </c>
      <c r="W2173" s="107">
        <v>-0.11090273834692438</v>
      </c>
      <c r="X2173" s="107">
        <v>0.12758229699358928</v>
      </c>
      <c r="Y2173" s="107">
        <v>1.8647743097263208E-3</v>
      </c>
      <c r="Z2173" s="107">
        <v>-6.6246744441363363E-4</v>
      </c>
      <c r="AA2173" s="107">
        <v>1.3820532133868764E-3</v>
      </c>
      <c r="AB2173" s="107">
        <v>-7.2295945555492225E-4</v>
      </c>
      <c r="AC2173" s="119">
        <v>5.1714147539897337E-2</v>
      </c>
      <c r="AD2173" s="119">
        <v>2.2667172255466221</v>
      </c>
      <c r="AE2173" s="120">
        <v>4.1495988678051194E-3</v>
      </c>
      <c r="AF2173" s="119">
        <v>1.4439618292461192E-2</v>
      </c>
      <c r="AG2173" s="119">
        <v>0.55977014807004932</v>
      </c>
      <c r="AH2173" s="120">
        <v>2.1344171404606982E-3</v>
      </c>
      <c r="AI2173" s="121">
        <v>-35</v>
      </c>
      <c r="AJ2173" s="121">
        <v>-10</v>
      </c>
      <c r="AK2173" s="121">
        <v>35</v>
      </c>
      <c r="AL2173" s="121">
        <v>55</v>
      </c>
      <c r="AM2173" s="122">
        <v>41486</v>
      </c>
      <c r="AN2173" s="121" t="s">
        <v>668</v>
      </c>
      <c r="AP2173" s="87"/>
    </row>
    <row r="2174" spans="1:42">
      <c r="A2174" s="93" t="s">
        <v>43</v>
      </c>
      <c r="B2174" s="93" t="s">
        <v>44</v>
      </c>
      <c r="C2174" s="93" t="s">
        <v>45</v>
      </c>
      <c r="D2174" s="93" t="s">
        <v>46</v>
      </c>
      <c r="E2174" s="93" t="s">
        <v>47</v>
      </c>
      <c r="F2174" s="93" t="s">
        <v>179</v>
      </c>
      <c r="G2174" s="95"/>
      <c r="H2174" s="93" t="str">
        <f>CONCATENATE(A2174," ",B2174," ",C2174," ",D2174," ",E2174," ",F2174)</f>
        <v>Embraco Isobutane 50 Hz 230V VSD VESD11C</v>
      </c>
      <c r="I2174" s="103"/>
      <c r="J2174" s="103"/>
      <c r="K2174" s="103"/>
      <c r="L2174" s="103"/>
      <c r="M2174" s="103"/>
      <c r="N2174" s="103"/>
      <c r="O2174" s="103"/>
      <c r="P2174" s="103"/>
      <c r="Q2174" s="103"/>
      <c r="R2174" s="103"/>
      <c r="S2174" s="103"/>
      <c r="T2174" s="103"/>
      <c r="U2174" s="103"/>
      <c r="V2174" s="103"/>
      <c r="W2174" s="103"/>
      <c r="X2174" s="103"/>
      <c r="Y2174" s="103"/>
      <c r="Z2174" s="103"/>
      <c r="AA2174" s="103"/>
      <c r="AB2174" s="103"/>
      <c r="AC2174" s="119"/>
      <c r="AD2174" s="119"/>
      <c r="AE2174" s="120"/>
      <c r="AF2174" s="119"/>
      <c r="AG2174" s="119"/>
      <c r="AH2174" s="120"/>
      <c r="AI2174" s="121"/>
      <c r="AJ2174" s="121"/>
      <c r="AK2174" s="121"/>
      <c r="AL2174" s="121"/>
      <c r="AM2174" s="122"/>
      <c r="AN2174" s="121"/>
      <c r="AP2174" s="87"/>
    </row>
    <row r="2175" spans="1:42">
      <c r="A2175" s="93"/>
      <c r="B2175" s="93"/>
      <c r="C2175" s="93"/>
      <c r="D2175" s="93"/>
      <c r="E2175" s="93"/>
      <c r="F2175" s="93"/>
      <c r="G2175" s="95">
        <v>1300</v>
      </c>
      <c r="H2175" s="93"/>
      <c r="I2175" s="103">
        <v>0.95725610790634075</v>
      </c>
      <c r="J2175" s="103">
        <v>12.685566430106746</v>
      </c>
      <c r="K2175" s="103">
        <v>21.795551750766887</v>
      </c>
      <c r="L2175" s="103">
        <v>0.16120988575784675</v>
      </c>
      <c r="M2175" s="103">
        <v>-6.7266881157766578E-2</v>
      </c>
      <c r="N2175" s="103">
        <v>-0.54422117611372223</v>
      </c>
      <c r="O2175" s="103">
        <v>7.1213427417086451E-4</v>
      </c>
      <c r="P2175" s="103">
        <v>-6.2187890993368566E-4</v>
      </c>
      <c r="Q2175" s="103">
        <v>-1.262291292652132E-4</v>
      </c>
      <c r="R2175" s="103">
        <v>3.9519071548343877E-3</v>
      </c>
      <c r="S2175" s="103">
        <v>0.24580707487602024</v>
      </c>
      <c r="T2175" s="103">
        <v>-0.481582011319377</v>
      </c>
      <c r="U2175" s="103">
        <v>2.6753308621022356</v>
      </c>
      <c r="V2175" s="103">
        <v>-3.7963915105435314E-2</v>
      </c>
      <c r="W2175" s="103">
        <v>1.4497563847637026E-2</v>
      </c>
      <c r="X2175" s="103">
        <v>-4.2493563958528283E-2</v>
      </c>
      <c r="Y2175" s="103">
        <v>-4.2573173776289672E-4</v>
      </c>
      <c r="Z2175" s="103">
        <v>2.2375137923722697E-4</v>
      </c>
      <c r="AA2175" s="103">
        <v>2.2015449444965577E-4</v>
      </c>
      <c r="AB2175" s="103">
        <v>3.4818790804743783E-4</v>
      </c>
      <c r="AC2175" s="119">
        <v>1.7413800806500054E-2</v>
      </c>
      <c r="AD2175" s="119">
        <v>0.60128476523486962</v>
      </c>
      <c r="AE2175" s="120">
        <v>6.0853427764251565E-3</v>
      </c>
      <c r="AF2175" s="119">
        <v>2.2306032159064706E-2</v>
      </c>
      <c r="AG2175" s="119">
        <v>0.84244267545282492</v>
      </c>
      <c r="AH2175" s="120">
        <v>8.791024024753671E-3</v>
      </c>
      <c r="AI2175" s="121">
        <v>-35</v>
      </c>
      <c r="AJ2175" s="121">
        <v>-10</v>
      </c>
      <c r="AK2175" s="121">
        <v>35</v>
      </c>
      <c r="AL2175" s="121">
        <v>55</v>
      </c>
      <c r="AM2175" s="122">
        <v>42697</v>
      </c>
      <c r="AN2175" s="121" t="s">
        <v>481</v>
      </c>
      <c r="AP2175" s="87"/>
    </row>
    <row r="2176" spans="1:42">
      <c r="A2176" s="93"/>
      <c r="B2176" s="93"/>
      <c r="C2176" s="93"/>
      <c r="D2176" s="93"/>
      <c r="E2176" s="93"/>
      <c r="F2176" s="93"/>
      <c r="G2176" s="95">
        <v>1600</v>
      </c>
      <c r="H2176" s="93"/>
      <c r="I2176" s="103">
        <v>1.3093574779201926</v>
      </c>
      <c r="J2176" s="103">
        <v>15.887922089680702</v>
      </c>
      <c r="K2176" s="103">
        <v>27.580471911080249</v>
      </c>
      <c r="L2176" s="103">
        <v>0.17574264470406839</v>
      </c>
      <c r="M2176" s="103">
        <v>-0.10549030358958805</v>
      </c>
      <c r="N2176" s="103">
        <v>-0.70095244396661271</v>
      </c>
      <c r="O2176" s="103">
        <v>7.7183320341745615E-4</v>
      </c>
      <c r="P2176" s="103">
        <v>-3.1312870359676275E-4</v>
      </c>
      <c r="Q2176" s="103">
        <v>2.7243515676435726E-4</v>
      </c>
      <c r="R2176" s="103">
        <v>5.2149231830088535E-3</v>
      </c>
      <c r="S2176" s="103">
        <v>0.21310987130666542</v>
      </c>
      <c r="T2176" s="103">
        <v>-1.6290545568462278</v>
      </c>
      <c r="U2176" s="103">
        <v>3.0435551906301486</v>
      </c>
      <c r="V2176" s="103">
        <v>-6.2614423399076385E-2</v>
      </c>
      <c r="W2176" s="103">
        <v>5.5699336142581705E-2</v>
      </c>
      <c r="X2176" s="103">
        <v>-3.9472162641731132E-2</v>
      </c>
      <c r="Y2176" s="103">
        <v>-5.4793868869608127E-4</v>
      </c>
      <c r="Z2176" s="103">
        <v>6.3590213404932235E-4</v>
      </c>
      <c r="AA2176" s="103">
        <v>-3.0322853962579814E-6</v>
      </c>
      <c r="AB2176" s="103">
        <v>2.903743614265794E-4</v>
      </c>
      <c r="AC2176" s="119">
        <v>1.8274850704123671E-2</v>
      </c>
      <c r="AD2176" s="119">
        <v>0.63260725099978732</v>
      </c>
      <c r="AE2176" s="120">
        <v>4.3270423755959212E-3</v>
      </c>
      <c r="AF2176" s="119">
        <v>3.2173947391878205E-2</v>
      </c>
      <c r="AG2176" s="119">
        <v>0.80389786883979963</v>
      </c>
      <c r="AH2176" s="120">
        <v>7.4229798361480602E-3</v>
      </c>
      <c r="AI2176" s="121">
        <v>-35</v>
      </c>
      <c r="AJ2176" s="121">
        <v>-10</v>
      </c>
      <c r="AK2176" s="121">
        <v>35</v>
      </c>
      <c r="AL2176" s="121">
        <v>55</v>
      </c>
      <c r="AM2176" s="122">
        <v>42697</v>
      </c>
      <c r="AN2176" s="121" t="s">
        <v>481</v>
      </c>
      <c r="AP2176" s="87"/>
    </row>
    <row r="2177" spans="1:42">
      <c r="A2177" s="93"/>
      <c r="B2177" s="93"/>
      <c r="C2177" s="93"/>
      <c r="D2177" s="93"/>
      <c r="E2177" s="93"/>
      <c r="F2177" s="93"/>
      <c r="G2177" s="95">
        <v>2000</v>
      </c>
      <c r="H2177" s="93"/>
      <c r="I2177" s="103">
        <v>1.0778932748240813</v>
      </c>
      <c r="J2177" s="103">
        <v>20.138158002191823</v>
      </c>
      <c r="K2177" s="103">
        <v>34.63718574752685</v>
      </c>
      <c r="L2177" s="103">
        <v>0.20968825140373418</v>
      </c>
      <c r="M2177" s="103">
        <v>-0.1612668611517013</v>
      </c>
      <c r="N2177" s="103">
        <v>-0.88871329068240945</v>
      </c>
      <c r="O2177" s="103">
        <v>4.6253364629525847E-4</v>
      </c>
      <c r="P2177" s="103">
        <v>-1.0032069213513886E-3</v>
      </c>
      <c r="Q2177" s="103">
        <v>4.7208793534621291E-4</v>
      </c>
      <c r="R2177" s="103">
        <v>6.6875867275658588E-3</v>
      </c>
      <c r="S2177" s="103">
        <v>0.27586488890005573</v>
      </c>
      <c r="T2177" s="103">
        <v>-0.49394692342230856</v>
      </c>
      <c r="U2177" s="103">
        <v>4.6773857197340334</v>
      </c>
      <c r="V2177" s="103">
        <v>-4.7894612365447578E-2</v>
      </c>
      <c r="W2177" s="103">
        <v>3.7087704103607795E-2</v>
      </c>
      <c r="X2177" s="103">
        <v>-7.5023521370567822E-2</v>
      </c>
      <c r="Y2177" s="103">
        <v>-5.0663676433834292E-4</v>
      </c>
      <c r="Z2177" s="103">
        <v>4.654746095707016E-4</v>
      </c>
      <c r="AA2177" s="103">
        <v>1.7909430180652655E-4</v>
      </c>
      <c r="AB2177" s="103">
        <v>5.6097925903932002E-4</v>
      </c>
      <c r="AC2177" s="119">
        <v>2.4191366607061858E-2</v>
      </c>
      <c r="AD2177" s="119">
        <v>0.84991062614311985</v>
      </c>
      <c r="AE2177" s="120">
        <v>3.9882961932671459E-3</v>
      </c>
      <c r="AF2177" s="119">
        <v>6.2587544174721371E-2</v>
      </c>
      <c r="AG2177" s="119">
        <v>1.8021945462373394</v>
      </c>
      <c r="AH2177" s="120">
        <v>7.3941568265093278E-3</v>
      </c>
      <c r="AI2177" s="121">
        <v>-35</v>
      </c>
      <c r="AJ2177" s="121">
        <v>-10</v>
      </c>
      <c r="AK2177" s="121">
        <v>35</v>
      </c>
      <c r="AL2177" s="121">
        <v>55</v>
      </c>
      <c r="AM2177" s="122">
        <v>42697</v>
      </c>
      <c r="AN2177" s="121" t="s">
        <v>481</v>
      </c>
      <c r="AP2177" s="87"/>
    </row>
    <row r="2178" spans="1:42">
      <c r="A2178" s="93"/>
      <c r="B2178" s="93"/>
      <c r="C2178" s="93"/>
      <c r="D2178" s="93"/>
      <c r="E2178" s="93"/>
      <c r="F2178" s="93"/>
      <c r="G2178" s="95">
        <v>3000</v>
      </c>
      <c r="H2178" s="93"/>
      <c r="I2178" s="103">
        <v>2.4343218307037917</v>
      </c>
      <c r="J2178" s="103">
        <v>30.404193814714287</v>
      </c>
      <c r="K2178" s="103">
        <v>51.745067502322776</v>
      </c>
      <c r="L2178" s="103">
        <v>0.33147048015910163</v>
      </c>
      <c r="M2178" s="103">
        <v>-0.25160088561671751</v>
      </c>
      <c r="N2178" s="103">
        <v>-1.3289528255134591</v>
      </c>
      <c r="O2178" s="103">
        <v>6.4312024374559181E-4</v>
      </c>
      <c r="P2178" s="103">
        <v>-2.3056490816661039E-3</v>
      </c>
      <c r="Q2178" s="103">
        <v>4.0046314931951291E-4</v>
      </c>
      <c r="R2178" s="103">
        <v>9.9354443202482011E-3</v>
      </c>
      <c r="S2178" s="103">
        <v>0.502987232107031</v>
      </c>
      <c r="T2178" s="103">
        <v>2.1270592197941234</v>
      </c>
      <c r="U2178" s="103">
        <v>9.2112020214042012</v>
      </c>
      <c r="V2178" s="103">
        <v>-8.8577043894604891E-3</v>
      </c>
      <c r="W2178" s="103">
        <v>1.2463176041661301E-2</v>
      </c>
      <c r="X2178" s="103">
        <v>-0.1704683235555878</v>
      </c>
      <c r="Y2178" s="103">
        <v>-4.7257201217462062E-4</v>
      </c>
      <c r="Z2178" s="103">
        <v>-1.5756359490663794E-4</v>
      </c>
      <c r="AA2178" s="103">
        <v>2.477731948457988E-4</v>
      </c>
      <c r="AB2178" s="103">
        <v>1.2214971795662282E-3</v>
      </c>
      <c r="AC2178" s="119">
        <v>1.3620329071692442E-2</v>
      </c>
      <c r="AD2178" s="119">
        <v>0.73449832808898119</v>
      </c>
      <c r="AE2178" s="120">
        <v>2.6135015415706319E-3</v>
      </c>
      <c r="AF2178" s="119">
        <v>2.1423477438194175E-2</v>
      </c>
      <c r="AG2178" s="119">
        <v>0.70980501483121206</v>
      </c>
      <c r="AH2178" s="120">
        <v>3.469389275454083E-3</v>
      </c>
      <c r="AI2178" s="121">
        <v>-35</v>
      </c>
      <c r="AJ2178" s="121">
        <v>-10</v>
      </c>
      <c r="AK2178" s="121">
        <v>35</v>
      </c>
      <c r="AL2178" s="121">
        <v>55</v>
      </c>
      <c r="AM2178" s="122">
        <v>42697</v>
      </c>
      <c r="AN2178" s="121" t="s">
        <v>481</v>
      </c>
      <c r="AP2178" s="87"/>
    </row>
    <row r="2179" spans="1:42">
      <c r="A2179" s="93"/>
      <c r="B2179" s="93"/>
      <c r="C2179" s="93"/>
      <c r="D2179" s="93"/>
      <c r="E2179" s="93"/>
      <c r="F2179" s="93"/>
      <c r="G2179" s="95">
        <v>4500</v>
      </c>
      <c r="H2179" s="93"/>
      <c r="I2179" s="103">
        <v>3.6978396878804114</v>
      </c>
      <c r="J2179" s="103">
        <v>52.825539188552597</v>
      </c>
      <c r="K2179" s="103">
        <v>73.258432990334839</v>
      </c>
      <c r="L2179" s="103">
        <v>1.1915339375850367</v>
      </c>
      <c r="M2179" s="103">
        <v>-0.10261616482860407</v>
      </c>
      <c r="N2179" s="103">
        <v>-1.7960301497827953</v>
      </c>
      <c r="O2179" s="103">
        <v>1.1345401183160971E-2</v>
      </c>
      <c r="P2179" s="103">
        <v>-1.4608087772355614E-3</v>
      </c>
      <c r="Q2179" s="103">
        <v>-9.5170793588886086E-4</v>
      </c>
      <c r="R2179" s="103">
        <v>1.3223150470854273E-2</v>
      </c>
      <c r="S2179" s="103">
        <v>0.74366173213786102</v>
      </c>
      <c r="T2179" s="103">
        <v>4.4727902317740691</v>
      </c>
      <c r="U2179" s="103">
        <v>14.720915851502289</v>
      </c>
      <c r="V2179" s="103">
        <v>0.11009461291463188</v>
      </c>
      <c r="W2179" s="103">
        <v>8.4705006634201704E-2</v>
      </c>
      <c r="X2179" s="103">
        <v>-0.28518321714932965</v>
      </c>
      <c r="Y2179" s="103">
        <v>1.7360059738616262E-3</v>
      </c>
      <c r="Z2179" s="103">
        <v>1.3434364554660413E-3</v>
      </c>
      <c r="AA2179" s="103">
        <v>3.571060658228888E-4</v>
      </c>
      <c r="AB2179" s="103">
        <v>2.2168522612320239E-3</v>
      </c>
      <c r="AC2179" s="119">
        <v>9.4586809728237686E-2</v>
      </c>
      <c r="AD2179" s="119">
        <v>2.8150790450995591</v>
      </c>
      <c r="AE2179" s="120">
        <v>3.5296734435453551E-3</v>
      </c>
      <c r="AF2179" s="119">
        <v>5.2495446971190015E-3</v>
      </c>
      <c r="AG2179" s="119">
        <v>0.14367599409831924</v>
      </c>
      <c r="AH2179" s="120">
        <v>9.373635633480984E-4</v>
      </c>
      <c r="AI2179" s="121">
        <v>-35</v>
      </c>
      <c r="AJ2179" s="121">
        <v>-10</v>
      </c>
      <c r="AK2179" s="121">
        <v>35</v>
      </c>
      <c r="AL2179" s="121">
        <v>55</v>
      </c>
      <c r="AM2179" s="122">
        <v>42697</v>
      </c>
      <c r="AN2179" s="121" t="s">
        <v>481</v>
      </c>
      <c r="AP2179" s="87"/>
    </row>
    <row r="2180" spans="1:42">
      <c r="A2180" s="71" t="s">
        <v>43</v>
      </c>
      <c r="B2180" s="71" t="s">
        <v>44</v>
      </c>
      <c r="C2180" s="71" t="s">
        <v>45</v>
      </c>
      <c r="D2180" s="71" t="s">
        <v>109</v>
      </c>
      <c r="E2180" s="71" t="s">
        <v>47</v>
      </c>
      <c r="F2180" s="71" t="s">
        <v>133</v>
      </c>
      <c r="G2180" s="95"/>
      <c r="H2180" s="71" t="str">
        <f>CONCATENATE(A2180," ",B2180," ",C2180," ",D2180," ",E2180," ",F2180)</f>
        <v>Embraco Isobutane 50 Hz 220V VSD VEGZ11C</v>
      </c>
      <c r="I2180" s="104"/>
      <c r="J2180" s="105"/>
      <c r="K2180" s="105"/>
      <c r="L2180" s="105"/>
      <c r="M2180" s="105"/>
      <c r="N2180" s="105"/>
      <c r="O2180" s="105"/>
      <c r="P2180" s="105"/>
      <c r="Q2180" s="105"/>
      <c r="R2180" s="105"/>
      <c r="S2180" s="105"/>
      <c r="T2180" s="105"/>
      <c r="U2180" s="105"/>
      <c r="V2180" s="105"/>
      <c r="W2180" s="105"/>
      <c r="X2180" s="105"/>
      <c r="Y2180" s="105"/>
      <c r="Z2180" s="105"/>
      <c r="AA2180" s="105"/>
      <c r="AB2180" s="105"/>
      <c r="AC2180" s="119"/>
      <c r="AD2180" s="119"/>
      <c r="AE2180" s="120"/>
      <c r="AF2180" s="119"/>
      <c r="AG2180" s="119"/>
      <c r="AH2180" s="120"/>
      <c r="AI2180" s="121"/>
      <c r="AJ2180" s="121"/>
      <c r="AK2180" s="121"/>
      <c r="AL2180" s="121"/>
      <c r="AM2180" s="122"/>
      <c r="AN2180" s="121"/>
      <c r="AP2180" s="87"/>
    </row>
    <row r="2181" spans="1:42">
      <c r="A2181" s="71"/>
      <c r="B2181" s="71"/>
      <c r="C2181" s="71"/>
      <c r="D2181" s="71"/>
      <c r="E2181" s="71"/>
      <c r="F2181" s="71"/>
      <c r="G2181" s="95">
        <v>1600</v>
      </c>
      <c r="H2181" s="102"/>
      <c r="I2181" s="104">
        <v>1.3527913837814693</v>
      </c>
      <c r="J2181" s="105">
        <v>16.8929688817278</v>
      </c>
      <c r="K2181" s="105">
        <v>28.668251852600644</v>
      </c>
      <c r="L2181" s="105">
        <v>0.279333154981252</v>
      </c>
      <c r="M2181" s="105">
        <v>-2.1818364587802553E-2</v>
      </c>
      <c r="N2181" s="105">
        <v>-0.70216688323644916</v>
      </c>
      <c r="O2181" s="105">
        <v>1.1872756128016751E-3</v>
      </c>
      <c r="P2181" s="105">
        <v>-1.9312104098675377E-3</v>
      </c>
      <c r="Q2181" s="105">
        <v>-1.5724835287889032E-3</v>
      </c>
      <c r="R2181" s="105">
        <v>4.8925607483526166E-3</v>
      </c>
      <c r="S2181" s="105">
        <v>2.9896116594617714</v>
      </c>
      <c r="T2181" s="105">
        <v>0.57790167230271783</v>
      </c>
      <c r="U2181" s="105">
        <v>3.4842475244758373</v>
      </c>
      <c r="V2181" s="105">
        <v>2.5294383724531307E-2</v>
      </c>
      <c r="W2181" s="105">
        <v>3.7742692039239113E-2</v>
      </c>
      <c r="X2181" s="105">
        <v>-4.3332028591250953E-2</v>
      </c>
      <c r="Y2181" s="105">
        <v>1.0096488837867353E-3</v>
      </c>
      <c r="Z2181" s="105">
        <v>8.5367121710879662E-4</v>
      </c>
      <c r="AA2181" s="105">
        <v>2.0673170089034249E-4</v>
      </c>
      <c r="AB2181" s="105">
        <v>2.7391261225661505E-4</v>
      </c>
      <c r="AC2181" s="119">
        <v>2.1119296456559397E-2</v>
      </c>
      <c r="AD2181" s="119">
        <v>1.1008520661534837</v>
      </c>
      <c r="AE2181" s="120">
        <v>5.6610457412380041E-3</v>
      </c>
      <c r="AF2181" s="119">
        <v>0.1090675908312788</v>
      </c>
      <c r="AG2181" s="119">
        <v>4.8912857227721851</v>
      </c>
      <c r="AH2181" s="120">
        <v>1.792634036668117E-2</v>
      </c>
      <c r="AI2181" s="121">
        <v>-35</v>
      </c>
      <c r="AJ2181" s="121">
        <v>-10</v>
      </c>
      <c r="AK2181" s="121">
        <v>35</v>
      </c>
      <c r="AL2181" s="121">
        <v>55</v>
      </c>
      <c r="AM2181" s="122">
        <v>42475</v>
      </c>
      <c r="AN2181" s="121" t="s">
        <v>481</v>
      </c>
      <c r="AP2181" s="87"/>
    </row>
    <row r="2182" spans="1:42">
      <c r="A2182" s="71"/>
      <c r="B2182" s="71"/>
      <c r="C2182" s="71"/>
      <c r="D2182" s="71"/>
      <c r="E2182" s="71"/>
      <c r="F2182" s="71"/>
      <c r="G2182" s="95">
        <v>2000</v>
      </c>
      <c r="H2182" s="102"/>
      <c r="I2182" s="104">
        <v>2.8846732917461462</v>
      </c>
      <c r="J2182" s="105">
        <v>14.733619434273379</v>
      </c>
      <c r="K2182" s="105">
        <v>36.593290106133153</v>
      </c>
      <c r="L2182" s="105">
        <v>0.13134360012746746</v>
      </c>
      <c r="M2182" s="105">
        <v>3.0945659628908516E-2</v>
      </c>
      <c r="N2182" s="105">
        <v>-0.96343150603282102</v>
      </c>
      <c r="O2182" s="105">
        <v>1.6280878689783065E-3</v>
      </c>
      <c r="P2182" s="105">
        <v>2.271536160725398E-3</v>
      </c>
      <c r="Q2182" s="105">
        <v>-4.7072774386058055E-4</v>
      </c>
      <c r="R2182" s="105">
        <v>7.44073333979927E-3</v>
      </c>
      <c r="S2182" s="105">
        <v>-25.416060996918191</v>
      </c>
      <c r="T2182" s="105">
        <v>-4.5660577695839804</v>
      </c>
      <c r="U2182" s="105">
        <v>4.7523055872164255</v>
      </c>
      <c r="V2182" s="105">
        <v>-9.4229741497412131E-2</v>
      </c>
      <c r="W2182" s="105">
        <v>0.16539825135769592</v>
      </c>
      <c r="X2182" s="105">
        <v>-5.3981502179755135E-2</v>
      </c>
      <c r="Y2182" s="105">
        <v>-1.7060932941110701E-4</v>
      </c>
      <c r="Z2182" s="105">
        <v>1.8326939035982384E-3</v>
      </c>
      <c r="AA2182" s="105">
        <v>-6.3108146120703147E-4</v>
      </c>
      <c r="AB2182" s="105">
        <v>3.091697727389949E-4</v>
      </c>
      <c r="AC2182" s="119">
        <v>4.0077603381975808E-2</v>
      </c>
      <c r="AD2182" s="119">
        <v>1.6929077972856736</v>
      </c>
      <c r="AE2182" s="120">
        <v>5.2221837876854239E-3</v>
      </c>
      <c r="AF2182" s="119">
        <v>4.7137349561431993E-2</v>
      </c>
      <c r="AG2182" s="119">
        <v>1.3094936252245495</v>
      </c>
      <c r="AH2182" s="120">
        <v>6.6853626372153857E-3</v>
      </c>
      <c r="AI2182" s="121">
        <v>-35</v>
      </c>
      <c r="AJ2182" s="121">
        <v>-10</v>
      </c>
      <c r="AK2182" s="121">
        <v>35</v>
      </c>
      <c r="AL2182" s="121">
        <v>55</v>
      </c>
      <c r="AM2182" s="122">
        <v>42475</v>
      </c>
      <c r="AN2182" s="121" t="s">
        <v>481</v>
      </c>
      <c r="AP2182" s="87"/>
    </row>
    <row r="2183" spans="1:42">
      <c r="A2183" s="71"/>
      <c r="B2183" s="71"/>
      <c r="C2183" s="71"/>
      <c r="D2183" s="71"/>
      <c r="E2183" s="71"/>
      <c r="F2183" s="71"/>
      <c r="G2183" s="95">
        <v>3600</v>
      </c>
      <c r="H2183" s="102"/>
      <c r="I2183" s="104">
        <v>-11.124801311214163</v>
      </c>
      <c r="J2183" s="105">
        <v>40.200072573542336</v>
      </c>
      <c r="K2183" s="105">
        <v>64.333834018525152</v>
      </c>
      <c r="L2183" s="105">
        <v>0.51548457010062176</v>
      </c>
      <c r="M2183" s="105">
        <v>-0.37828314661971052</v>
      </c>
      <c r="N2183" s="105">
        <v>-1.6668242201002113</v>
      </c>
      <c r="O2183" s="105">
        <v>1.2377282994767145E-3</v>
      </c>
      <c r="P2183" s="105">
        <v>-5.3630444057952437E-3</v>
      </c>
      <c r="Q2183" s="105">
        <v>-3.4348074240996305E-4</v>
      </c>
      <c r="R2183" s="105">
        <v>1.2313559194040364E-2</v>
      </c>
      <c r="S2183" s="105">
        <v>-0.95910708422288327</v>
      </c>
      <c r="T2183" s="105">
        <v>-3.2473269481091029</v>
      </c>
      <c r="U2183" s="105">
        <v>7.84312836021292</v>
      </c>
      <c r="V2183" s="105">
        <v>-0.13241154306848943</v>
      </c>
      <c r="W2183" s="105">
        <v>0.1459163295391879</v>
      </c>
      <c r="X2183" s="105">
        <v>-0.10105071990605805</v>
      </c>
      <c r="Y2183" s="105">
        <v>-2.1964121918604247E-3</v>
      </c>
      <c r="Z2183" s="105">
        <v>-1.8549323725766442E-4</v>
      </c>
      <c r="AA2183" s="105">
        <v>-1.3806680516090489E-3</v>
      </c>
      <c r="AB2183" s="105">
        <v>4.3926650636197243E-4</v>
      </c>
      <c r="AC2183" s="119">
        <v>7.0996508438615089E-2</v>
      </c>
      <c r="AD2183" s="119">
        <v>2.1184724716685479</v>
      </c>
      <c r="AE2183" s="120">
        <v>3.163980792804979E-3</v>
      </c>
      <c r="AF2183" s="119">
        <v>3.2746242320880553E-2</v>
      </c>
      <c r="AG2183" s="119">
        <v>1.0308970477504329</v>
      </c>
      <c r="AH2183" s="120">
        <v>3.2655490882411583E-3</v>
      </c>
      <c r="AI2183" s="121">
        <v>-35</v>
      </c>
      <c r="AJ2183" s="121">
        <v>-10</v>
      </c>
      <c r="AK2183" s="121">
        <v>35</v>
      </c>
      <c r="AL2183" s="121">
        <v>55</v>
      </c>
      <c r="AM2183" s="122">
        <v>42475</v>
      </c>
      <c r="AN2183" s="121" t="s">
        <v>481</v>
      </c>
      <c r="AP2183" s="87"/>
    </row>
    <row r="2184" spans="1:42">
      <c r="A2184" s="71" t="s">
        <v>43</v>
      </c>
      <c r="B2184" s="71" t="s">
        <v>100</v>
      </c>
      <c r="C2184" s="71" t="s">
        <v>105</v>
      </c>
      <c r="D2184" s="71" t="s">
        <v>101</v>
      </c>
      <c r="E2184" s="71" t="s">
        <v>47</v>
      </c>
      <c r="F2184" s="71" t="s">
        <v>182</v>
      </c>
      <c r="G2184" s="95"/>
      <c r="H2184" s="71" t="str">
        <f>CONCATENATE(A2184," ",B2184," ",C2184," ",D2184," ",E2184," ",F2184)</f>
        <v>Embraco R134a 60 Hz 115V VSD VEMY4H</v>
      </c>
      <c r="I2184" s="104"/>
      <c r="J2184" s="105"/>
      <c r="K2184" s="105"/>
      <c r="L2184" s="105"/>
      <c r="M2184" s="105"/>
      <c r="N2184" s="105"/>
      <c r="O2184" s="105"/>
      <c r="P2184" s="105"/>
      <c r="Q2184" s="105"/>
      <c r="R2184" s="105"/>
      <c r="S2184" s="105"/>
      <c r="T2184" s="105"/>
      <c r="U2184" s="105"/>
      <c r="V2184" s="105"/>
      <c r="W2184" s="105"/>
      <c r="X2184" s="105"/>
      <c r="Y2184" s="105"/>
      <c r="Z2184" s="105"/>
      <c r="AA2184" s="105"/>
      <c r="AB2184" s="105"/>
      <c r="AC2184" s="119"/>
      <c r="AD2184" s="119"/>
      <c r="AE2184" s="120"/>
      <c r="AF2184" s="119"/>
      <c r="AG2184" s="119"/>
      <c r="AH2184" s="120"/>
      <c r="AI2184" s="121"/>
      <c r="AJ2184" s="121"/>
      <c r="AK2184" s="121"/>
      <c r="AL2184" s="121"/>
      <c r="AM2184" s="122"/>
      <c r="AN2184" s="121"/>
      <c r="AP2184" s="87"/>
    </row>
    <row r="2185" spans="1:42">
      <c r="A2185" s="71"/>
      <c r="B2185" s="71"/>
      <c r="C2185" s="71"/>
      <c r="D2185" s="71"/>
      <c r="E2185" s="71"/>
      <c r="F2185" s="71"/>
      <c r="G2185" s="95">
        <v>1600</v>
      </c>
      <c r="H2185" s="102"/>
      <c r="I2185" s="104">
        <v>292.0090944650633</v>
      </c>
      <c r="J2185" s="105">
        <v>9.9747518085239015</v>
      </c>
      <c r="K2185" s="105">
        <v>-2.3340447054869191</v>
      </c>
      <c r="L2185" s="105">
        <v>9.7311310490115654E-2</v>
      </c>
      <c r="M2185" s="105">
        <v>-6.2730302235893237E-2</v>
      </c>
      <c r="N2185" s="105">
        <v>-2.8920330543103692E-3</v>
      </c>
      <c r="O2185" s="105">
        <v>-1.2848948186667221E-4</v>
      </c>
      <c r="P2185" s="105">
        <v>-6.1725077124773209E-4</v>
      </c>
      <c r="Q2185" s="105">
        <v>-4.5174062541446919E-7</v>
      </c>
      <c r="R2185" s="105">
        <v>7.1911723928334335E-5</v>
      </c>
      <c r="S2185" s="105">
        <v>16.146775364562767</v>
      </c>
      <c r="T2185" s="105">
        <v>-0.9046363730639595</v>
      </c>
      <c r="U2185" s="105">
        <v>1.042643809393923</v>
      </c>
      <c r="V2185" s="105">
        <v>-3.0388116903313413E-2</v>
      </c>
      <c r="W2185" s="105">
        <v>4.0881358769239429E-2</v>
      </c>
      <c r="X2185" s="105">
        <v>-3.7312498680132367E-4</v>
      </c>
      <c r="Y2185" s="105">
        <v>-1.0359859949728654E-4</v>
      </c>
      <c r="Z2185" s="105">
        <v>5.9317346917028997E-4</v>
      </c>
      <c r="AA2185" s="105">
        <v>5.7064931175728912E-5</v>
      </c>
      <c r="AB2185" s="105">
        <v>-3.9303276853380397E-6</v>
      </c>
      <c r="AC2185" s="119"/>
      <c r="AD2185" s="119"/>
      <c r="AE2185" s="120"/>
      <c r="AF2185" s="119"/>
      <c r="AG2185" s="119"/>
      <c r="AH2185" s="120"/>
      <c r="AI2185" s="121"/>
      <c r="AJ2185" s="121"/>
      <c r="AK2185" s="121"/>
      <c r="AL2185" s="121"/>
      <c r="AM2185" s="122"/>
      <c r="AN2185" s="121"/>
      <c r="AP2185" s="87"/>
    </row>
    <row r="2186" spans="1:42">
      <c r="A2186" s="71"/>
      <c r="B2186" s="71"/>
      <c r="C2186" s="71"/>
      <c r="D2186" s="71"/>
      <c r="E2186" s="71"/>
      <c r="F2186" s="71"/>
      <c r="G2186" s="95">
        <v>2000</v>
      </c>
      <c r="H2186" s="102"/>
      <c r="I2186" s="104">
        <v>346.62139114323395</v>
      </c>
      <c r="J2186" s="105">
        <v>12.05501935445475</v>
      </c>
      <c r="K2186" s="105">
        <v>-2.7384258931441514</v>
      </c>
      <c r="L2186" s="105">
        <v>0.14673085252068857</v>
      </c>
      <c r="M2186" s="105">
        <v>-4.8210303548806711E-2</v>
      </c>
      <c r="N2186" s="105">
        <v>1.0151346089048883E-2</v>
      </c>
      <c r="O2186" s="105">
        <v>2.9297873567516472E-4</v>
      </c>
      <c r="P2186" s="105">
        <v>-8.1460967159823578E-4</v>
      </c>
      <c r="Q2186" s="105">
        <v>-4.6781606349278543E-4</v>
      </c>
      <c r="R2186" s="105">
        <v>-1.7741110657192022E-4</v>
      </c>
      <c r="S2186" s="105">
        <v>26.272575036289545</v>
      </c>
      <c r="T2186" s="105">
        <v>-0.41210803865530921</v>
      </c>
      <c r="U2186" s="105">
        <v>1.0797271420992549</v>
      </c>
      <c r="V2186" s="105">
        <v>-2.9518043087029312E-2</v>
      </c>
      <c r="W2186" s="105">
        <v>2.4133001529390328E-2</v>
      </c>
      <c r="X2186" s="105">
        <v>-4.0036918928181448E-4</v>
      </c>
      <c r="Y2186" s="105">
        <v>-2.4982086998278573E-4</v>
      </c>
      <c r="Z2186" s="105">
        <v>3.859156857414336E-4</v>
      </c>
      <c r="AA2186" s="105">
        <v>1.9551768253784854E-4</v>
      </c>
      <c r="AB2186" s="105">
        <v>-6.5731825684500501E-6</v>
      </c>
      <c r="AC2186" s="119"/>
      <c r="AD2186" s="119"/>
      <c r="AE2186" s="120"/>
      <c r="AF2186" s="119"/>
      <c r="AG2186" s="119"/>
      <c r="AH2186" s="120"/>
      <c r="AI2186" s="121"/>
      <c r="AJ2186" s="121"/>
      <c r="AK2186" s="121"/>
      <c r="AL2186" s="121"/>
      <c r="AM2186" s="122"/>
      <c r="AN2186" s="121"/>
      <c r="AP2186" s="87"/>
    </row>
    <row r="2187" spans="1:42">
      <c r="A2187" s="71"/>
      <c r="B2187" s="71"/>
      <c r="C2187" s="71"/>
      <c r="D2187" s="71"/>
      <c r="E2187" s="71"/>
      <c r="F2187" s="71"/>
      <c r="G2187" s="95">
        <v>3000</v>
      </c>
      <c r="H2187" s="102"/>
      <c r="I2187" s="104">
        <v>491.22608366008126</v>
      </c>
      <c r="J2187" s="105">
        <v>15.94220759978308</v>
      </c>
      <c r="K2187" s="105">
        <v>-2.5366012255944876</v>
      </c>
      <c r="L2187" s="105">
        <v>0.24723567398049748</v>
      </c>
      <c r="M2187" s="105">
        <v>5.2775067644016134E-2</v>
      </c>
      <c r="N2187" s="105">
        <v>4.0564373757782301E-3</v>
      </c>
      <c r="O2187" s="105">
        <v>1.0840692313226056E-3</v>
      </c>
      <c r="P2187" s="105">
        <v>-9.1448660277082929E-4</v>
      </c>
      <c r="Q2187" s="105">
        <v>-1.9706262093426088E-3</v>
      </c>
      <c r="R2187" s="105">
        <v>-3.7666514674690514E-4</v>
      </c>
      <c r="S2187" s="105">
        <v>54.618072087338021</v>
      </c>
      <c r="T2187" s="105">
        <v>-0.52374110590616674</v>
      </c>
      <c r="U2187" s="105">
        <v>1.4778450920294406</v>
      </c>
      <c r="V2187" s="105">
        <v>-2.9062561260451175E-2</v>
      </c>
      <c r="W2187" s="105">
        <v>5.7320922445143058E-2</v>
      </c>
      <c r="X2187" s="105">
        <v>-3.9955932854860099E-4</v>
      </c>
      <c r="Y2187" s="105">
        <v>-2.0315430167115251E-4</v>
      </c>
      <c r="Z2187" s="105">
        <v>5.7861781247996787E-4</v>
      </c>
      <c r="AA2187" s="105">
        <v>4.1713043044376591E-6</v>
      </c>
      <c r="AB2187" s="105">
        <v>-2.1552042284968255E-5</v>
      </c>
      <c r="AC2187" s="119"/>
      <c r="AD2187" s="119"/>
      <c r="AE2187" s="120"/>
      <c r="AF2187" s="119"/>
      <c r="AG2187" s="119"/>
      <c r="AH2187" s="120"/>
      <c r="AI2187" s="121"/>
      <c r="AJ2187" s="121"/>
      <c r="AK2187" s="121"/>
      <c r="AL2187" s="121"/>
      <c r="AM2187" s="122"/>
      <c r="AN2187" s="121"/>
      <c r="AP2187" s="87"/>
    </row>
    <row r="2188" spans="1:42">
      <c r="A2188" s="71"/>
      <c r="B2188" s="71"/>
      <c r="C2188" s="71"/>
      <c r="D2188" s="71"/>
      <c r="E2188" s="71"/>
      <c r="F2188" s="71"/>
      <c r="G2188" s="95">
        <v>4500</v>
      </c>
      <c r="H2188" s="102"/>
      <c r="I2188" s="104">
        <v>713.71913821243459</v>
      </c>
      <c r="J2188" s="105">
        <v>23.162262764669464</v>
      </c>
      <c r="K2188" s="105">
        <v>-4.580860617666473</v>
      </c>
      <c r="L2188" s="105">
        <v>0.1733286344760262</v>
      </c>
      <c r="M2188" s="105">
        <v>-0.13296256467348228</v>
      </c>
      <c r="N2188" s="105">
        <v>-1.8815036632555997E-2</v>
      </c>
      <c r="O2188" s="105">
        <v>-6.1248200534072401E-5</v>
      </c>
      <c r="P2188" s="105">
        <v>-2.1167008890413716E-4</v>
      </c>
      <c r="Q2188" s="105">
        <v>-1.2432631334148515E-4</v>
      </c>
      <c r="R2188" s="105">
        <v>-9.4784696599983293E-6</v>
      </c>
      <c r="S2188" s="105">
        <v>89.073869548991311</v>
      </c>
      <c r="T2188" s="105">
        <v>-1.2654312679834918</v>
      </c>
      <c r="U2188" s="105">
        <v>2.0825319601644807</v>
      </c>
      <c r="V2188" s="105">
        <v>-5.6001678644914302E-2</v>
      </c>
      <c r="W2188" s="105">
        <v>9.7467100202312973E-2</v>
      </c>
      <c r="X2188" s="105">
        <v>-3.8388373768142437E-4</v>
      </c>
      <c r="Y2188" s="105">
        <v>-3.1893683184462982E-5</v>
      </c>
      <c r="Z2188" s="105">
        <v>1.2667648442809241E-3</v>
      </c>
      <c r="AA2188" s="105">
        <v>-1.5273457046944156E-4</v>
      </c>
      <c r="AB2188" s="105">
        <v>-1.0212039415385957E-4</v>
      </c>
      <c r="AC2188" s="119"/>
      <c r="AD2188" s="119"/>
      <c r="AE2188" s="120"/>
      <c r="AF2188" s="119"/>
      <c r="AG2188" s="119"/>
      <c r="AH2188" s="120"/>
      <c r="AI2188" s="121"/>
      <c r="AJ2188" s="121"/>
      <c r="AK2188" s="121"/>
      <c r="AL2188" s="121"/>
      <c r="AM2188" s="122"/>
      <c r="AN2188" s="121"/>
      <c r="AP2188" s="87"/>
    </row>
    <row r="2189" spans="1:42">
      <c r="A2189" s="93" t="s">
        <v>43</v>
      </c>
      <c r="B2189" s="93" t="s">
        <v>100</v>
      </c>
      <c r="C2189" s="93" t="s">
        <v>105</v>
      </c>
      <c r="D2189" s="93" t="s">
        <v>101</v>
      </c>
      <c r="E2189" s="93" t="s">
        <v>47</v>
      </c>
      <c r="F2189" s="93" t="s">
        <v>184</v>
      </c>
      <c r="G2189" s="95"/>
      <c r="H2189" s="93" t="str">
        <f>CONCATENATE(A2189," ",B2189," ",C2189," ",D2189," ",E2189," ",F2189)</f>
        <v>Embraco R134a 60 Hz 115V VSD VEMY5H</v>
      </c>
      <c r="I2189" s="103"/>
      <c r="J2189" s="103"/>
      <c r="K2189" s="103"/>
      <c r="L2189" s="103"/>
      <c r="M2189" s="103"/>
      <c r="N2189" s="103"/>
      <c r="O2189" s="103"/>
      <c r="P2189" s="103"/>
      <c r="Q2189" s="103"/>
      <c r="R2189" s="103"/>
      <c r="S2189" s="103"/>
      <c r="T2189" s="103"/>
      <c r="U2189" s="103"/>
      <c r="V2189" s="103"/>
      <c r="W2189" s="103"/>
      <c r="X2189" s="103"/>
      <c r="Y2189" s="103"/>
      <c r="Z2189" s="103"/>
      <c r="AA2189" s="103"/>
      <c r="AB2189" s="103"/>
      <c r="AC2189" s="119"/>
      <c r="AD2189" s="119"/>
      <c r="AE2189" s="120"/>
      <c r="AF2189" s="119"/>
      <c r="AG2189" s="119"/>
      <c r="AH2189" s="120"/>
      <c r="AI2189" s="121"/>
      <c r="AJ2189" s="121"/>
      <c r="AK2189" s="121"/>
      <c r="AL2189" s="121"/>
      <c r="AM2189" s="122"/>
      <c r="AN2189" s="121"/>
      <c r="AP2189" s="87"/>
    </row>
    <row r="2190" spans="1:42">
      <c r="A2190" s="93"/>
      <c r="B2190" s="93"/>
      <c r="C2190" s="93"/>
      <c r="D2190" s="93"/>
      <c r="E2190" s="93"/>
      <c r="F2190" s="93"/>
      <c r="G2190" s="95">
        <v>1600</v>
      </c>
      <c r="H2190" s="93"/>
      <c r="I2190" s="103">
        <v>2.5247849266091626</v>
      </c>
      <c r="J2190" s="103">
        <v>13.489432172246518</v>
      </c>
      <c r="K2190" s="103">
        <v>21.129923418683259</v>
      </c>
      <c r="L2190" s="103">
        <v>0.26251362642338039</v>
      </c>
      <c r="M2190" s="103">
        <v>-1.9295671820190263E-2</v>
      </c>
      <c r="N2190" s="103">
        <v>-0.5007734189777453</v>
      </c>
      <c r="O2190" s="103">
        <v>2.3320182191229688E-3</v>
      </c>
      <c r="P2190" s="103">
        <v>-5.4694762666463543E-4</v>
      </c>
      <c r="Q2190" s="103">
        <v>-4.2289101069827359E-4</v>
      </c>
      <c r="R2190" s="103">
        <v>3.4943014515083299E-3</v>
      </c>
      <c r="S2190" s="103">
        <v>0.18667082422724035</v>
      </c>
      <c r="T2190" s="103">
        <v>0.31155788159067532</v>
      </c>
      <c r="U2190" s="103">
        <v>3.3714353742249727</v>
      </c>
      <c r="V2190" s="103">
        <v>2.3938906053980951E-2</v>
      </c>
      <c r="W2190" s="103">
        <v>3.7383402708891275E-2</v>
      </c>
      <c r="X2190" s="103">
        <v>-5.5404147102827386E-2</v>
      </c>
      <c r="Y2190" s="103">
        <v>4.3258793898325878E-4</v>
      </c>
      <c r="Z2190" s="103">
        <v>1.5770237663235585E-4</v>
      </c>
      <c r="AA2190" s="103">
        <v>1.8298002411833252E-5</v>
      </c>
      <c r="AB2190" s="103">
        <v>4.5175498818460593E-4</v>
      </c>
      <c r="AC2190" s="119">
        <v>3.6227196708329669E-2</v>
      </c>
      <c r="AD2190" s="119">
        <v>1.5153822601296509</v>
      </c>
      <c r="AE2190" s="120">
        <v>1.2317862549777349E-2</v>
      </c>
      <c r="AF2190" s="119">
        <v>2.1611417910869311E-2</v>
      </c>
      <c r="AG2190" s="119">
        <v>0.96301943707376403</v>
      </c>
      <c r="AH2190" s="120">
        <v>9.1406062210264219E-3</v>
      </c>
      <c r="AI2190" s="121">
        <v>-35</v>
      </c>
      <c r="AJ2190" s="121">
        <v>-10</v>
      </c>
      <c r="AK2190" s="121">
        <v>35</v>
      </c>
      <c r="AL2190" s="121">
        <v>55</v>
      </c>
      <c r="AM2190" s="122">
        <v>43082</v>
      </c>
      <c r="AN2190" s="121" t="s">
        <v>481</v>
      </c>
      <c r="AP2190" s="87"/>
    </row>
    <row r="2191" spans="1:42">
      <c r="A2191" s="93"/>
      <c r="B2191" s="93"/>
      <c r="C2191" s="93"/>
      <c r="D2191" s="93"/>
      <c r="E2191" s="93"/>
      <c r="F2191" s="93"/>
      <c r="G2191" s="95">
        <v>2000</v>
      </c>
      <c r="H2191" s="93"/>
      <c r="I2191" s="103">
        <v>6.9423490875477505</v>
      </c>
      <c r="J2191" s="103">
        <v>8.9333843505215427</v>
      </c>
      <c r="K2191" s="103">
        <v>23.355201764927688</v>
      </c>
      <c r="L2191" s="103">
        <v>0.19919814831982741</v>
      </c>
      <c r="M2191" s="103">
        <v>0.21079612250858146</v>
      </c>
      <c r="N2191" s="103">
        <v>-0.53485425745388837</v>
      </c>
      <c r="O2191" s="103">
        <v>1.2035772949981743E-3</v>
      </c>
      <c r="P2191" s="103">
        <v>-3.8655239458071264E-4</v>
      </c>
      <c r="Q2191" s="103">
        <v>-3.1502472704272892E-3</v>
      </c>
      <c r="R2191" s="103">
        <v>3.5023142846217119E-3</v>
      </c>
      <c r="S2191" s="103">
        <v>6.068244027586239</v>
      </c>
      <c r="T2191" s="103">
        <v>-1.0024643425862767</v>
      </c>
      <c r="U2191" s="103">
        <v>3.1882378848553263</v>
      </c>
      <c r="V2191" s="103">
        <v>-8.4907950379775401E-3</v>
      </c>
      <c r="W2191" s="103">
        <v>7.6288466891627688E-2</v>
      </c>
      <c r="X2191" s="103">
        <v>-4.0480359252045905E-2</v>
      </c>
      <c r="Y2191" s="103">
        <v>1.8576582129852258E-4</v>
      </c>
      <c r="Z2191" s="103">
        <v>5.6372555667193549E-4</v>
      </c>
      <c r="AA2191" s="103">
        <v>-2.0979282463576347E-4</v>
      </c>
      <c r="AB2191" s="103">
        <v>2.870798898019077E-4</v>
      </c>
      <c r="AC2191" s="119">
        <v>2.371015912400154E-2</v>
      </c>
      <c r="AD2191" s="119">
        <v>1.0895739006177676</v>
      </c>
      <c r="AE2191" s="120">
        <v>6.7002092345636276E-3</v>
      </c>
      <c r="AF2191" s="119">
        <v>1.8444943761820171E-2</v>
      </c>
      <c r="AG2191" s="119">
        <v>0.6555233851280694</v>
      </c>
      <c r="AH2191" s="120">
        <v>6.5777000830951554E-3</v>
      </c>
      <c r="AI2191" s="121">
        <v>-35</v>
      </c>
      <c r="AJ2191" s="121">
        <v>-10</v>
      </c>
      <c r="AK2191" s="121">
        <v>35</v>
      </c>
      <c r="AL2191" s="121">
        <v>55</v>
      </c>
      <c r="AM2191" s="122">
        <v>43082</v>
      </c>
      <c r="AN2191" s="121" t="s">
        <v>481</v>
      </c>
      <c r="AP2191" s="87"/>
    </row>
    <row r="2192" spans="1:42">
      <c r="A2192" s="93"/>
      <c r="B2192" s="93"/>
      <c r="C2192" s="93"/>
      <c r="D2192" s="93"/>
      <c r="E2192" s="93"/>
      <c r="F2192" s="93"/>
      <c r="G2192" s="95">
        <v>3000</v>
      </c>
      <c r="H2192" s="93"/>
      <c r="I2192" s="103">
        <v>0.50655130400946413</v>
      </c>
      <c r="J2192" s="103">
        <v>29.31784994755791</v>
      </c>
      <c r="K2192" s="103">
        <v>43.385492926472715</v>
      </c>
      <c r="L2192" s="103">
        <v>0.58420907875702421</v>
      </c>
      <c r="M2192" s="103">
        <v>-0.1226008654144114</v>
      </c>
      <c r="N2192" s="103">
        <v>-1.1142287397107666</v>
      </c>
      <c r="O2192" s="103">
        <v>4.2398319348090022E-3</v>
      </c>
      <c r="P2192" s="103">
        <v>-2.832410887735073E-3</v>
      </c>
      <c r="Q2192" s="103">
        <v>-9.6394883825642028E-4</v>
      </c>
      <c r="R2192" s="103">
        <v>8.3327791792639078E-3</v>
      </c>
      <c r="S2192" s="103">
        <v>0.39248387313964184</v>
      </c>
      <c r="T2192" s="103">
        <v>2.0544723472202069</v>
      </c>
      <c r="U2192" s="103">
        <v>7.7661197747529247</v>
      </c>
      <c r="V2192" s="103">
        <v>5.1904640955096254E-2</v>
      </c>
      <c r="W2192" s="103">
        <v>2.5643198101000797E-2</v>
      </c>
      <c r="X2192" s="103">
        <v>-0.15533322040640951</v>
      </c>
      <c r="Y2192" s="103">
        <v>7.4490180633752319E-4</v>
      </c>
      <c r="Z2192" s="103">
        <v>1.6917605875242073E-4</v>
      </c>
      <c r="AA2192" s="103">
        <v>2.7916656945739928E-4</v>
      </c>
      <c r="AB2192" s="103">
        <v>1.2524088047423429E-3</v>
      </c>
      <c r="AC2192" s="119">
        <v>3.8846895596231452E-2</v>
      </c>
      <c r="AD2192" s="119">
        <v>1.1464153237612489</v>
      </c>
      <c r="AE2192" s="120">
        <v>4.8390566572848841E-3</v>
      </c>
      <c r="AF2192" s="119">
        <v>3.9350485644072952E-2</v>
      </c>
      <c r="AG2192" s="119">
        <v>1.2925481250872564</v>
      </c>
      <c r="AH2192" s="120">
        <v>5.7707833812095785E-3</v>
      </c>
      <c r="AI2192" s="121">
        <v>-35</v>
      </c>
      <c r="AJ2192" s="121">
        <v>-10</v>
      </c>
      <c r="AK2192" s="121">
        <v>35</v>
      </c>
      <c r="AL2192" s="121">
        <v>55</v>
      </c>
      <c r="AM2192" s="122">
        <v>43082</v>
      </c>
      <c r="AN2192" s="121" t="s">
        <v>481</v>
      </c>
      <c r="AP2192" s="87"/>
    </row>
    <row r="2193" spans="1:42">
      <c r="A2193" s="93"/>
      <c r="B2193" s="93"/>
      <c r="C2193" s="93"/>
      <c r="D2193" s="93"/>
      <c r="E2193" s="93"/>
      <c r="F2193" s="93"/>
      <c r="G2193" s="95">
        <v>4500</v>
      </c>
      <c r="H2193" s="93"/>
      <c r="I2193" s="103">
        <v>2.8692036675784447</v>
      </c>
      <c r="J2193" s="103">
        <v>29.078550321222778</v>
      </c>
      <c r="K2193" s="103">
        <v>54.286528902388881</v>
      </c>
      <c r="L2193" s="103">
        <v>0.31096417766817802</v>
      </c>
      <c r="M2193" s="103">
        <v>-0.16868789425687414</v>
      </c>
      <c r="N2193" s="103">
        <v>-1.407393216092536</v>
      </c>
      <c r="O2193" s="103">
        <v>9.0075622461468499E-4</v>
      </c>
      <c r="P2193" s="103">
        <v>-1.0841897076641256E-3</v>
      </c>
      <c r="Q2193" s="103">
        <v>-7.3274549390826618E-5</v>
      </c>
      <c r="R2193" s="103">
        <v>1.0626212494210016E-2</v>
      </c>
      <c r="S2193" s="103">
        <v>-0.74957918774325294</v>
      </c>
      <c r="T2193" s="103">
        <v>2.1246775219241161</v>
      </c>
      <c r="U2193" s="103">
        <v>12.220217322211232</v>
      </c>
      <c r="V2193" s="103">
        <v>-1.4094840346508729E-2</v>
      </c>
      <c r="W2193" s="103">
        <v>-8.1562439913403944E-4</v>
      </c>
      <c r="X2193" s="103">
        <v>-0.27327720927567556</v>
      </c>
      <c r="Y2193" s="103">
        <v>-9.8553652419111686E-5</v>
      </c>
      <c r="Z2193" s="103">
        <v>4.1765091561324352E-4</v>
      </c>
      <c r="AA2193" s="103">
        <v>6.9575641521845756E-4</v>
      </c>
      <c r="AB2193" s="103">
        <v>2.2596014795417982E-3</v>
      </c>
      <c r="AC2193" s="119">
        <v>1.4406460600404007E-2</v>
      </c>
      <c r="AD2193" s="119">
        <v>0.54989755116657479</v>
      </c>
      <c r="AE2193" s="120">
        <v>2.0895658251090564E-3</v>
      </c>
      <c r="AF2193" s="119">
        <v>3.9508562419640611E-2</v>
      </c>
      <c r="AG2193" s="119">
        <v>1.3214055198794192</v>
      </c>
      <c r="AH2193" s="120">
        <v>3.2302327485933366E-3</v>
      </c>
      <c r="AI2193" s="121">
        <v>-35</v>
      </c>
      <c r="AJ2193" s="121">
        <v>-10</v>
      </c>
      <c r="AK2193" s="121">
        <v>35</v>
      </c>
      <c r="AL2193" s="121">
        <v>55</v>
      </c>
      <c r="AM2193" s="122">
        <v>43082</v>
      </c>
      <c r="AN2193" s="121" t="s">
        <v>481</v>
      </c>
      <c r="AP2193" s="87"/>
    </row>
    <row r="2194" spans="1:42">
      <c r="A2194" s="71" t="s">
        <v>43</v>
      </c>
      <c r="B2194" s="71" t="s">
        <v>100</v>
      </c>
      <c r="C2194" s="71" t="s">
        <v>105</v>
      </c>
      <c r="D2194" s="71" t="s">
        <v>101</v>
      </c>
      <c r="E2194" s="71" t="s">
        <v>47</v>
      </c>
      <c r="F2194" s="71" t="s">
        <v>186</v>
      </c>
      <c r="G2194" s="95"/>
      <c r="H2194" s="71" t="str">
        <f>CONCATENATE(A2194," ",B2194," ",C2194," ",D2194," ",E2194," ",F2194)</f>
        <v>Embraco R134a 60 Hz 115V VSD VEMY6H</v>
      </c>
      <c r="I2194" s="104"/>
      <c r="J2194" s="105"/>
      <c r="K2194" s="105"/>
      <c r="L2194" s="105"/>
      <c r="M2194" s="105"/>
      <c r="N2194" s="105"/>
      <c r="O2194" s="105"/>
      <c r="P2194" s="105"/>
      <c r="Q2194" s="105"/>
      <c r="R2194" s="105"/>
      <c r="S2194" s="105"/>
      <c r="T2194" s="105"/>
      <c r="U2194" s="105"/>
      <c r="V2194" s="105"/>
      <c r="W2194" s="105"/>
      <c r="X2194" s="105"/>
      <c r="Y2194" s="105"/>
      <c r="Z2194" s="105"/>
      <c r="AA2194" s="105"/>
      <c r="AB2194" s="105"/>
      <c r="AC2194" s="119"/>
      <c r="AD2194" s="119"/>
      <c r="AE2194" s="120"/>
      <c r="AF2194" s="119"/>
      <c r="AG2194" s="119"/>
      <c r="AH2194" s="120"/>
      <c r="AI2194" s="121"/>
      <c r="AJ2194" s="121"/>
      <c r="AK2194" s="121"/>
      <c r="AL2194" s="121"/>
      <c r="AM2194" s="122"/>
      <c r="AN2194" s="121"/>
      <c r="AP2194" s="87"/>
    </row>
    <row r="2195" spans="1:42">
      <c r="A2195" s="71"/>
      <c r="B2195" s="71"/>
      <c r="C2195" s="71"/>
      <c r="D2195" s="71"/>
      <c r="E2195" s="71"/>
      <c r="F2195" s="71"/>
      <c r="G2195" s="95">
        <v>1600</v>
      </c>
      <c r="H2195" s="102"/>
      <c r="I2195" s="104">
        <v>457.54681689469464</v>
      </c>
      <c r="J2195" s="105">
        <v>17.591106459404433</v>
      </c>
      <c r="K2195" s="105">
        <v>-3.9162680101892735</v>
      </c>
      <c r="L2195" s="105">
        <v>0.13646661220752668</v>
      </c>
      <c r="M2195" s="105">
        <v>-0.17944010734324914</v>
      </c>
      <c r="N2195" s="105">
        <v>-5.3266852526085455E-3</v>
      </c>
      <c r="O2195" s="105">
        <v>-1.3711927308294059E-3</v>
      </c>
      <c r="P2195" s="105">
        <v>-1.6042634538725494E-3</v>
      </c>
      <c r="Q2195" s="105">
        <v>6.201983794133114E-4</v>
      </c>
      <c r="R2195" s="105">
        <v>1.4849825422815223E-4</v>
      </c>
      <c r="S2195" s="105">
        <v>13.561820721495412</v>
      </c>
      <c r="T2195" s="105">
        <v>-0.82591184344802682</v>
      </c>
      <c r="U2195" s="105">
        <v>1.9527133632996005</v>
      </c>
      <c r="V2195" s="105">
        <v>-1.3118592811009489E-2</v>
      </c>
      <c r="W2195" s="105">
        <v>6.061236202231509E-2</v>
      </c>
      <c r="X2195" s="105">
        <v>-4.0039997090238395E-4</v>
      </c>
      <c r="Y2195" s="105">
        <v>9.0727612430384266E-5</v>
      </c>
      <c r="Z2195" s="105">
        <v>5.1407811892187187E-4</v>
      </c>
      <c r="AA2195" s="105">
        <v>2.4987755460385909E-5</v>
      </c>
      <c r="AB2195" s="105">
        <v>-4.1731227309700181E-5</v>
      </c>
      <c r="AC2195" s="119"/>
      <c r="AD2195" s="119"/>
      <c r="AE2195" s="120"/>
      <c r="AF2195" s="119"/>
      <c r="AG2195" s="119"/>
      <c r="AH2195" s="120"/>
      <c r="AI2195" s="121"/>
      <c r="AJ2195" s="121"/>
      <c r="AK2195" s="121"/>
      <c r="AL2195" s="121"/>
      <c r="AM2195" s="122"/>
      <c r="AN2195" s="121"/>
      <c r="AP2195" s="87"/>
    </row>
    <row r="2196" spans="1:42">
      <c r="A2196" s="71"/>
      <c r="B2196" s="71"/>
      <c r="C2196" s="71"/>
      <c r="D2196" s="71"/>
      <c r="E2196" s="71"/>
      <c r="F2196" s="71"/>
      <c r="G2196" s="95">
        <v>2000</v>
      </c>
      <c r="H2196" s="102"/>
      <c r="I2196" s="104">
        <v>599.8633236410468</v>
      </c>
      <c r="J2196" s="105">
        <v>23.587854468310862</v>
      </c>
      <c r="K2196" s="105">
        <v>-6.6296449894689138</v>
      </c>
      <c r="L2196" s="105">
        <v>0.34864038163145111</v>
      </c>
      <c r="M2196" s="105">
        <v>-0.24893159793679168</v>
      </c>
      <c r="N2196" s="105">
        <v>-3.4149113965061639E-3</v>
      </c>
      <c r="O2196" s="105">
        <v>1.8806658054494798E-3</v>
      </c>
      <c r="P2196" s="105">
        <v>-2.5401323104086711E-3</v>
      </c>
      <c r="Q2196" s="105">
        <v>6.4923640320858238E-4</v>
      </c>
      <c r="R2196" s="105">
        <v>3.2249694738874501E-4</v>
      </c>
      <c r="S2196" s="105">
        <v>42.163154998551505</v>
      </c>
      <c r="T2196" s="105">
        <v>-6.9639838639147786E-2</v>
      </c>
      <c r="U2196" s="105">
        <v>1.4985457075956019</v>
      </c>
      <c r="V2196" s="105">
        <v>-2.61769916297947E-3</v>
      </c>
      <c r="W2196" s="105">
        <v>4.5824103997249309E-2</v>
      </c>
      <c r="X2196" s="105">
        <v>-3.5149966959990516E-4</v>
      </c>
      <c r="Y2196" s="105">
        <v>1.2265008709621213E-4</v>
      </c>
      <c r="Z2196" s="105">
        <v>2.5133421111821392E-4</v>
      </c>
      <c r="AA2196" s="105">
        <v>2.8080547235045604E-5</v>
      </c>
      <c r="AB2196" s="105">
        <v>-6.793095337432971E-7</v>
      </c>
      <c r="AC2196" s="119"/>
      <c r="AD2196" s="119"/>
      <c r="AE2196" s="120"/>
      <c r="AF2196" s="119"/>
      <c r="AG2196" s="119"/>
      <c r="AH2196" s="120"/>
      <c r="AI2196" s="121"/>
      <c r="AJ2196" s="121"/>
      <c r="AK2196" s="121"/>
      <c r="AL2196" s="121"/>
      <c r="AM2196" s="122"/>
      <c r="AN2196" s="121"/>
      <c r="AP2196" s="87"/>
    </row>
    <row r="2197" spans="1:42">
      <c r="A2197" s="71"/>
      <c r="B2197" s="71"/>
      <c r="C2197" s="71"/>
      <c r="D2197" s="71"/>
      <c r="E2197" s="71"/>
      <c r="F2197" s="71"/>
      <c r="G2197" s="95">
        <v>3000</v>
      </c>
      <c r="H2197" s="102"/>
      <c r="I2197" s="104">
        <v>825.24188028949629</v>
      </c>
      <c r="J2197" s="105">
        <v>33.356140026856586</v>
      </c>
      <c r="K2197" s="105">
        <v>-6.967797485969645</v>
      </c>
      <c r="L2197" s="105">
        <v>0.60227407225326823</v>
      </c>
      <c r="M2197" s="105">
        <v>-0.21614001924172022</v>
      </c>
      <c r="N2197" s="105">
        <v>-4.056673481095922E-3</v>
      </c>
      <c r="O2197" s="105">
        <v>5.0740404938565738E-3</v>
      </c>
      <c r="P2197" s="105">
        <v>-2.2448106655563582E-3</v>
      </c>
      <c r="Q2197" s="105">
        <v>-4.913964399319306E-5</v>
      </c>
      <c r="R2197" s="105">
        <v>6.6306083066830458E-5</v>
      </c>
      <c r="S2197" s="105">
        <v>93.89000532411012</v>
      </c>
      <c r="T2197" s="105">
        <v>0.94930959450727281</v>
      </c>
      <c r="U2197" s="105">
        <v>1.8103121636913639</v>
      </c>
      <c r="V2197" s="105">
        <v>1.6391344350728476E-2</v>
      </c>
      <c r="W2197" s="105">
        <v>6.9139214515899397E-2</v>
      </c>
      <c r="X2197" s="105">
        <v>-3.1684442516744735E-4</v>
      </c>
      <c r="Y2197" s="105">
        <v>5.6757872322811781E-4</v>
      </c>
      <c r="Z2197" s="105">
        <v>7.3979929878830114E-4</v>
      </c>
      <c r="AA2197" s="105">
        <v>5.4785182446428379E-5</v>
      </c>
      <c r="AB2197" s="105">
        <v>7.7013589320592603E-6</v>
      </c>
      <c r="AC2197" s="119"/>
      <c r="AD2197" s="119"/>
      <c r="AE2197" s="120"/>
      <c r="AF2197" s="119"/>
      <c r="AG2197" s="119"/>
      <c r="AH2197" s="120"/>
      <c r="AI2197" s="121"/>
      <c r="AJ2197" s="121"/>
      <c r="AK2197" s="121"/>
      <c r="AL2197" s="121"/>
      <c r="AM2197" s="122"/>
      <c r="AN2197" s="121"/>
      <c r="AP2197" s="87"/>
    </row>
    <row r="2198" spans="1:42">
      <c r="A2198" s="71"/>
      <c r="B2198" s="71"/>
      <c r="C2198" s="71"/>
      <c r="D2198" s="71"/>
      <c r="E2198" s="71"/>
      <c r="F2198" s="71"/>
      <c r="G2198" s="95">
        <v>4500</v>
      </c>
      <c r="H2198" s="102"/>
      <c r="I2198" s="104">
        <v>1188.5384477174607</v>
      </c>
      <c r="J2198" s="105">
        <v>41.554615916923801</v>
      </c>
      <c r="K2198" s="105">
        <v>-15.067976430689507</v>
      </c>
      <c r="L2198" s="105">
        <v>0.21857400415588313</v>
      </c>
      <c r="M2198" s="105">
        <v>-0.66949003350244729</v>
      </c>
      <c r="N2198" s="105">
        <v>5.1834226563685611E-3</v>
      </c>
      <c r="O2198" s="105">
        <v>-1.3716359367419752E-3</v>
      </c>
      <c r="P2198" s="105">
        <v>-1.697173922055674E-3</v>
      </c>
      <c r="Q2198" s="105">
        <v>4.3914735938011982E-3</v>
      </c>
      <c r="R2198" s="105">
        <v>8.5569491027484405E-4</v>
      </c>
      <c r="S2198" s="105">
        <v>217.1507991412326</v>
      </c>
      <c r="T2198" s="105">
        <v>4.1947503416620586</v>
      </c>
      <c r="U2198" s="105">
        <v>-0.69716733755371918</v>
      </c>
      <c r="V2198" s="105">
        <v>-5.3205923855638763E-2</v>
      </c>
      <c r="W2198" s="105">
        <v>-9.8416318347740797E-2</v>
      </c>
      <c r="X2198" s="105">
        <v>-3.2211552209711065E-4</v>
      </c>
      <c r="Y2198" s="105">
        <v>-1.0241415653827331E-3</v>
      </c>
      <c r="Z2198" s="105">
        <v>-6.8034784608368223E-6</v>
      </c>
      <c r="AA2198" s="105">
        <v>1.446888872830337E-3</v>
      </c>
      <c r="AB2198" s="105">
        <v>3.2348862280520777E-4</v>
      </c>
      <c r="AC2198" s="119"/>
      <c r="AD2198" s="119"/>
      <c r="AE2198" s="120"/>
      <c r="AF2198" s="119"/>
      <c r="AG2198" s="119"/>
      <c r="AH2198" s="120"/>
      <c r="AI2198" s="121"/>
      <c r="AJ2198" s="121"/>
      <c r="AK2198" s="121"/>
      <c r="AL2198" s="121"/>
      <c r="AM2198" s="122"/>
      <c r="AN2198" s="121"/>
      <c r="AP2198" s="87"/>
    </row>
    <row r="2199" spans="1:42">
      <c r="A2199" s="71" t="s">
        <v>43</v>
      </c>
      <c r="B2199" s="71" t="s">
        <v>100</v>
      </c>
      <c r="C2199" s="71" t="s">
        <v>105</v>
      </c>
      <c r="D2199" s="71" t="s">
        <v>101</v>
      </c>
      <c r="E2199" s="71" t="s">
        <v>47</v>
      </c>
      <c r="F2199" s="71" t="s">
        <v>188</v>
      </c>
      <c r="G2199" s="95"/>
      <c r="H2199" s="71" t="str">
        <f>CONCATENATE(A2199," ",B2199," ",C2199," ",D2199," ",E2199," ",F2199)</f>
        <v>Embraco R134a 60 Hz 115V VSD VEMY6H+</v>
      </c>
      <c r="I2199" s="104"/>
      <c r="J2199" s="105"/>
      <c r="K2199" s="105"/>
      <c r="L2199" s="105"/>
      <c r="M2199" s="105"/>
      <c r="N2199" s="105"/>
      <c r="O2199" s="105"/>
      <c r="P2199" s="105"/>
      <c r="Q2199" s="105"/>
      <c r="R2199" s="105"/>
      <c r="S2199" s="105"/>
      <c r="T2199" s="105"/>
      <c r="U2199" s="105"/>
      <c r="V2199" s="105"/>
      <c r="W2199" s="105"/>
      <c r="X2199" s="105"/>
      <c r="Y2199" s="105"/>
      <c r="Z2199" s="105"/>
      <c r="AA2199" s="105"/>
      <c r="AB2199" s="105"/>
      <c r="AC2199" s="119"/>
      <c r="AD2199" s="119"/>
      <c r="AE2199" s="120"/>
      <c r="AF2199" s="119"/>
      <c r="AG2199" s="119"/>
      <c r="AH2199" s="120"/>
      <c r="AI2199" s="121"/>
      <c r="AJ2199" s="121"/>
      <c r="AK2199" s="121"/>
      <c r="AL2199" s="121"/>
      <c r="AM2199" s="122"/>
      <c r="AN2199" s="121"/>
      <c r="AP2199" s="87"/>
    </row>
    <row r="2200" spans="1:42">
      <c r="A2200" s="71"/>
      <c r="B2200" s="71"/>
      <c r="C2200" s="71"/>
      <c r="D2200" s="71"/>
      <c r="E2200" s="71"/>
      <c r="F2200" s="71"/>
      <c r="G2200" s="95">
        <v>1600</v>
      </c>
      <c r="H2200" s="102"/>
      <c r="I2200" s="104">
        <v>1.9815990192528257</v>
      </c>
      <c r="J2200" s="105">
        <v>19.134128972695979</v>
      </c>
      <c r="K2200" s="105">
        <v>27.618717362298337</v>
      </c>
      <c r="L2200" s="105">
        <v>0.33626065886939721</v>
      </c>
      <c r="M2200" s="105">
        <v>-0.12246856756379973</v>
      </c>
      <c r="N2200" s="105">
        <v>-0.70443449333791042</v>
      </c>
      <c r="O2200" s="105">
        <v>2.505060721882404E-3</v>
      </c>
      <c r="P2200" s="105">
        <v>-1.345107669262447E-3</v>
      </c>
      <c r="Q2200" s="105">
        <v>7.937160209189458E-5</v>
      </c>
      <c r="R2200" s="105">
        <v>5.2451472538747818E-3</v>
      </c>
      <c r="S2200" s="105">
        <v>0.24444796575670855</v>
      </c>
      <c r="T2200" s="105">
        <v>-0.80971091927778205</v>
      </c>
      <c r="U2200" s="105">
        <v>3.2310302720358797</v>
      </c>
      <c r="V2200" s="105">
        <v>1.5474534771424684E-3</v>
      </c>
      <c r="W2200" s="105">
        <v>8.0485103760338322E-2</v>
      </c>
      <c r="X2200" s="105">
        <v>-2.7585185388156602E-2</v>
      </c>
      <c r="Y2200" s="105">
        <v>2.3659734098538263E-4</v>
      </c>
      <c r="Z2200" s="105">
        <v>4.3134584304095651E-4</v>
      </c>
      <c r="AA2200" s="105">
        <v>-2.0947323771462691E-4</v>
      </c>
      <c r="AB2200" s="105">
        <v>1.5358606048498572E-4</v>
      </c>
      <c r="AC2200" s="119">
        <v>1.7146189059219002E-3</v>
      </c>
      <c r="AD2200" s="119">
        <v>0.40138563806471911</v>
      </c>
      <c r="AE2200" s="120">
        <v>5.2570504575218295E-3</v>
      </c>
      <c r="AF2200" s="119">
        <v>6.6736230839404962E-6</v>
      </c>
      <c r="AG2200" s="119">
        <v>2.0104593728129734E-4</v>
      </c>
      <c r="AH2200" s="120">
        <v>1.3641365138836664E-4</v>
      </c>
      <c r="AI2200" s="121">
        <v>-35</v>
      </c>
      <c r="AJ2200" s="121">
        <v>-5</v>
      </c>
      <c r="AK2200" s="121">
        <v>35</v>
      </c>
      <c r="AL2200" s="121">
        <v>55</v>
      </c>
      <c r="AM2200" s="122">
        <v>42340</v>
      </c>
      <c r="AN2200" s="121" t="s">
        <v>481</v>
      </c>
      <c r="AP2200" s="87"/>
    </row>
    <row r="2201" spans="1:42">
      <c r="A2201" s="71"/>
      <c r="B2201" s="71"/>
      <c r="C2201" s="71"/>
      <c r="D2201" s="71"/>
      <c r="E2201" s="71"/>
      <c r="F2201" s="71"/>
      <c r="G2201" s="95">
        <v>2000</v>
      </c>
      <c r="H2201" s="102"/>
      <c r="I2201" s="104">
        <v>17.244712554338037</v>
      </c>
      <c r="J2201" s="105">
        <v>20.147878376972798</v>
      </c>
      <c r="K2201" s="105">
        <v>30.515315912217805</v>
      </c>
      <c r="L2201" s="105">
        <v>0.28778924766257125</v>
      </c>
      <c r="M2201" s="105">
        <v>-0.14237924579148031</v>
      </c>
      <c r="N2201" s="105">
        <v>-0.7847979881092475</v>
      </c>
      <c r="O2201" s="105">
        <v>1.4085435822371233E-3</v>
      </c>
      <c r="P2201" s="105">
        <v>-1.6274954920474202E-3</v>
      </c>
      <c r="Q2201" s="105">
        <v>-5.6231591323273629E-5</v>
      </c>
      <c r="R2201" s="105">
        <v>5.7893917795375045E-3</v>
      </c>
      <c r="S2201" s="105">
        <v>0.26555543673640797</v>
      </c>
      <c r="T2201" s="105">
        <v>-1.8251425198810689</v>
      </c>
      <c r="U2201" s="105">
        <v>3.7697618543278573</v>
      </c>
      <c r="V2201" s="105">
        <v>-4.5792756604070728E-2</v>
      </c>
      <c r="W2201" s="105">
        <v>9.3621349613992363E-2</v>
      </c>
      <c r="X2201" s="105">
        <v>-3.6506258784341487E-2</v>
      </c>
      <c r="Y2201" s="105">
        <v>-2.8267279013412738E-4</v>
      </c>
      <c r="Z2201" s="105">
        <v>7.2066499229640193E-4</v>
      </c>
      <c r="AA2201" s="105">
        <v>-2.4841125698773001E-4</v>
      </c>
      <c r="AB2201" s="105">
        <v>1.9251046762334173E-4</v>
      </c>
      <c r="AC2201" s="119">
        <v>1.4178668029742546E-3</v>
      </c>
      <c r="AD2201" s="119">
        <v>0.13970032439003974</v>
      </c>
      <c r="AE2201" s="120">
        <v>2.6785820409837647E-3</v>
      </c>
      <c r="AF2201" s="119">
        <v>7.9241225570168857E-8</v>
      </c>
      <c r="AG2201" s="119">
        <v>1.3934063097976973E-6</v>
      </c>
      <c r="AH2201" s="120">
        <v>1.0524721673962175E-5</v>
      </c>
      <c r="AI2201" s="121">
        <v>-35</v>
      </c>
      <c r="AJ2201" s="121">
        <v>-5</v>
      </c>
      <c r="AK2201" s="121">
        <v>35</v>
      </c>
      <c r="AL2201" s="121">
        <v>55</v>
      </c>
      <c r="AM2201" s="122">
        <v>42340</v>
      </c>
      <c r="AN2201" s="121" t="s">
        <v>481</v>
      </c>
      <c r="AP2201" s="87"/>
    </row>
    <row r="2202" spans="1:42">
      <c r="A2202" s="71"/>
      <c r="B2202" s="71"/>
      <c r="C2202" s="71"/>
      <c r="D2202" s="71"/>
      <c r="E2202" s="71"/>
      <c r="F2202" s="71"/>
      <c r="G2202" s="95">
        <v>3000</v>
      </c>
      <c r="H2202" s="102"/>
      <c r="I2202" s="104">
        <v>1.1645058052460207</v>
      </c>
      <c r="J2202" s="105">
        <v>30.541771748120141</v>
      </c>
      <c r="K2202" s="105">
        <v>47.056306795429514</v>
      </c>
      <c r="L2202" s="105">
        <v>0.48149238115769316</v>
      </c>
      <c r="M2202" s="105">
        <v>-0.16741191049395149</v>
      </c>
      <c r="N2202" s="105">
        <v>-1.1788096989149219</v>
      </c>
      <c r="O2202" s="105">
        <v>1.7458041522368259E-3</v>
      </c>
      <c r="P2202" s="105">
        <v>-4.2797401444413423E-3</v>
      </c>
      <c r="Q2202" s="105">
        <v>-1.6403087809883829E-3</v>
      </c>
      <c r="R2202" s="105">
        <v>8.3342909169880127E-3</v>
      </c>
      <c r="S2202" s="105">
        <v>0.50067408102389366</v>
      </c>
      <c r="T2202" s="105">
        <v>0.96989519007789171</v>
      </c>
      <c r="U2202" s="105">
        <v>8.0915867916419231</v>
      </c>
      <c r="V2202" s="105">
        <v>-1.1221697519373715E-5</v>
      </c>
      <c r="W2202" s="105">
        <v>6.7510792467428388E-2</v>
      </c>
      <c r="X2202" s="105">
        <v>-0.12818337043173417</v>
      </c>
      <c r="Y2202" s="105">
        <v>-5.0472040743037205E-4</v>
      </c>
      <c r="Z2202" s="105">
        <v>-4.557476778700073E-4</v>
      </c>
      <c r="AA2202" s="105">
        <v>-4.9282892036552452E-4</v>
      </c>
      <c r="AB2202" s="105">
        <v>7.7480422628105057E-4</v>
      </c>
      <c r="AC2202" s="119">
        <v>3.1209237617899226E-3</v>
      </c>
      <c r="AD2202" s="119">
        <v>0.300612916549999</v>
      </c>
      <c r="AE2202" s="120">
        <v>2.501574619627384E-3</v>
      </c>
      <c r="AF2202" s="119">
        <v>2.6765164887343303E-6</v>
      </c>
      <c r="AG2202" s="119">
        <v>5.6057969810112068E-5</v>
      </c>
      <c r="AH2202" s="120">
        <v>4.0271019063739202E-5</v>
      </c>
      <c r="AI2202" s="121">
        <v>-35</v>
      </c>
      <c r="AJ2202" s="121">
        <v>-5</v>
      </c>
      <c r="AK2202" s="121">
        <v>35</v>
      </c>
      <c r="AL2202" s="121">
        <v>55</v>
      </c>
      <c r="AM2202" s="122">
        <v>42340</v>
      </c>
      <c r="AN2202" s="121" t="s">
        <v>481</v>
      </c>
      <c r="AP2202" s="87"/>
    </row>
    <row r="2203" spans="1:42">
      <c r="A2203" s="71"/>
      <c r="B2203" s="71"/>
      <c r="C2203" s="71"/>
      <c r="D2203" s="71"/>
      <c r="E2203" s="71"/>
      <c r="F2203" s="71"/>
      <c r="G2203" s="95">
        <v>4500</v>
      </c>
      <c r="H2203" s="102"/>
      <c r="I2203" s="104">
        <v>3.0476861670005926</v>
      </c>
      <c r="J2203" s="105">
        <v>40.701683291408088</v>
      </c>
      <c r="K2203" s="105">
        <v>62.784970864047217</v>
      </c>
      <c r="L2203" s="105">
        <v>0.22215995346913797</v>
      </c>
      <c r="M2203" s="105">
        <v>-0.74166049046052551</v>
      </c>
      <c r="N2203" s="105">
        <v>-1.724175496642538</v>
      </c>
      <c r="O2203" s="105">
        <v>-4.624145660875714E-3</v>
      </c>
      <c r="P2203" s="105">
        <v>-9.312451372553732E-3</v>
      </c>
      <c r="Q2203" s="105">
        <v>1.4358627486988776E-3</v>
      </c>
      <c r="R2203" s="105">
        <v>1.2924722754930347E-2</v>
      </c>
      <c r="S2203" s="105">
        <v>0.68671251422991009</v>
      </c>
      <c r="T2203" s="105">
        <v>-3.1553193570772482</v>
      </c>
      <c r="U2203" s="105">
        <v>10.392927089144084</v>
      </c>
      <c r="V2203" s="105">
        <v>-0.26189762972154357</v>
      </c>
      <c r="W2203" s="105">
        <v>-3.3060586017771404E-3</v>
      </c>
      <c r="X2203" s="105">
        <v>-0.21164023427253101</v>
      </c>
      <c r="Y2203" s="105">
        <v>-3.8161875341623636E-3</v>
      </c>
      <c r="Z2203" s="105">
        <v>-5.6586567215236581E-4</v>
      </c>
      <c r="AA2203" s="105">
        <v>1.0090036204701629E-4</v>
      </c>
      <c r="AB2203" s="105">
        <v>1.5619842703495656E-3</v>
      </c>
      <c r="AC2203" s="119">
        <v>4.4292357311390994E-2</v>
      </c>
      <c r="AD2203" s="119">
        <v>2.7239916541390894</v>
      </c>
      <c r="AE2203" s="120">
        <v>5.9282464134557946E-3</v>
      </c>
      <c r="AF2203" s="119">
        <v>1.7434559860245374E-6</v>
      </c>
      <c r="AG2203" s="119">
        <v>3.0562489437168769E-5</v>
      </c>
      <c r="AH2203" s="120">
        <v>2.3188827693079465E-5</v>
      </c>
      <c r="AI2203" s="121">
        <v>-35</v>
      </c>
      <c r="AJ2203" s="121">
        <v>-5</v>
      </c>
      <c r="AK2203" s="121">
        <v>35</v>
      </c>
      <c r="AL2203" s="121">
        <v>55</v>
      </c>
      <c r="AM2203" s="122">
        <v>42340</v>
      </c>
      <c r="AN2203" s="121" t="s">
        <v>481</v>
      </c>
      <c r="AP2203" s="87"/>
    </row>
    <row r="2204" spans="1:42">
      <c r="A2204" s="71" t="s">
        <v>43</v>
      </c>
      <c r="B2204" s="71" t="s">
        <v>100</v>
      </c>
      <c r="C2204" s="71" t="s">
        <v>105</v>
      </c>
      <c r="D2204" s="71" t="s">
        <v>101</v>
      </c>
      <c r="E2204" s="71" t="s">
        <v>47</v>
      </c>
      <c r="F2204" s="71" t="s">
        <v>190</v>
      </c>
      <c r="G2204" s="95"/>
      <c r="H2204" s="71" t="str">
        <f>CONCATENATE(A2204," ",B2204," ",C2204," ",D2204," ",E2204," ",F2204)</f>
        <v>Embraco R134a 60 Hz 115V VSD VEGY6H</v>
      </c>
      <c r="I2204" s="104"/>
      <c r="J2204" s="105"/>
      <c r="K2204" s="105"/>
      <c r="L2204" s="105"/>
      <c r="M2204" s="105"/>
      <c r="N2204" s="105"/>
      <c r="O2204" s="105"/>
      <c r="P2204" s="105"/>
      <c r="Q2204" s="105"/>
      <c r="R2204" s="105"/>
      <c r="S2204" s="105"/>
      <c r="T2204" s="105"/>
      <c r="U2204" s="105"/>
      <c r="V2204" s="105"/>
      <c r="W2204" s="105"/>
      <c r="X2204" s="105"/>
      <c r="Y2204" s="105"/>
      <c r="Z2204" s="105"/>
      <c r="AA2204" s="105"/>
      <c r="AB2204" s="105"/>
      <c r="AC2204" s="119"/>
      <c r="AD2204" s="119"/>
      <c r="AE2204" s="120"/>
      <c r="AF2204" s="119"/>
      <c r="AG2204" s="119"/>
      <c r="AH2204" s="120"/>
      <c r="AI2204" s="121"/>
      <c r="AJ2204" s="121"/>
      <c r="AK2204" s="121"/>
      <c r="AL2204" s="121"/>
      <c r="AM2204" s="122"/>
      <c r="AN2204" s="121"/>
      <c r="AP2204" s="87"/>
    </row>
    <row r="2205" spans="1:42">
      <c r="A2205" s="71"/>
      <c r="B2205" s="71"/>
      <c r="C2205" s="71"/>
      <c r="D2205" s="71"/>
      <c r="E2205" s="71"/>
      <c r="F2205" s="71"/>
      <c r="G2205" s="95">
        <v>1600</v>
      </c>
      <c r="H2205" s="102"/>
      <c r="I2205" s="104">
        <v>467.1635128613591</v>
      </c>
      <c r="J2205" s="105">
        <v>15.912364934555077</v>
      </c>
      <c r="K2205" s="105">
        <v>-5.9727005929980894</v>
      </c>
      <c r="L2205" s="105">
        <v>0.1873213214386468</v>
      </c>
      <c r="M2205" s="105">
        <v>-0.11082645727302483</v>
      </c>
      <c r="N2205" s="105">
        <v>7.8053320865168141E-2</v>
      </c>
      <c r="O2205" s="105">
        <v>5.2094767248510288E-4</v>
      </c>
      <c r="P2205" s="105">
        <v>-1.2204019934252939E-3</v>
      </c>
      <c r="Q2205" s="105">
        <v>-4.6050982341533246E-5</v>
      </c>
      <c r="R2205" s="105">
        <v>-7.782900422220664E-4</v>
      </c>
      <c r="S2205" s="105">
        <v>38.404658493338388</v>
      </c>
      <c r="T2205" s="105">
        <v>-1.0119886750946967</v>
      </c>
      <c r="U2205" s="105">
        <v>0.77364824803005228</v>
      </c>
      <c r="V2205" s="105">
        <v>-8.6296530891473322E-2</v>
      </c>
      <c r="W2205" s="105">
        <v>4.8548130821925453E-5</v>
      </c>
      <c r="X2205" s="105">
        <v>-2.2927751154252418E-3</v>
      </c>
      <c r="Y2205" s="105">
        <v>-4.6944564916737548E-4</v>
      </c>
      <c r="Z2205" s="105">
        <v>1.4179962877920215E-3</v>
      </c>
      <c r="AA2205" s="105">
        <v>1.1529599958848753E-3</v>
      </c>
      <c r="AB2205" s="105">
        <v>2.3108095432041847E-4</v>
      </c>
      <c r="AC2205" s="119"/>
      <c r="AD2205" s="119"/>
      <c r="AE2205" s="120"/>
      <c r="AF2205" s="119"/>
      <c r="AG2205" s="119"/>
      <c r="AH2205" s="120"/>
      <c r="AI2205" s="121"/>
      <c r="AJ2205" s="121"/>
      <c r="AK2205" s="121"/>
      <c r="AL2205" s="121"/>
      <c r="AM2205" s="122"/>
      <c r="AN2205" s="121"/>
      <c r="AP2205" s="87"/>
    </row>
    <row r="2206" spans="1:42">
      <c r="A2206" s="71"/>
      <c r="B2206" s="71"/>
      <c r="C2206" s="71"/>
      <c r="D2206" s="71"/>
      <c r="E2206" s="71"/>
      <c r="F2206" s="71"/>
      <c r="G2206" s="95">
        <v>2000</v>
      </c>
      <c r="H2206" s="102"/>
      <c r="I2206" s="104">
        <v>528.94469490691017</v>
      </c>
      <c r="J2206" s="105">
        <v>17.109993907790415</v>
      </c>
      <c r="K2206" s="105">
        <v>-4.0401033051852568</v>
      </c>
      <c r="L2206" s="105">
        <v>0.10427621633845953</v>
      </c>
      <c r="M2206" s="105">
        <v>-0.10774454436450093</v>
      </c>
      <c r="N2206" s="105">
        <v>1.81955551172296E-2</v>
      </c>
      <c r="O2206" s="105">
        <v>-8.1937912663906649E-4</v>
      </c>
      <c r="P2206" s="105">
        <v>-5.5966600552359352E-4</v>
      </c>
      <c r="Q2206" s="105">
        <v>-4.0726003246530482E-5</v>
      </c>
      <c r="R2206" s="105">
        <v>-3.4278665283555458E-4</v>
      </c>
      <c r="S2206" s="105">
        <v>27.674300268565396</v>
      </c>
      <c r="T2206" s="105">
        <v>-3.328998296423137</v>
      </c>
      <c r="U2206" s="105">
        <v>1.6757701110387933</v>
      </c>
      <c r="V2206" s="105">
        <v>-0.11713588470789833</v>
      </c>
      <c r="W2206" s="105">
        <v>8.5359744070848009E-2</v>
      </c>
      <c r="X2206" s="105">
        <v>-3.5387914292653083E-4</v>
      </c>
      <c r="Y2206" s="105">
        <v>-7.5471745719898605E-4</v>
      </c>
      <c r="Z2206" s="105">
        <v>1.6411331796045505E-3</v>
      </c>
      <c r="AA2206" s="105">
        <v>3.9760058054539747E-4</v>
      </c>
      <c r="AB2206" s="105">
        <v>9.2804963042373645E-5</v>
      </c>
      <c r="AC2206" s="119"/>
      <c r="AD2206" s="119"/>
      <c r="AE2206" s="120"/>
      <c r="AF2206" s="119"/>
      <c r="AG2206" s="119"/>
      <c r="AH2206" s="120"/>
      <c r="AI2206" s="121"/>
      <c r="AJ2206" s="121"/>
      <c r="AK2206" s="121"/>
      <c r="AL2206" s="121"/>
      <c r="AM2206" s="122"/>
      <c r="AN2206" s="121"/>
      <c r="AP2206" s="87"/>
    </row>
    <row r="2207" spans="1:42">
      <c r="A2207" s="71"/>
      <c r="B2207" s="71"/>
      <c r="C2207" s="71"/>
      <c r="D2207" s="71"/>
      <c r="E2207" s="71"/>
      <c r="F2207" s="71"/>
      <c r="G2207" s="95">
        <v>3000</v>
      </c>
      <c r="H2207" s="102"/>
      <c r="I2207" s="104">
        <v>825.60080785717457</v>
      </c>
      <c r="J2207" s="105">
        <v>31.330531654156673</v>
      </c>
      <c r="K2207" s="105">
        <v>-6.0157488422730676</v>
      </c>
      <c r="L2207" s="105">
        <v>0.28980364343555265</v>
      </c>
      <c r="M2207" s="105">
        <v>-0.27471949901084813</v>
      </c>
      <c r="N2207" s="105">
        <v>1.3660553801631881E-2</v>
      </c>
      <c r="O2207" s="105">
        <v>-1.0662465715572376E-3</v>
      </c>
      <c r="P2207" s="105">
        <v>-3.4075262444268014E-3</v>
      </c>
      <c r="Q2207" s="105">
        <v>-4.4489543475153959E-5</v>
      </c>
      <c r="R2207" s="105">
        <v>-4.2729875039515216E-4</v>
      </c>
      <c r="S2207" s="105">
        <v>60.712390133496903</v>
      </c>
      <c r="T2207" s="105">
        <v>-2.2528815692672217</v>
      </c>
      <c r="U2207" s="105">
        <v>2.6539837568142</v>
      </c>
      <c r="V2207" s="105">
        <v>-0.12652573769101436</v>
      </c>
      <c r="W2207" s="105">
        <v>7.5374923258826859E-2</v>
      </c>
      <c r="X2207" s="105">
        <v>-3.6633995908172585E-4</v>
      </c>
      <c r="Y2207" s="105">
        <v>-1.3252701607524456E-3</v>
      </c>
      <c r="Z2207" s="105">
        <v>1.1596364097856185E-3</v>
      </c>
      <c r="AA2207" s="105">
        <v>4.2374407351591329E-4</v>
      </c>
      <c r="AB2207" s="105">
        <v>-8.3698469535898596E-6</v>
      </c>
      <c r="AC2207" s="119"/>
      <c r="AD2207" s="119"/>
      <c r="AE2207" s="120"/>
      <c r="AF2207" s="119"/>
      <c r="AG2207" s="119"/>
      <c r="AH2207" s="120"/>
      <c r="AI2207" s="121"/>
      <c r="AJ2207" s="121"/>
      <c r="AK2207" s="121"/>
      <c r="AL2207" s="121"/>
      <c r="AM2207" s="122"/>
      <c r="AN2207" s="121"/>
      <c r="AP2207" s="87"/>
    </row>
    <row r="2208" spans="1:42">
      <c r="A2208" s="71"/>
      <c r="B2208" s="71"/>
      <c r="C2208" s="71"/>
      <c r="D2208" s="71"/>
      <c r="E2208" s="71"/>
      <c r="F2208" s="71"/>
      <c r="G2208" s="95">
        <v>4500</v>
      </c>
      <c r="H2208" s="102"/>
      <c r="I2208" s="104">
        <v>1200.4134261518291</v>
      </c>
      <c r="J2208" s="105">
        <v>33.780373228470495</v>
      </c>
      <c r="K2208" s="105">
        <v>-13.971489812711912</v>
      </c>
      <c r="L2208" s="105">
        <v>-0.25063327449411105</v>
      </c>
      <c r="M2208" s="105">
        <v>-0.66538404336086143</v>
      </c>
      <c r="N2208" s="105">
        <v>1.4885176392336979E-2</v>
      </c>
      <c r="O2208" s="105">
        <v>-1.0686463005837138E-2</v>
      </c>
      <c r="P2208" s="105">
        <v>-8.0013978660868831E-3</v>
      </c>
      <c r="Q2208" s="105">
        <v>2.3004132586785123E-4</v>
      </c>
      <c r="R2208" s="105">
        <v>-3.6702800713570163E-4</v>
      </c>
      <c r="S2208" s="105">
        <v>198.08511091124126</v>
      </c>
      <c r="T2208" s="105">
        <v>2.6483761727192339</v>
      </c>
      <c r="U2208" s="105">
        <v>7.4670327643779552E-2</v>
      </c>
      <c r="V2208" s="105">
        <v>-0.10721676241588284</v>
      </c>
      <c r="W2208" s="105">
        <v>-0.14943200800549794</v>
      </c>
      <c r="X2208" s="105">
        <v>-2.3410774648065778E-4</v>
      </c>
      <c r="Y2208" s="105">
        <v>-2.4447881780902936E-3</v>
      </c>
      <c r="Z2208" s="105">
        <v>-3.5189230113144873E-3</v>
      </c>
      <c r="AA2208" s="105">
        <v>-1.012581088312222E-5</v>
      </c>
      <c r="AB2208" s="105">
        <v>-1.4660943289062311E-4</v>
      </c>
      <c r="AC2208" s="119"/>
      <c r="AD2208" s="119"/>
      <c r="AE2208" s="120"/>
      <c r="AF2208" s="119"/>
      <c r="AG2208" s="119"/>
      <c r="AH2208" s="120"/>
      <c r="AI2208" s="121"/>
      <c r="AJ2208" s="121"/>
      <c r="AK2208" s="121"/>
      <c r="AL2208" s="121"/>
      <c r="AM2208" s="122"/>
      <c r="AN2208" s="121"/>
      <c r="AP2208" s="87"/>
    </row>
    <row r="2209" spans="1:42">
      <c r="A2209" s="71" t="s">
        <v>43</v>
      </c>
      <c r="B2209" s="71" t="s">
        <v>100</v>
      </c>
      <c r="C2209" s="71" t="s">
        <v>105</v>
      </c>
      <c r="D2209" s="71" t="s">
        <v>101</v>
      </c>
      <c r="E2209" s="71" t="s">
        <v>47</v>
      </c>
      <c r="F2209" s="71" t="s">
        <v>192</v>
      </c>
      <c r="G2209" s="95"/>
      <c r="H2209" s="71" t="str">
        <f>CONCATENATE(A2209," ",B2209," ",C2209," ",D2209," ",E2209," ",F2209)</f>
        <v>Embraco R134a 60 Hz 115V VSD VEGZ6H</v>
      </c>
      <c r="I2209" s="104"/>
      <c r="J2209" s="105"/>
      <c r="K2209" s="105"/>
      <c r="L2209" s="105"/>
      <c r="M2209" s="105"/>
      <c r="N2209" s="105"/>
      <c r="O2209" s="105"/>
      <c r="P2209" s="105"/>
      <c r="Q2209" s="105"/>
      <c r="R2209" s="105"/>
      <c r="S2209" s="105"/>
      <c r="T2209" s="105"/>
      <c r="U2209" s="105"/>
      <c r="V2209" s="105"/>
      <c r="W2209" s="105"/>
      <c r="X2209" s="105"/>
      <c r="Y2209" s="105"/>
      <c r="Z2209" s="105"/>
      <c r="AA2209" s="105"/>
      <c r="AB2209" s="105"/>
      <c r="AC2209" s="119"/>
      <c r="AD2209" s="119"/>
      <c r="AE2209" s="120"/>
      <c r="AF2209" s="119"/>
      <c r="AG2209" s="119"/>
      <c r="AH2209" s="120"/>
      <c r="AI2209" s="121"/>
      <c r="AJ2209" s="121"/>
      <c r="AK2209" s="121"/>
      <c r="AL2209" s="121"/>
      <c r="AM2209" s="122"/>
      <c r="AN2209" s="121"/>
      <c r="AP2209" s="87"/>
    </row>
    <row r="2210" spans="1:42">
      <c r="A2210" s="71"/>
      <c r="B2210" s="71"/>
      <c r="C2210" s="71"/>
      <c r="D2210" s="71"/>
      <c r="E2210" s="71"/>
      <c r="F2210" s="71"/>
      <c r="G2210" s="95">
        <v>1600</v>
      </c>
      <c r="H2210" s="102"/>
      <c r="I2210" s="104">
        <v>403.80714709363082</v>
      </c>
      <c r="J2210" s="105">
        <v>14.436275642803462</v>
      </c>
      <c r="K2210" s="105">
        <v>-1.9329721224970071</v>
      </c>
      <c r="L2210" s="105">
        <v>0.23408552071969232</v>
      </c>
      <c r="M2210" s="105">
        <v>-3.1669785190426854E-2</v>
      </c>
      <c r="N2210" s="105">
        <v>-9.6679616909856186E-3</v>
      </c>
      <c r="O2210" s="105">
        <v>1.9395397054875639E-3</v>
      </c>
      <c r="P2210" s="105">
        <v>-3.8570628225844034E-4</v>
      </c>
      <c r="Q2210" s="105">
        <v>-4.7219561304551161E-4</v>
      </c>
      <c r="R2210" s="105">
        <v>-9.0517258215300989E-5</v>
      </c>
      <c r="S2210" s="105">
        <v>2.147546510415189</v>
      </c>
      <c r="T2210" s="105">
        <v>-3.6103792048599184</v>
      </c>
      <c r="U2210" s="105">
        <v>2.1310768993849063</v>
      </c>
      <c r="V2210" s="105">
        <v>-6.1079626001419293E-2</v>
      </c>
      <c r="W2210" s="105">
        <v>0.1335083994029726</v>
      </c>
      <c r="X2210" s="105">
        <v>-5.136518282448547E-4</v>
      </c>
      <c r="Y2210" s="105">
        <v>5.5408464507287502E-5</v>
      </c>
      <c r="Z2210" s="105">
        <v>1.4087676957698389E-3</v>
      </c>
      <c r="AA2210" s="105">
        <v>-3.7875920897644964E-4</v>
      </c>
      <c r="AB2210" s="105">
        <v>-4.9402671168616702E-5</v>
      </c>
      <c r="AC2210" s="119"/>
      <c r="AD2210" s="119"/>
      <c r="AE2210" s="120"/>
      <c r="AF2210" s="119"/>
      <c r="AG2210" s="119"/>
      <c r="AH2210" s="120"/>
      <c r="AI2210" s="121"/>
      <c r="AJ2210" s="121"/>
      <c r="AK2210" s="121"/>
      <c r="AL2210" s="121"/>
      <c r="AM2210" s="122"/>
      <c r="AN2210" s="121"/>
      <c r="AP2210" s="87"/>
    </row>
    <row r="2211" spans="1:42">
      <c r="A2211" s="71"/>
      <c r="B2211" s="71"/>
      <c r="C2211" s="71"/>
      <c r="D2211" s="71"/>
      <c r="E2211" s="71"/>
      <c r="F2211" s="71"/>
      <c r="G2211" s="95">
        <v>2000</v>
      </c>
      <c r="H2211" s="102"/>
      <c r="I2211" s="104">
        <v>556.03307284434356</v>
      </c>
      <c r="J2211" s="105">
        <v>24.594213910113805</v>
      </c>
      <c r="K2211" s="105">
        <v>-3.0737549293283282</v>
      </c>
      <c r="L2211" s="105">
        <v>0.47118170436397916</v>
      </c>
      <c r="M2211" s="105">
        <v>-0.12671749633199877</v>
      </c>
      <c r="N2211" s="105">
        <v>-1.4090646998553825E-2</v>
      </c>
      <c r="O2211" s="105">
        <v>3.4168059324273733E-3</v>
      </c>
      <c r="P2211" s="105">
        <v>-2.5456636686765387E-3</v>
      </c>
      <c r="Q2211" s="105">
        <v>-8.3555436857963899E-4</v>
      </c>
      <c r="R2211" s="105">
        <v>-1.381401010665685E-4</v>
      </c>
      <c r="S2211" s="105">
        <v>39.670614626947817</v>
      </c>
      <c r="T2211" s="105">
        <v>-0.32973031725716695</v>
      </c>
      <c r="U2211" s="105">
        <v>1.8031724655299806</v>
      </c>
      <c r="V2211" s="105">
        <v>1.5734448301857117E-2</v>
      </c>
      <c r="W2211" s="105">
        <v>7.2039842518372532E-2</v>
      </c>
      <c r="X2211" s="105">
        <v>-4.2472948447401889E-4</v>
      </c>
      <c r="Y2211" s="105">
        <v>5.0666231193194312E-4</v>
      </c>
      <c r="Z2211" s="105">
        <v>3.9257064078227844E-4</v>
      </c>
      <c r="AA2211" s="105">
        <v>-2.2377571605012038E-4</v>
      </c>
      <c r="AB2211" s="105">
        <v>-7.2510460283856394E-5</v>
      </c>
      <c r="AC2211" s="119"/>
      <c r="AD2211" s="119"/>
      <c r="AE2211" s="120"/>
      <c r="AF2211" s="119"/>
      <c r="AG2211" s="119"/>
      <c r="AH2211" s="120"/>
      <c r="AI2211" s="121"/>
      <c r="AJ2211" s="121"/>
      <c r="AK2211" s="121"/>
      <c r="AL2211" s="121"/>
      <c r="AM2211" s="122"/>
      <c r="AN2211" s="121"/>
      <c r="AP2211" s="87"/>
    </row>
    <row r="2212" spans="1:42">
      <c r="A2212" s="71"/>
      <c r="B2212" s="71"/>
      <c r="C2212" s="71"/>
      <c r="D2212" s="71"/>
      <c r="E2212" s="71"/>
      <c r="F2212" s="71"/>
      <c r="G2212" s="95">
        <v>3000</v>
      </c>
      <c r="H2212" s="102"/>
      <c r="I2212" s="104">
        <v>946.47370262629613</v>
      </c>
      <c r="J2212" s="105">
        <v>42.240283385617296</v>
      </c>
      <c r="K2212" s="105">
        <v>-9.419488706538667</v>
      </c>
      <c r="L2212" s="105">
        <v>0.93464374926133564</v>
      </c>
      <c r="M2212" s="105">
        <v>-0.28174462038908371</v>
      </c>
      <c r="N2212" s="105">
        <v>3.6044320096281085E-2</v>
      </c>
      <c r="O2212" s="105">
        <v>9.7093499108830295E-3</v>
      </c>
      <c r="P2212" s="105">
        <v>-2.4976232607172044E-3</v>
      </c>
      <c r="Q2212" s="105">
        <v>6.5496941347187754E-4</v>
      </c>
      <c r="R2212" s="105">
        <v>-1.1205150896951278E-4</v>
      </c>
      <c r="S2212" s="105">
        <v>63.433858082910625</v>
      </c>
      <c r="T2212" s="105">
        <v>2.2991735844484991</v>
      </c>
      <c r="U2212" s="105">
        <v>2.8358316099628755</v>
      </c>
      <c r="V2212" s="105">
        <v>0.10684377848282907</v>
      </c>
      <c r="W2212" s="105">
        <v>4.5823736808171402E-2</v>
      </c>
      <c r="X2212" s="105">
        <v>-4.4340087719893246E-4</v>
      </c>
      <c r="Y2212" s="105">
        <v>1.8572437682831313E-3</v>
      </c>
      <c r="Z2212" s="105">
        <v>3.0190691506122309E-4</v>
      </c>
      <c r="AA2212" s="105">
        <v>2.7400590293676904E-4</v>
      </c>
      <c r="AB2212" s="105">
        <v>-1.1538802263812693E-4</v>
      </c>
      <c r="AC2212" s="119"/>
      <c r="AD2212" s="119"/>
      <c r="AE2212" s="120"/>
      <c r="AF2212" s="119"/>
      <c r="AG2212" s="119"/>
      <c r="AH2212" s="120"/>
      <c r="AI2212" s="121"/>
      <c r="AJ2212" s="121"/>
      <c r="AK2212" s="121"/>
      <c r="AL2212" s="121"/>
      <c r="AM2212" s="122"/>
      <c r="AN2212" s="121"/>
      <c r="AP2212" s="87"/>
    </row>
    <row r="2213" spans="1:42">
      <c r="A2213" s="71"/>
      <c r="B2213" s="71"/>
      <c r="C2213" s="71"/>
      <c r="D2213" s="71"/>
      <c r="E2213" s="71"/>
      <c r="F2213" s="71"/>
      <c r="G2213" s="95">
        <v>4500</v>
      </c>
      <c r="H2213" s="102"/>
      <c r="I2213" s="104">
        <v>1125.267377681781</v>
      </c>
      <c r="J2213" s="105">
        <v>20.174651559141125</v>
      </c>
      <c r="K2213" s="105">
        <v>-10.617240355426665</v>
      </c>
      <c r="L2213" s="105">
        <v>-8.1348941466483318E-2</v>
      </c>
      <c r="M2213" s="105">
        <v>-4.2489048677481454E-2</v>
      </c>
      <c r="N2213" s="105">
        <v>-3.716199408115093E-2</v>
      </c>
      <c r="O2213" s="105">
        <v>-4.166000940162941E-3</v>
      </c>
      <c r="P2213" s="105">
        <v>-3.6091872074618114E-3</v>
      </c>
      <c r="Q2213" s="105">
        <v>-4.4062466213850024E-3</v>
      </c>
      <c r="R2213" s="105">
        <v>-1.948492582301673E-5</v>
      </c>
      <c r="S2213" s="105">
        <v>130.39386423745884</v>
      </c>
      <c r="T2213" s="105">
        <v>-6.1388139622881965</v>
      </c>
      <c r="U2213" s="105">
        <v>1.3521537261405434</v>
      </c>
      <c r="V2213" s="105">
        <v>-0.32946536387161063</v>
      </c>
      <c r="W2213" s="105">
        <v>3.590071744788155E-2</v>
      </c>
      <c r="X2213" s="105">
        <v>-3.9656281678974363E-4</v>
      </c>
      <c r="Y2213" s="105">
        <v>-4.6959681963694017E-3</v>
      </c>
      <c r="Z2213" s="105">
        <v>-1.8008818985408494E-3</v>
      </c>
      <c r="AA2213" s="105">
        <v>-1.3259652946723747E-3</v>
      </c>
      <c r="AB2213" s="105">
        <v>-3.5066221481553592E-4</v>
      </c>
      <c r="AC2213" s="119"/>
      <c r="AD2213" s="119"/>
      <c r="AE2213" s="120"/>
      <c r="AF2213" s="119"/>
      <c r="AG2213" s="119"/>
      <c r="AH2213" s="120"/>
      <c r="AI2213" s="121"/>
      <c r="AJ2213" s="121"/>
      <c r="AK2213" s="121"/>
      <c r="AL2213" s="121"/>
      <c r="AM2213" s="122"/>
      <c r="AN2213" s="121"/>
      <c r="AP2213" s="87"/>
    </row>
    <row r="2214" spans="1:42">
      <c r="A2214" s="93" t="s">
        <v>43</v>
      </c>
      <c r="B2214" s="93" t="s">
        <v>100</v>
      </c>
      <c r="C2214" s="93" t="s">
        <v>105</v>
      </c>
      <c r="D2214" s="93" t="s">
        <v>101</v>
      </c>
      <c r="E2214" s="93" t="s">
        <v>47</v>
      </c>
      <c r="F2214" s="93" t="s">
        <v>194</v>
      </c>
      <c r="G2214" s="95"/>
      <c r="H2214" s="93" t="str">
        <f>CONCATENATE(A2214," ",B2214," ",C2214," ",D2214," ",E2214," ",F2214)</f>
        <v>Embraco R134a 60 Hz 115V VSD VESA7H</v>
      </c>
      <c r="I2214" s="110"/>
      <c r="J2214" s="103"/>
      <c r="K2214" s="103"/>
      <c r="L2214" s="103"/>
      <c r="M2214" s="103"/>
      <c r="N2214" s="103"/>
      <c r="O2214" s="103"/>
      <c r="P2214" s="103"/>
      <c r="Q2214" s="103"/>
      <c r="R2214" s="103"/>
      <c r="S2214" s="103"/>
      <c r="T2214" s="103"/>
      <c r="U2214" s="103"/>
      <c r="V2214" s="103"/>
      <c r="W2214" s="103"/>
      <c r="X2214" s="103"/>
      <c r="Y2214" s="103"/>
      <c r="Z2214" s="103"/>
      <c r="AA2214" s="103"/>
      <c r="AB2214" s="103"/>
      <c r="AC2214" s="119"/>
      <c r="AD2214" s="119"/>
      <c r="AE2214" s="120"/>
      <c r="AF2214" s="119"/>
      <c r="AG2214" s="119"/>
      <c r="AH2214" s="120"/>
      <c r="AI2214" s="121"/>
      <c r="AJ2214" s="121"/>
      <c r="AK2214" s="121"/>
      <c r="AL2214" s="121"/>
      <c r="AM2214" s="122"/>
      <c r="AN2214" s="121"/>
      <c r="AP2214" s="87"/>
    </row>
    <row r="2215" spans="1:42">
      <c r="A2215" s="93"/>
      <c r="B2215" s="93"/>
      <c r="C2215" s="93"/>
      <c r="D2215" s="93"/>
      <c r="E2215" s="93"/>
      <c r="F2215" s="93"/>
      <c r="G2215" s="95">
        <v>1400</v>
      </c>
      <c r="H2215" s="93"/>
      <c r="I2215" s="110">
        <v>-2.3383380811602126</v>
      </c>
      <c r="J2215" s="103">
        <v>20.625766365350241</v>
      </c>
      <c r="K2215" s="103">
        <v>30.778577980387258</v>
      </c>
      <c r="L2215" s="103">
        <v>0.3220371417752334</v>
      </c>
      <c r="M2215" s="103">
        <v>-0.13229008892954947</v>
      </c>
      <c r="N2215" s="103">
        <v>-0.78824007708445964</v>
      </c>
      <c r="O2215" s="103">
        <v>1.5610085515064185E-3</v>
      </c>
      <c r="P2215" s="103">
        <v>-1.9439589352938339E-3</v>
      </c>
      <c r="Q2215" s="103">
        <v>-2.9013141701286663E-4</v>
      </c>
      <c r="R2215" s="103">
        <v>5.8140644164380289E-3</v>
      </c>
      <c r="S2215" s="103">
        <v>-0.50527558631353053</v>
      </c>
      <c r="T2215" s="103">
        <v>-1.2998016230762062</v>
      </c>
      <c r="U2215" s="103">
        <v>3.0484979882383554</v>
      </c>
      <c r="V2215" s="103">
        <v>-3.47365469028693E-2</v>
      </c>
      <c r="W2215" s="103">
        <v>7.7577586687742714E-2</v>
      </c>
      <c r="X2215" s="103">
        <v>-1.9388440260940439E-2</v>
      </c>
      <c r="Y2215" s="103">
        <v>-3.2139699633595604E-5</v>
      </c>
      <c r="Z2215" s="103">
        <v>9.9571357612502796E-4</v>
      </c>
      <c r="AA2215" s="103">
        <v>1.6099049182256378E-4</v>
      </c>
      <c r="AB2215" s="103">
        <v>1.1737066444747387E-4</v>
      </c>
      <c r="AC2215" s="119">
        <v>0.13174103300333798</v>
      </c>
      <c r="AD2215" s="119">
        <v>4.5830061066196599</v>
      </c>
      <c r="AE2215" s="120">
        <v>2.0895861997136535E-2</v>
      </c>
      <c r="AF2215" s="119">
        <v>1.5070375259882179E-2</v>
      </c>
      <c r="AG2215" s="119">
        <v>0.78614668072680238</v>
      </c>
      <c r="AH2215" s="120">
        <v>8.3221178453026772E-3</v>
      </c>
      <c r="AI2215" s="121">
        <v>-35</v>
      </c>
      <c r="AJ2215" s="121">
        <v>-10</v>
      </c>
      <c r="AK2215" s="121">
        <v>35</v>
      </c>
      <c r="AL2215" s="121">
        <v>55</v>
      </c>
      <c r="AM2215" s="122">
        <v>42604</v>
      </c>
      <c r="AN2215" s="121" t="s">
        <v>481</v>
      </c>
      <c r="AP2215" s="87"/>
    </row>
    <row r="2216" spans="1:42">
      <c r="A2216" s="93"/>
      <c r="B2216" s="93"/>
      <c r="C2216" s="93"/>
      <c r="D2216" s="93"/>
      <c r="E2216" s="93"/>
      <c r="F2216" s="93"/>
      <c r="G2216" s="95">
        <v>2000</v>
      </c>
      <c r="H2216" s="93"/>
      <c r="I2216" s="110">
        <v>5.7282579100065698</v>
      </c>
      <c r="J2216" s="103">
        <v>22.110881313055668</v>
      </c>
      <c r="K2216" s="103">
        <v>37.292455868672562</v>
      </c>
      <c r="L2216" s="103">
        <v>0.33148475096604613</v>
      </c>
      <c r="M2216" s="103">
        <v>-3.5583470528112823E-2</v>
      </c>
      <c r="N2216" s="103">
        <v>-0.90683287586065142</v>
      </c>
      <c r="O2216" s="103">
        <v>1.7187395338870142E-3</v>
      </c>
      <c r="P2216" s="103">
        <v>-1.1451941765301627E-3</v>
      </c>
      <c r="Q2216" s="103">
        <v>-1.2855087984358243E-3</v>
      </c>
      <c r="R2216" s="103">
        <v>6.3032851048940566E-3</v>
      </c>
      <c r="S2216" s="103">
        <v>0.27918452465955185</v>
      </c>
      <c r="T2216" s="103">
        <v>-2.6956731827474489</v>
      </c>
      <c r="U2216" s="103">
        <v>4.1233711612390618</v>
      </c>
      <c r="V2216" s="103">
        <v>-5.2499868615391368E-2</v>
      </c>
      <c r="W2216" s="103">
        <v>0.14288935942588185</v>
      </c>
      <c r="X2216" s="103">
        <v>-1.9891961295748096E-2</v>
      </c>
      <c r="Y2216" s="103">
        <v>-1.3824474842335003E-4</v>
      </c>
      <c r="Z2216" s="103">
        <v>1.1473651393057495E-3</v>
      </c>
      <c r="AA2216" s="103">
        <v>-4.6198943296957718E-4</v>
      </c>
      <c r="AB2216" s="103">
        <v>-4.0603251009824034E-5</v>
      </c>
      <c r="AC2216" s="119">
        <v>0.18071898668734943</v>
      </c>
      <c r="AD2216" s="119">
        <v>14.134802181734061</v>
      </c>
      <c r="AE2216" s="120">
        <v>2.1791653267401373E-2</v>
      </c>
      <c r="AF2216" s="119">
        <v>4.3216455531202624E-2</v>
      </c>
      <c r="AG2216" s="119">
        <v>1.6754188532766214</v>
      </c>
      <c r="AH2216" s="120">
        <v>7.9152435605359447E-3</v>
      </c>
      <c r="AI2216" s="121">
        <v>-35</v>
      </c>
      <c r="AJ2216" s="121">
        <v>-10</v>
      </c>
      <c r="AK2216" s="121">
        <v>35</v>
      </c>
      <c r="AL2216" s="121">
        <v>55</v>
      </c>
      <c r="AM2216" s="122">
        <v>42604</v>
      </c>
      <c r="AN2216" s="121" t="s">
        <v>481</v>
      </c>
      <c r="AP2216" s="87"/>
    </row>
    <row r="2217" spans="1:42">
      <c r="A2217" s="93"/>
      <c r="B2217" s="93"/>
      <c r="C2217" s="93"/>
      <c r="D2217" s="93"/>
      <c r="E2217" s="93"/>
      <c r="F2217" s="93"/>
      <c r="G2217" s="95">
        <v>3000</v>
      </c>
      <c r="H2217" s="93"/>
      <c r="I2217" s="110">
        <v>6.5987093570915674</v>
      </c>
      <c r="J2217" s="103">
        <v>40.540159635956968</v>
      </c>
      <c r="K2217" s="103">
        <v>60.857664857866794</v>
      </c>
      <c r="L2217" s="103">
        <v>0.59147338076316935</v>
      </c>
      <c r="M2217" s="103">
        <v>-0.34348286281601348</v>
      </c>
      <c r="N2217" s="103">
        <v>-1.5940151655992205</v>
      </c>
      <c r="O2217" s="103">
        <v>3.0605231360946736E-3</v>
      </c>
      <c r="P2217" s="103">
        <v>-3.7740521662638221E-3</v>
      </c>
      <c r="Q2217" s="103">
        <v>3.6438015647517698E-4</v>
      </c>
      <c r="R2217" s="103">
        <v>1.2000934859963798E-2</v>
      </c>
      <c r="S2217" s="103">
        <v>0.6000308509703981</v>
      </c>
      <c r="T2217" s="103">
        <v>1.901053441485784</v>
      </c>
      <c r="U2217" s="103">
        <v>10.182934698558801</v>
      </c>
      <c r="V2217" s="103">
        <v>-1.3228660389758231E-2</v>
      </c>
      <c r="W2217" s="103">
        <v>3.6388740141436358E-2</v>
      </c>
      <c r="X2217" s="103">
        <v>-0.17317655437073648</v>
      </c>
      <c r="Y2217" s="103">
        <v>-3.4029268808501612E-4</v>
      </c>
      <c r="Z2217" s="103">
        <v>1.6153345647016809E-4</v>
      </c>
      <c r="AA2217" s="103">
        <v>3.873401779954185E-4</v>
      </c>
      <c r="AB2217" s="103">
        <v>1.2130536505344331E-3</v>
      </c>
      <c r="AC2217" s="119">
        <v>0.13068285459895768</v>
      </c>
      <c r="AD2217" s="119">
        <v>4.3295947514568667</v>
      </c>
      <c r="AE2217" s="120">
        <v>7.610081320540963E-3</v>
      </c>
      <c r="AF2217" s="119">
        <v>7.5351207821558575E-2</v>
      </c>
      <c r="AG2217" s="119">
        <v>2.7968983804664909</v>
      </c>
      <c r="AH2217" s="120">
        <v>7.2364991917894302E-3</v>
      </c>
      <c r="AI2217" s="121">
        <v>-35</v>
      </c>
      <c r="AJ2217" s="121">
        <v>-10</v>
      </c>
      <c r="AK2217" s="121">
        <v>35</v>
      </c>
      <c r="AL2217" s="121">
        <v>55</v>
      </c>
      <c r="AM2217" s="122">
        <v>42604</v>
      </c>
      <c r="AN2217" s="121" t="s">
        <v>481</v>
      </c>
      <c r="AP2217" s="87"/>
    </row>
    <row r="2218" spans="1:42">
      <c r="A2218" s="93"/>
      <c r="B2218" s="93"/>
      <c r="C2218" s="93"/>
      <c r="D2218" s="93"/>
      <c r="E2218" s="93"/>
      <c r="F2218" s="93"/>
      <c r="G2218" s="95">
        <v>4000</v>
      </c>
      <c r="H2218" s="93"/>
      <c r="I2218" s="110">
        <v>10.56608694257592</v>
      </c>
      <c r="J2218" s="103">
        <v>43.913613288824877</v>
      </c>
      <c r="K2218" s="103">
        <v>74.11406190852918</v>
      </c>
      <c r="L2218" s="103">
        <v>0.4286578629311002</v>
      </c>
      <c r="M2218" s="103">
        <v>-0.46151224869354773</v>
      </c>
      <c r="N2218" s="103">
        <v>-1.990448076167358</v>
      </c>
      <c r="O2218" s="103">
        <v>7.7394995098561015E-4</v>
      </c>
      <c r="P2218" s="103">
        <v>-3.2066200946170176E-3</v>
      </c>
      <c r="Q2218" s="103">
        <v>1.3492972067709551E-3</v>
      </c>
      <c r="R2218" s="103">
        <v>1.523983570452081E-2</v>
      </c>
      <c r="S2218" s="103">
        <v>0.94109214836973065</v>
      </c>
      <c r="T2218" s="103">
        <v>1.7784383826170367</v>
      </c>
      <c r="U2218" s="103">
        <v>15.676955283615861</v>
      </c>
      <c r="V2218" s="103">
        <v>-0.14857813918004331</v>
      </c>
      <c r="W2218" s="103">
        <v>-1.3187399901770626E-2</v>
      </c>
      <c r="X2218" s="103">
        <v>-0.33226432683753249</v>
      </c>
      <c r="Y2218" s="103">
        <v>-2.5835116744960637E-3</v>
      </c>
      <c r="Z2218" s="103">
        <v>-1.4236673082137038E-4</v>
      </c>
      <c r="AA2218" s="103">
        <v>6.8118498409452022E-4</v>
      </c>
      <c r="AB2218" s="103">
        <v>2.533370130085429E-3</v>
      </c>
      <c r="AC2218" s="119">
        <v>1.2152155045259341</v>
      </c>
      <c r="AD2218" s="119">
        <v>106.50103959427598</v>
      </c>
      <c r="AE2218" s="120">
        <v>3.3353967868983543E-2</v>
      </c>
      <c r="AF2218" s="119">
        <v>0.39819511540294067</v>
      </c>
      <c r="AG2218" s="119">
        <v>10.656624610333814</v>
      </c>
      <c r="AH2218" s="120">
        <v>1.1658135179492851E-2</v>
      </c>
      <c r="AI2218" s="121">
        <v>-35</v>
      </c>
      <c r="AJ2218" s="121">
        <v>-10</v>
      </c>
      <c r="AK2218" s="121">
        <v>35</v>
      </c>
      <c r="AL2218" s="121">
        <v>55</v>
      </c>
      <c r="AM2218" s="122">
        <v>42604</v>
      </c>
      <c r="AN2218" s="121" t="s">
        <v>481</v>
      </c>
      <c r="AP2218" s="87"/>
    </row>
    <row r="2219" spans="1:42">
      <c r="A2219" s="93" t="s">
        <v>43</v>
      </c>
      <c r="B2219" s="93" t="s">
        <v>100</v>
      </c>
      <c r="C2219" s="93" t="s">
        <v>105</v>
      </c>
      <c r="D2219" s="93" t="s">
        <v>101</v>
      </c>
      <c r="E2219" s="93" t="s">
        <v>47</v>
      </c>
      <c r="F2219" s="93" t="s">
        <v>194</v>
      </c>
      <c r="G2219" s="95"/>
      <c r="H2219" s="93" t="str">
        <f>CONCATENATE(A2219," ",B2219," ",C2219," ",D2219," ",E2219," ",F2219)</f>
        <v>Embraco R134a 60 Hz 115V VSD VESA7H</v>
      </c>
      <c r="I2219" s="110"/>
      <c r="J2219" s="103"/>
      <c r="K2219" s="103"/>
      <c r="L2219" s="103"/>
      <c r="M2219" s="103"/>
      <c r="N2219" s="103"/>
      <c r="O2219" s="103"/>
      <c r="P2219" s="103"/>
      <c r="Q2219" s="103"/>
      <c r="R2219" s="103"/>
      <c r="S2219" s="103"/>
      <c r="T2219" s="103"/>
      <c r="U2219" s="103"/>
      <c r="V2219" s="103"/>
      <c r="W2219" s="103"/>
      <c r="X2219" s="103"/>
      <c r="Y2219" s="103"/>
      <c r="Z2219" s="103"/>
      <c r="AA2219" s="103"/>
      <c r="AB2219" s="103"/>
      <c r="AC2219" s="119"/>
      <c r="AD2219" s="119"/>
      <c r="AE2219" s="120"/>
      <c r="AF2219" s="119"/>
      <c r="AG2219" s="119"/>
      <c r="AH2219" s="120"/>
      <c r="AI2219" s="121"/>
      <c r="AJ2219" s="121"/>
      <c r="AK2219" s="121"/>
      <c r="AL2219" s="121"/>
      <c r="AM2219" s="122"/>
      <c r="AN2219" s="121"/>
      <c r="AP2219" s="87"/>
    </row>
    <row r="2220" spans="1:42">
      <c r="A2220" s="93"/>
      <c r="B2220" s="93"/>
      <c r="C2220" s="93"/>
      <c r="D2220" s="93"/>
      <c r="E2220" s="93"/>
      <c r="F2220" s="93"/>
      <c r="G2220" s="95">
        <v>1400</v>
      </c>
      <c r="H2220" s="93"/>
      <c r="I2220" s="110">
        <v>-2.3383380811602126</v>
      </c>
      <c r="J2220" s="103">
        <v>20.625766365350241</v>
      </c>
      <c r="K2220" s="103">
        <v>30.778577980387258</v>
      </c>
      <c r="L2220" s="103">
        <v>0.3220371417752334</v>
      </c>
      <c r="M2220" s="103">
        <v>-0.13229008892954947</v>
      </c>
      <c r="N2220" s="103">
        <v>-0.78824007708445964</v>
      </c>
      <c r="O2220" s="103">
        <v>1.5610085515064185E-3</v>
      </c>
      <c r="P2220" s="103">
        <v>-1.9439589352938339E-3</v>
      </c>
      <c r="Q2220" s="103">
        <v>-2.9013141701286663E-4</v>
      </c>
      <c r="R2220" s="103">
        <v>5.8140644164380289E-3</v>
      </c>
      <c r="S2220" s="103">
        <v>-0.50527558631353053</v>
      </c>
      <c r="T2220" s="103">
        <v>-1.2998016230762062</v>
      </c>
      <c r="U2220" s="103">
        <v>3.0484979882383554</v>
      </c>
      <c r="V2220" s="103">
        <v>-3.47365469028693E-2</v>
      </c>
      <c r="W2220" s="103">
        <v>7.7577586687742714E-2</v>
      </c>
      <c r="X2220" s="103">
        <v>-1.9388440260940439E-2</v>
      </c>
      <c r="Y2220" s="103">
        <v>-3.2139699633595604E-5</v>
      </c>
      <c r="Z2220" s="103">
        <v>9.9571357612502796E-4</v>
      </c>
      <c r="AA2220" s="103">
        <v>1.6099049182256378E-4</v>
      </c>
      <c r="AB2220" s="103">
        <v>1.1737066444747387E-4</v>
      </c>
      <c r="AC2220" s="119">
        <v>0.13174103300333798</v>
      </c>
      <c r="AD2220" s="119">
        <v>4.5830061066196599</v>
      </c>
      <c r="AE2220" s="120">
        <v>2.0895861997136535E-2</v>
      </c>
      <c r="AF2220" s="119">
        <v>1.5070375259882179E-2</v>
      </c>
      <c r="AG2220" s="119">
        <v>0.78614668072680238</v>
      </c>
      <c r="AH2220" s="120">
        <v>8.3221178453026772E-3</v>
      </c>
      <c r="AI2220" s="121">
        <v>-35</v>
      </c>
      <c r="AJ2220" s="121">
        <v>-10</v>
      </c>
      <c r="AK2220" s="121">
        <v>35</v>
      </c>
      <c r="AL2220" s="121">
        <v>55</v>
      </c>
      <c r="AM2220" s="122">
        <v>42604</v>
      </c>
      <c r="AN2220" s="121" t="s">
        <v>481</v>
      </c>
      <c r="AP2220" s="87"/>
    </row>
    <row r="2221" spans="1:42">
      <c r="A2221" s="93"/>
      <c r="B2221" s="93"/>
      <c r="C2221" s="93"/>
      <c r="D2221" s="93"/>
      <c r="E2221" s="93"/>
      <c r="F2221" s="93"/>
      <c r="G2221" s="95">
        <v>2000</v>
      </c>
      <c r="H2221" s="93"/>
      <c r="I2221" s="110">
        <v>5.7282579100065698</v>
      </c>
      <c r="J2221" s="103">
        <v>22.110881313055668</v>
      </c>
      <c r="K2221" s="103">
        <v>37.292455868672562</v>
      </c>
      <c r="L2221" s="103">
        <v>0.33148475096604613</v>
      </c>
      <c r="M2221" s="103">
        <v>-3.5583470528112823E-2</v>
      </c>
      <c r="N2221" s="103">
        <v>-0.90683287586065142</v>
      </c>
      <c r="O2221" s="103">
        <v>1.7187395338870142E-3</v>
      </c>
      <c r="P2221" s="103">
        <v>-1.1451941765301627E-3</v>
      </c>
      <c r="Q2221" s="103">
        <v>-1.2855087984358243E-3</v>
      </c>
      <c r="R2221" s="103">
        <v>6.3032851048940566E-3</v>
      </c>
      <c r="S2221" s="103">
        <v>0.27918452465955185</v>
      </c>
      <c r="T2221" s="103">
        <v>-2.6956731827474489</v>
      </c>
      <c r="U2221" s="103">
        <v>4.1233711612390618</v>
      </c>
      <c r="V2221" s="103">
        <v>-5.2499868615391368E-2</v>
      </c>
      <c r="W2221" s="103">
        <v>0.14288935942588185</v>
      </c>
      <c r="X2221" s="103">
        <v>-1.9891961295748096E-2</v>
      </c>
      <c r="Y2221" s="103">
        <v>-1.3824474842335003E-4</v>
      </c>
      <c r="Z2221" s="103">
        <v>1.1473651393057495E-3</v>
      </c>
      <c r="AA2221" s="103">
        <v>-4.6198943296957718E-4</v>
      </c>
      <c r="AB2221" s="103">
        <v>-4.0603251009824034E-5</v>
      </c>
      <c r="AC2221" s="119">
        <v>0.18071898668734943</v>
      </c>
      <c r="AD2221" s="119">
        <v>14.134802181734061</v>
      </c>
      <c r="AE2221" s="120">
        <v>2.1791653267401373E-2</v>
      </c>
      <c r="AF2221" s="119">
        <v>4.3216455531202624E-2</v>
      </c>
      <c r="AG2221" s="119">
        <v>1.6754188532766214</v>
      </c>
      <c r="AH2221" s="120">
        <v>7.9152435605359447E-3</v>
      </c>
      <c r="AI2221" s="121">
        <v>-35</v>
      </c>
      <c r="AJ2221" s="121">
        <v>-10</v>
      </c>
      <c r="AK2221" s="121">
        <v>35</v>
      </c>
      <c r="AL2221" s="121">
        <v>55</v>
      </c>
      <c r="AM2221" s="122">
        <v>42604</v>
      </c>
      <c r="AN2221" s="121" t="s">
        <v>481</v>
      </c>
      <c r="AP2221" s="87"/>
    </row>
    <row r="2222" spans="1:42">
      <c r="A2222" s="93"/>
      <c r="B2222" s="93"/>
      <c r="C2222" s="93"/>
      <c r="D2222" s="93"/>
      <c r="E2222" s="93"/>
      <c r="F2222" s="93"/>
      <c r="G2222" s="95">
        <v>3000</v>
      </c>
      <c r="H2222" s="93"/>
      <c r="I2222" s="110">
        <v>6.5987093570915674</v>
      </c>
      <c r="J2222" s="103">
        <v>40.540159635956968</v>
      </c>
      <c r="K2222" s="103">
        <v>60.857664857866794</v>
      </c>
      <c r="L2222" s="103">
        <v>0.59147338076316935</v>
      </c>
      <c r="M2222" s="103">
        <v>-0.34348286281601348</v>
      </c>
      <c r="N2222" s="103">
        <v>-1.5940151655992205</v>
      </c>
      <c r="O2222" s="103">
        <v>3.0605231360946736E-3</v>
      </c>
      <c r="P2222" s="103">
        <v>-3.7740521662638221E-3</v>
      </c>
      <c r="Q2222" s="103">
        <v>3.6438015647517698E-4</v>
      </c>
      <c r="R2222" s="103">
        <v>1.2000934859963798E-2</v>
      </c>
      <c r="S2222" s="103">
        <v>0.6000308509703981</v>
      </c>
      <c r="T2222" s="103">
        <v>1.901053441485784</v>
      </c>
      <c r="U2222" s="103">
        <v>10.182934698558801</v>
      </c>
      <c r="V2222" s="103">
        <v>-1.3228660389758231E-2</v>
      </c>
      <c r="W2222" s="103">
        <v>3.6388740141436358E-2</v>
      </c>
      <c r="X2222" s="103">
        <v>-0.17317655437073648</v>
      </c>
      <c r="Y2222" s="103">
        <v>-3.4029268808501612E-4</v>
      </c>
      <c r="Z2222" s="103">
        <v>1.6153345647016809E-4</v>
      </c>
      <c r="AA2222" s="103">
        <v>3.873401779954185E-4</v>
      </c>
      <c r="AB2222" s="103">
        <v>1.2130536505344331E-3</v>
      </c>
      <c r="AC2222" s="119">
        <v>0.13068285459895768</v>
      </c>
      <c r="AD2222" s="119">
        <v>4.3295947514568667</v>
      </c>
      <c r="AE2222" s="120">
        <v>7.610081320540963E-3</v>
      </c>
      <c r="AF2222" s="119">
        <v>7.5351207821558575E-2</v>
      </c>
      <c r="AG2222" s="119">
        <v>2.7968983804664909</v>
      </c>
      <c r="AH2222" s="120">
        <v>7.2364991917894302E-3</v>
      </c>
      <c r="AI2222" s="121">
        <v>-35</v>
      </c>
      <c r="AJ2222" s="121">
        <v>-10</v>
      </c>
      <c r="AK2222" s="121">
        <v>35</v>
      </c>
      <c r="AL2222" s="121">
        <v>55</v>
      </c>
      <c r="AM2222" s="122">
        <v>42604</v>
      </c>
      <c r="AN2222" s="121" t="s">
        <v>481</v>
      </c>
      <c r="AP2222" s="87"/>
    </row>
    <row r="2223" spans="1:42">
      <c r="A2223" s="93"/>
      <c r="B2223" s="93"/>
      <c r="C2223" s="93"/>
      <c r="D2223" s="93"/>
      <c r="E2223" s="93"/>
      <c r="F2223" s="93"/>
      <c r="G2223" s="95">
        <v>4000</v>
      </c>
      <c r="H2223" s="93"/>
      <c r="I2223" s="110">
        <v>10.56608694257592</v>
      </c>
      <c r="J2223" s="103">
        <v>43.913613288824877</v>
      </c>
      <c r="K2223" s="103">
        <v>74.11406190852918</v>
      </c>
      <c r="L2223" s="103">
        <v>0.4286578629311002</v>
      </c>
      <c r="M2223" s="103">
        <v>-0.46151224869354773</v>
      </c>
      <c r="N2223" s="103">
        <v>-1.990448076167358</v>
      </c>
      <c r="O2223" s="103">
        <v>7.7394995098561015E-4</v>
      </c>
      <c r="P2223" s="103">
        <v>-3.2066200946170176E-3</v>
      </c>
      <c r="Q2223" s="103">
        <v>1.3492972067709551E-3</v>
      </c>
      <c r="R2223" s="103">
        <v>1.523983570452081E-2</v>
      </c>
      <c r="S2223" s="103">
        <v>0.94109214836973065</v>
      </c>
      <c r="T2223" s="103">
        <v>1.7784383826170367</v>
      </c>
      <c r="U2223" s="103">
        <v>15.676955283615861</v>
      </c>
      <c r="V2223" s="103">
        <v>-0.14857813918004331</v>
      </c>
      <c r="W2223" s="103">
        <v>-1.3187399901770626E-2</v>
      </c>
      <c r="X2223" s="103">
        <v>-0.33226432683753249</v>
      </c>
      <c r="Y2223" s="103">
        <v>-2.5835116744960637E-3</v>
      </c>
      <c r="Z2223" s="103">
        <v>-1.4236673082137038E-4</v>
      </c>
      <c r="AA2223" s="103">
        <v>6.8118498409452022E-4</v>
      </c>
      <c r="AB2223" s="103">
        <v>2.533370130085429E-3</v>
      </c>
      <c r="AC2223" s="119">
        <v>1.2152155045259341</v>
      </c>
      <c r="AD2223" s="119">
        <v>106.50103959427598</v>
      </c>
      <c r="AE2223" s="120">
        <v>3.3353967868983543E-2</v>
      </c>
      <c r="AF2223" s="119">
        <v>0.39819511540294067</v>
      </c>
      <c r="AG2223" s="119">
        <v>10.656624610333814</v>
      </c>
      <c r="AH2223" s="120">
        <v>1.1658135179492851E-2</v>
      </c>
      <c r="AI2223" s="121">
        <v>-35</v>
      </c>
      <c r="AJ2223" s="121">
        <v>-10</v>
      </c>
      <c r="AK2223" s="121">
        <v>35</v>
      </c>
      <c r="AL2223" s="121">
        <v>55</v>
      </c>
      <c r="AM2223" s="122">
        <v>42604</v>
      </c>
      <c r="AN2223" s="121" t="s">
        <v>481</v>
      </c>
      <c r="AP2223" s="87"/>
    </row>
    <row r="2224" spans="1:42">
      <c r="A2224" s="71" t="s">
        <v>115</v>
      </c>
      <c r="B2224" s="71" t="s">
        <v>44</v>
      </c>
      <c r="C2224" s="71" t="s">
        <v>45</v>
      </c>
      <c r="D2224" s="71" t="s">
        <v>46</v>
      </c>
      <c r="E2224" s="71" t="s">
        <v>47</v>
      </c>
      <c r="F2224" s="71" t="s">
        <v>196</v>
      </c>
      <c r="G2224" s="95"/>
      <c r="H2224" s="71" t="str">
        <f>CONCATENATE(A2224," ",B2224," ",C2224," ",D2224," ",E2224," ",F2224)</f>
        <v>Jiaxipera Isobutane 50 Hz 230V VSD VND1111Y</v>
      </c>
      <c r="I2224" s="104"/>
      <c r="J2224" s="105"/>
      <c r="K2224" s="105"/>
      <c r="L2224" s="105"/>
      <c r="M2224" s="105"/>
      <c r="N2224" s="105"/>
      <c r="O2224" s="105"/>
      <c r="P2224" s="105"/>
      <c r="Q2224" s="105"/>
      <c r="R2224" s="105"/>
      <c r="S2224" s="105"/>
      <c r="T2224" s="105"/>
      <c r="U2224" s="105"/>
      <c r="V2224" s="105"/>
      <c r="W2224" s="105"/>
      <c r="X2224" s="105"/>
      <c r="Y2224" s="105"/>
      <c r="Z2224" s="105"/>
      <c r="AA2224" s="105"/>
      <c r="AB2224" s="105"/>
      <c r="AC2224" s="119"/>
      <c r="AD2224" s="119"/>
      <c r="AE2224" s="120"/>
      <c r="AF2224" s="119"/>
      <c r="AG2224" s="119"/>
      <c r="AH2224" s="120"/>
      <c r="AI2224" s="121"/>
      <c r="AJ2224" s="121"/>
      <c r="AK2224" s="121"/>
      <c r="AL2224" s="121"/>
      <c r="AM2224" s="122"/>
      <c r="AN2224" s="121"/>
      <c r="AP2224" s="87"/>
    </row>
    <row r="2225" spans="1:42">
      <c r="A2225" s="71"/>
      <c r="B2225" s="71"/>
      <c r="C2225" s="71"/>
      <c r="D2225" s="71"/>
      <c r="E2225" s="71"/>
      <c r="F2225" s="71"/>
      <c r="G2225" s="95">
        <v>1000</v>
      </c>
      <c r="H2225" s="71"/>
      <c r="I2225" s="104">
        <v>1.0392398938581127</v>
      </c>
      <c r="J2225" s="105">
        <v>-1.3744707343880451</v>
      </c>
      <c r="K2225" s="105">
        <v>8.3071925424210491</v>
      </c>
      <c r="L2225" s="105">
        <v>-0.37964947858023607</v>
      </c>
      <c r="M2225" s="105">
        <v>-1.6754659897751253E-2</v>
      </c>
      <c r="N2225" s="105">
        <v>-0.21686034692185865</v>
      </c>
      <c r="O2225" s="105">
        <v>-9.2782554173442798E-3</v>
      </c>
      <c r="P2225" s="105">
        <v>-8.4889562979111629E-4</v>
      </c>
      <c r="Q2225" s="105">
        <v>-4.2200233395124674E-4</v>
      </c>
      <c r="R2225" s="105">
        <v>1.5767509137888241E-3</v>
      </c>
      <c r="S2225" s="105">
        <v>2.0771902143504717E-2</v>
      </c>
      <c r="T2225" s="105">
        <v>-0.13535245390138972</v>
      </c>
      <c r="U2225" s="105">
        <v>1.2734482037854409</v>
      </c>
      <c r="V2225" s="105">
        <v>1.1013716907464733E-2</v>
      </c>
      <c r="W2225" s="105">
        <v>2.2322589488653354E-2</v>
      </c>
      <c r="X2225" s="105">
        <v>-1.5686057180725872E-2</v>
      </c>
      <c r="Y2225" s="105">
        <v>4.0333979978414821E-4</v>
      </c>
      <c r="Z2225" s="105">
        <v>1.9517674998447622E-4</v>
      </c>
      <c r="AA2225" s="105">
        <v>-5.4699363713776486E-6</v>
      </c>
      <c r="AB2225" s="105">
        <v>1.1773195355049258E-4</v>
      </c>
      <c r="AC2225" s="119">
        <v>4.3965616341141593E-4</v>
      </c>
      <c r="AD2225" s="119">
        <v>0.1056669564788751</v>
      </c>
      <c r="AE2225" s="120">
        <v>3.3285642233335908E-3</v>
      </c>
      <c r="AF2225" s="119">
        <v>5.5659674081651761E-5</v>
      </c>
      <c r="AG2225" s="119">
        <v>9.7511474212004067E-4</v>
      </c>
      <c r="AH2225" s="120">
        <v>4.9650869147266916E-4</v>
      </c>
      <c r="AI2225" s="121">
        <v>-25</v>
      </c>
      <c r="AJ2225" s="121">
        <v>-10</v>
      </c>
      <c r="AK2225" s="121">
        <v>35</v>
      </c>
      <c r="AL2225" s="121">
        <v>55</v>
      </c>
      <c r="AM2225" s="122">
        <v>43262</v>
      </c>
      <c r="AN2225" s="121" t="s">
        <v>693</v>
      </c>
      <c r="AP2225" s="87"/>
    </row>
    <row r="2226" spans="1:42">
      <c r="A2226" s="71"/>
      <c r="B2226" s="71"/>
      <c r="C2226" s="71"/>
      <c r="D2226" s="71"/>
      <c r="E2226" s="71"/>
      <c r="F2226" s="71"/>
      <c r="G2226" s="95">
        <v>1500</v>
      </c>
      <c r="H2226" s="71"/>
      <c r="I2226" s="104">
        <v>1.0353473079977129</v>
      </c>
      <c r="J2226" s="105">
        <v>6.3052314913939558</v>
      </c>
      <c r="K2226" s="105">
        <v>15.150438141991197</v>
      </c>
      <c r="L2226" s="105">
        <v>-4.376284437578818E-2</v>
      </c>
      <c r="M2226" s="105">
        <v>-3.1509339657322104E-2</v>
      </c>
      <c r="N2226" s="105">
        <v>-0.38135933483173257</v>
      </c>
      <c r="O2226" s="105">
        <v>-3.1827703192026323E-3</v>
      </c>
      <c r="P2226" s="105">
        <v>-1.0258580192400756E-3</v>
      </c>
      <c r="Q2226" s="105">
        <v>-4.8845671609461672E-4</v>
      </c>
      <c r="R2226" s="105">
        <v>2.7598116162941312E-3</v>
      </c>
      <c r="S2226" s="105">
        <v>3.2237950762273233E-3</v>
      </c>
      <c r="T2226" s="105">
        <v>-0.31627673373760784</v>
      </c>
      <c r="U2226" s="105">
        <v>1.8473800129234177</v>
      </c>
      <c r="V2226" s="105">
        <v>3.2122226024202298E-3</v>
      </c>
      <c r="W2226" s="105">
        <v>3.1405418156627486E-2</v>
      </c>
      <c r="X2226" s="105">
        <v>-2.2338608392904361E-2</v>
      </c>
      <c r="Y2226" s="105">
        <v>1.6692217038907168E-4</v>
      </c>
      <c r="Z2226" s="105">
        <v>9.4326730721436299E-5</v>
      </c>
      <c r="AA2226" s="105">
        <v>-1.0350678644441242E-4</v>
      </c>
      <c r="AB2226" s="105">
        <v>1.3787658009426244E-4</v>
      </c>
      <c r="AC2226" s="119">
        <v>6.5552546783211876E-4</v>
      </c>
      <c r="AD2226" s="119">
        <v>8.3819678367733269E-2</v>
      </c>
      <c r="AE2226" s="120">
        <v>1.8882767214546655E-3</v>
      </c>
      <c r="AF2226" s="119">
        <v>2.3373275351137437E-5</v>
      </c>
      <c r="AG2226" s="119">
        <v>9.0943053523341432E-3</v>
      </c>
      <c r="AH2226" s="120">
        <v>1.1258806503320834E-3</v>
      </c>
      <c r="AI2226" s="121">
        <v>-25</v>
      </c>
      <c r="AJ2226" s="121">
        <v>-10</v>
      </c>
      <c r="AK2226" s="121">
        <v>35</v>
      </c>
      <c r="AL2226" s="121">
        <v>55</v>
      </c>
      <c r="AM2226" s="122">
        <v>43262</v>
      </c>
      <c r="AN2226" s="121" t="s">
        <v>693</v>
      </c>
      <c r="AP2226" s="87"/>
    </row>
    <row r="2227" spans="1:42">
      <c r="A2227" s="71"/>
      <c r="B2227" s="71"/>
      <c r="C2227" s="71"/>
      <c r="D2227" s="71"/>
      <c r="E2227" s="71"/>
      <c r="F2227" s="71"/>
      <c r="G2227" s="95">
        <v>2000</v>
      </c>
      <c r="H2227" s="71"/>
      <c r="I2227" s="104">
        <v>1.0719904609165134</v>
      </c>
      <c r="J2227" s="105">
        <v>-3.5511637601923995</v>
      </c>
      <c r="K2227" s="105">
        <v>16.145963987063176</v>
      </c>
      <c r="L2227" s="105">
        <v>-0.84108990877574852</v>
      </c>
      <c r="M2227" s="105">
        <v>-4.5997198369706956E-2</v>
      </c>
      <c r="N2227" s="105">
        <v>-0.41492718605746043</v>
      </c>
      <c r="O2227" s="105">
        <v>-1.8823618631011386E-2</v>
      </c>
      <c r="P2227" s="105">
        <v>-1.4583829945192363E-5</v>
      </c>
      <c r="Q2227" s="105">
        <v>-1.1369126482085048E-4</v>
      </c>
      <c r="R2227" s="105">
        <v>3.0315017716261109E-3</v>
      </c>
      <c r="S2227" s="105">
        <v>1.7650962331074573</v>
      </c>
      <c r="T2227" s="105">
        <v>-1.7264922611409002</v>
      </c>
      <c r="U2227" s="105">
        <v>2.0879560030392286</v>
      </c>
      <c r="V2227" s="105">
        <v>-0.11803102720702253</v>
      </c>
      <c r="W2227" s="105">
        <v>1.9122320640289403E-2</v>
      </c>
      <c r="X2227" s="105">
        <v>-2.6574041880038448E-2</v>
      </c>
      <c r="Y2227" s="105">
        <v>-2.1808242001360844E-3</v>
      </c>
      <c r="Z2227" s="105">
        <v>1.6643106345661624E-4</v>
      </c>
      <c r="AA2227" s="105">
        <v>1.0039884459402232E-4</v>
      </c>
      <c r="AB2227" s="105">
        <v>1.8763426661755328E-4</v>
      </c>
      <c r="AC2227" s="119">
        <v>2.1024956377355994E-3</v>
      </c>
      <c r="AD2227" s="119">
        <v>0.66668334775052895</v>
      </c>
      <c r="AE2227" s="120">
        <v>4.0399412572165883E-3</v>
      </c>
      <c r="AF2227" s="119">
        <v>9.8265326060599688E-6</v>
      </c>
      <c r="AG2227" s="119">
        <v>1.2640265255602159E-2</v>
      </c>
      <c r="AH2227" s="120">
        <v>9.9471292789934051E-4</v>
      </c>
      <c r="AI2227" s="121">
        <v>-25</v>
      </c>
      <c r="AJ2227" s="121">
        <v>-10</v>
      </c>
      <c r="AK2227" s="121">
        <v>35</v>
      </c>
      <c r="AL2227" s="121">
        <v>55</v>
      </c>
      <c r="AM2227" s="122">
        <v>43262</v>
      </c>
      <c r="AN2227" s="121" t="s">
        <v>693</v>
      </c>
      <c r="AP2227" s="87"/>
    </row>
    <row r="2228" spans="1:42">
      <c r="A2228" s="71" t="s">
        <v>115</v>
      </c>
      <c r="B2228" s="71" t="s">
        <v>44</v>
      </c>
      <c r="C2228" s="71" t="s">
        <v>45</v>
      </c>
      <c r="D2228" s="71" t="s">
        <v>46</v>
      </c>
      <c r="E2228" s="71" t="s">
        <v>47</v>
      </c>
      <c r="F2228" s="71" t="s">
        <v>198</v>
      </c>
      <c r="G2228" s="95"/>
      <c r="H2228" s="71" t="s">
        <v>197</v>
      </c>
      <c r="I2228" s="104"/>
      <c r="J2228" s="105"/>
      <c r="K2228" s="105"/>
      <c r="L2228" s="105"/>
      <c r="M2228" s="105"/>
      <c r="N2228" s="105"/>
      <c r="O2228" s="105"/>
      <c r="P2228" s="105"/>
      <c r="Q2228" s="105"/>
      <c r="R2228" s="105"/>
      <c r="S2228" s="105"/>
      <c r="T2228" s="105"/>
      <c r="U2228" s="105"/>
      <c r="V2228" s="105"/>
      <c r="W2228" s="105"/>
      <c r="X2228" s="105"/>
      <c r="Y2228" s="105"/>
      <c r="Z2228" s="105"/>
      <c r="AA2228" s="105"/>
      <c r="AB2228" s="105"/>
      <c r="AC2228" s="119"/>
      <c r="AD2228" s="119"/>
      <c r="AE2228" s="120"/>
      <c r="AF2228" s="119"/>
      <c r="AG2228" s="119"/>
      <c r="AH2228" s="120"/>
      <c r="AI2228" s="121"/>
      <c r="AJ2228" s="121"/>
      <c r="AK2228" s="121"/>
      <c r="AL2228" s="121"/>
      <c r="AM2228" s="122"/>
      <c r="AN2228" s="121"/>
      <c r="AP2228" s="87"/>
    </row>
    <row r="2229" spans="1:42">
      <c r="A2229" s="71"/>
      <c r="B2229" s="71"/>
      <c r="C2229" s="71"/>
      <c r="D2229" s="71"/>
      <c r="E2229" s="71"/>
      <c r="F2229" s="71"/>
      <c r="G2229" s="95">
        <v>1200</v>
      </c>
      <c r="H2229" s="71"/>
      <c r="I2229" s="104">
        <v>-0.63688971234454017</v>
      </c>
      <c r="J2229" s="105">
        <v>-4.0108383554391835</v>
      </c>
      <c r="K2229" s="105">
        <v>11.560085747036561</v>
      </c>
      <c r="L2229" s="105">
        <v>-0.76855738164613796</v>
      </c>
      <c r="M2229" s="105">
        <v>-6.9324788870589668E-2</v>
      </c>
      <c r="N2229" s="105">
        <v>-0.30871188469463273</v>
      </c>
      <c r="O2229" s="105">
        <v>-1.7878268431555357E-2</v>
      </c>
      <c r="P2229" s="105">
        <v>-1.1304524715921105E-3</v>
      </c>
      <c r="Q2229" s="105">
        <v>-1.5346309403557921E-4</v>
      </c>
      <c r="R2229" s="105">
        <v>2.2780374502355803E-3</v>
      </c>
      <c r="S2229" s="105">
        <v>0.13182388841325915</v>
      </c>
      <c r="T2229" s="105">
        <v>0.76972435408952555</v>
      </c>
      <c r="U2229" s="105">
        <v>2.0463629708751876</v>
      </c>
      <c r="V2229" s="105">
        <v>9.1976377118310693E-2</v>
      </c>
      <c r="W2229" s="105">
        <v>4.4117227141917438E-2</v>
      </c>
      <c r="X2229" s="105">
        <v>-2.2674080992241077E-2</v>
      </c>
      <c r="Y2229" s="105">
        <v>2.0389751733429053E-3</v>
      </c>
      <c r="Z2229" s="105">
        <v>1.7011788653000038E-4</v>
      </c>
      <c r="AA2229" s="105">
        <v>-2.1625636352473135E-4</v>
      </c>
      <c r="AB2229" s="105">
        <v>1.2313140462604866E-4</v>
      </c>
      <c r="AC2229" s="119">
        <v>6.4040760930600112E-4</v>
      </c>
      <c r="AD2229" s="119">
        <v>0.20428852613396159</v>
      </c>
      <c r="AE2229" s="120">
        <v>3.1510168748890006E-3</v>
      </c>
      <c r="AF2229" s="119">
        <v>5.9051118391840593E-6</v>
      </c>
      <c r="AG2229" s="119">
        <v>4.7180444916124463E-3</v>
      </c>
      <c r="AH2229" s="120">
        <v>8.3273178820864567E-4</v>
      </c>
      <c r="AI2229" s="121">
        <v>-25</v>
      </c>
      <c r="AJ2229" s="121">
        <v>-10</v>
      </c>
      <c r="AK2229" s="121">
        <v>35</v>
      </c>
      <c r="AL2229" s="121">
        <v>55</v>
      </c>
      <c r="AM2229" s="122">
        <v>43313</v>
      </c>
      <c r="AN2229" s="121" t="s">
        <v>694</v>
      </c>
      <c r="AP2229" s="87"/>
    </row>
    <row r="2230" spans="1:42">
      <c r="A2230" s="71"/>
      <c r="B2230" s="71"/>
      <c r="C2230" s="71"/>
      <c r="D2230" s="71"/>
      <c r="E2230" s="71"/>
      <c r="F2230" s="71"/>
      <c r="G2230" s="95">
        <v>2000</v>
      </c>
      <c r="H2230" s="71"/>
      <c r="I2230" s="104">
        <v>1.1901559834365516</v>
      </c>
      <c r="J2230" s="105">
        <v>10.93012522800784</v>
      </c>
      <c r="K2230" s="105">
        <v>25.253755840746177</v>
      </c>
      <c r="L2230" s="105">
        <v>-0.1077634361216902</v>
      </c>
      <c r="M2230" s="105">
        <v>-8.8817826369997993E-2</v>
      </c>
      <c r="N2230" s="105">
        <v>-0.64699409740607849</v>
      </c>
      <c r="O2230" s="105">
        <v>-5.2660455228070628E-3</v>
      </c>
      <c r="P2230" s="105">
        <v>-8.0896131540877285E-4</v>
      </c>
      <c r="Q2230" s="105">
        <v>-2.0312537364571229E-4</v>
      </c>
      <c r="R2230" s="105">
        <v>4.7898470915372707E-3</v>
      </c>
      <c r="S2230" s="105">
        <v>0.20525911043879613</v>
      </c>
      <c r="T2230" s="105">
        <v>-3.0156321646698605</v>
      </c>
      <c r="U2230" s="105">
        <v>2.3357991742622932</v>
      </c>
      <c r="V2230" s="105">
        <v>-0.17702454486062441</v>
      </c>
      <c r="W2230" s="105">
        <v>4.1200112164295186E-2</v>
      </c>
      <c r="X2230" s="105">
        <v>-2.4927200991147477E-2</v>
      </c>
      <c r="Y2230" s="105">
        <v>-3.1069552961014951E-3</v>
      </c>
      <c r="Z2230" s="105">
        <v>4.3801008026355114E-4</v>
      </c>
      <c r="AA2230" s="105">
        <v>4.0577423893580794E-6</v>
      </c>
      <c r="AB2230" s="105">
        <v>1.6122252104728074E-4</v>
      </c>
      <c r="AC2230" s="119">
        <v>3.0392490899661443E-3</v>
      </c>
      <c r="AD2230" s="119">
        <v>0.23835935901001476</v>
      </c>
      <c r="AE2230" s="120">
        <v>1.8963266439611191E-3</v>
      </c>
      <c r="AF2230" s="119">
        <v>1.9907774979480096E-5</v>
      </c>
      <c r="AG2230" s="119">
        <v>9.0181610671645994E-4</v>
      </c>
      <c r="AH2230" s="120">
        <v>2.0233806249023921E-4</v>
      </c>
      <c r="AI2230" s="121">
        <v>-25</v>
      </c>
      <c r="AJ2230" s="121">
        <v>-10</v>
      </c>
      <c r="AK2230" s="121">
        <v>35</v>
      </c>
      <c r="AL2230" s="121">
        <v>55</v>
      </c>
      <c r="AM2230" s="122">
        <v>43313</v>
      </c>
      <c r="AN2230" s="121" t="s">
        <v>694</v>
      </c>
      <c r="AP2230" s="87"/>
    </row>
    <row r="2231" spans="1:42">
      <c r="A2231" s="71"/>
      <c r="B2231" s="71"/>
      <c r="C2231" s="71"/>
      <c r="D2231" s="71"/>
      <c r="E2231" s="71"/>
      <c r="F2231" s="71"/>
      <c r="G2231" s="95">
        <v>3000</v>
      </c>
      <c r="H2231" s="71"/>
      <c r="I2231" s="104">
        <v>1.6498451168958117</v>
      </c>
      <c r="J2231" s="105">
        <v>-8.7625217577454517</v>
      </c>
      <c r="K2231" s="105">
        <v>27.328665022582275</v>
      </c>
      <c r="L2231" s="105">
        <v>-1.6808818925837485</v>
      </c>
      <c r="M2231" s="105">
        <v>-0.11844214141389676</v>
      </c>
      <c r="N2231" s="105">
        <v>-0.70419345680100043</v>
      </c>
      <c r="O2231" s="105">
        <v>-3.8550239335976962E-2</v>
      </c>
      <c r="P2231" s="105">
        <v>-2.2203202967729162E-3</v>
      </c>
      <c r="Q2231" s="105">
        <v>-5.912200445281295E-4</v>
      </c>
      <c r="R2231" s="105">
        <v>5.0840695006354108E-3</v>
      </c>
      <c r="S2231" s="105">
        <v>6.315632392067444E-2</v>
      </c>
      <c r="T2231" s="105">
        <v>-0.29046563061994923</v>
      </c>
      <c r="U2231" s="105">
        <v>5.6393798700033289</v>
      </c>
      <c r="V2231" s="105">
        <v>2.6695123543675304E-2</v>
      </c>
      <c r="W2231" s="105">
        <v>8.6006544438543428E-2</v>
      </c>
      <c r="X2231" s="105">
        <v>-8.431387709665894E-2</v>
      </c>
      <c r="Y2231" s="105">
        <v>1.2173241211380851E-3</v>
      </c>
      <c r="Z2231" s="105">
        <v>6.0533257068158704E-4</v>
      </c>
      <c r="AA2231" s="105">
        <v>-3.2875943532032208E-4</v>
      </c>
      <c r="AB2231" s="105">
        <v>5.5505833607987604E-4</v>
      </c>
      <c r="AC2231" s="119">
        <v>4.0664850357768493E-3</v>
      </c>
      <c r="AD2231" s="119">
        <v>0.55649458035394395</v>
      </c>
      <c r="AE2231" s="120">
        <v>1.982018097377631E-3</v>
      </c>
      <c r="AF2231" s="119">
        <v>2.0514415425723523E-4</v>
      </c>
      <c r="AG2231" s="119">
        <v>0.41575054097594666</v>
      </c>
      <c r="AH2231" s="120">
        <v>3.0353985320550701E-3</v>
      </c>
      <c r="AI2231" s="121">
        <v>-25</v>
      </c>
      <c r="AJ2231" s="121">
        <v>-10</v>
      </c>
      <c r="AK2231" s="121">
        <v>35</v>
      </c>
      <c r="AL2231" s="121">
        <v>55</v>
      </c>
      <c r="AM2231" s="122">
        <v>43313</v>
      </c>
      <c r="AN2231" s="121" t="s">
        <v>694</v>
      </c>
      <c r="AP2231" s="87"/>
    </row>
    <row r="2232" spans="1:42">
      <c r="A2232" s="71"/>
      <c r="B2232" s="71"/>
      <c r="C2232" s="71"/>
      <c r="D2232" s="71"/>
      <c r="E2232" s="71"/>
      <c r="F2232" s="71"/>
      <c r="G2232" s="95">
        <v>4500</v>
      </c>
      <c r="H2232" s="71"/>
      <c r="I2232" s="104">
        <v>2.5709907177715512</v>
      </c>
      <c r="J2232" s="105">
        <v>-13.365728738481884</v>
      </c>
      <c r="K2232" s="105">
        <v>37.768047675303798</v>
      </c>
      <c r="L2232" s="105">
        <v>-2.5736328688223575</v>
      </c>
      <c r="M2232" s="105">
        <v>-0.27076814846232211</v>
      </c>
      <c r="N2232" s="105">
        <v>-1.0013515311554659</v>
      </c>
      <c r="O2232" s="105">
        <v>-5.6462070178031391E-2</v>
      </c>
      <c r="P2232" s="105">
        <v>1.3707322704451172E-4</v>
      </c>
      <c r="Q2232" s="105">
        <v>1.5752599243903974E-3</v>
      </c>
      <c r="R2232" s="105">
        <v>7.5398796134024601E-3</v>
      </c>
      <c r="S2232" s="105">
        <v>4.4687756524390165</v>
      </c>
      <c r="T2232" s="105">
        <v>-0.22217638176603216</v>
      </c>
      <c r="U2232" s="105">
        <v>9.6420975412670611</v>
      </c>
      <c r="V2232" s="105">
        <v>-0.24822384516062179</v>
      </c>
      <c r="W2232" s="105">
        <v>-3.0786335238004288E-2</v>
      </c>
      <c r="X2232" s="105">
        <v>-0.18278489529933248</v>
      </c>
      <c r="Y2232" s="105">
        <v>-4.5356278612257465E-3</v>
      </c>
      <c r="Z2232" s="105">
        <v>1.1500957386093146E-3</v>
      </c>
      <c r="AA2232" s="105">
        <v>1.1904516163167205E-3</v>
      </c>
      <c r="AB2232" s="105">
        <v>1.3793660587443565E-3</v>
      </c>
      <c r="AC2232" s="119">
        <v>2.2417636807139828E-2</v>
      </c>
      <c r="AD2232" s="119">
        <v>7.0963840403893546</v>
      </c>
      <c r="AE2232" s="120">
        <v>5.0999753837975611E-3</v>
      </c>
      <c r="AF2232" s="119">
        <v>1.5092113553176546E-4</v>
      </c>
      <c r="AG2232" s="119">
        <v>1.0796448299380383</v>
      </c>
      <c r="AH2232" s="120">
        <v>3.0276901449183039E-3</v>
      </c>
      <c r="AI2232" s="121">
        <v>-25</v>
      </c>
      <c r="AJ2232" s="121">
        <v>-10</v>
      </c>
      <c r="AK2232" s="121">
        <v>35</v>
      </c>
      <c r="AL2232" s="121">
        <v>55</v>
      </c>
      <c r="AM2232" s="122">
        <v>43314</v>
      </c>
      <c r="AN2232" s="121" t="s">
        <v>694</v>
      </c>
      <c r="AP2232" s="87"/>
    </row>
    <row r="2233" spans="1:42">
      <c r="A2233" s="71" t="s">
        <v>115</v>
      </c>
      <c r="B2233" s="71" t="s">
        <v>44</v>
      </c>
      <c r="C2233" s="71" t="s">
        <v>45</v>
      </c>
      <c r="D2233" s="71" t="s">
        <v>46</v>
      </c>
      <c r="E2233" s="71" t="s">
        <v>47</v>
      </c>
      <c r="F2233" s="71" t="s">
        <v>200</v>
      </c>
      <c r="G2233" s="95"/>
      <c r="H2233" s="71" t="str">
        <f>CONCATENATE(A2233," ",B2233," ",C2233," ",D2233," ",E2233," ",F2233)</f>
        <v>Jiaxipera Isobutane 50 Hz 230V VSD VNX1111Y</v>
      </c>
      <c r="I2233" s="111"/>
      <c r="J2233" s="111"/>
      <c r="K2233" s="111"/>
      <c r="L2233" s="111"/>
      <c r="M2233" s="111"/>
      <c r="N2233" s="111"/>
      <c r="O2233" s="111"/>
      <c r="P2233" s="111"/>
      <c r="Q2233" s="111"/>
      <c r="R2233" s="111"/>
      <c r="S2233" s="111"/>
      <c r="T2233" s="111"/>
      <c r="U2233" s="111"/>
      <c r="V2233" s="111"/>
      <c r="W2233" s="111"/>
      <c r="X2233" s="111"/>
      <c r="Y2233" s="111"/>
      <c r="Z2233" s="111"/>
      <c r="AA2233" s="111"/>
      <c r="AB2233" s="111"/>
      <c r="AC2233" s="119"/>
      <c r="AD2233" s="119"/>
      <c r="AE2233" s="120"/>
      <c r="AF2233" s="119"/>
      <c r="AG2233" s="119"/>
      <c r="AH2233" s="120"/>
      <c r="AI2233" s="121"/>
      <c r="AJ2233" s="121"/>
      <c r="AK2233" s="121"/>
      <c r="AL2233" s="121"/>
      <c r="AM2233" s="122"/>
      <c r="AN2233" s="121"/>
      <c r="AP2233" s="87"/>
    </row>
    <row r="2234" spans="1:42">
      <c r="A2234" s="71"/>
      <c r="B2234" s="72"/>
      <c r="C2234" s="71"/>
      <c r="D2234" s="72"/>
      <c r="E2234" s="71"/>
      <c r="F2234" s="72"/>
      <c r="G2234" s="77">
        <v>1200</v>
      </c>
      <c r="H2234" s="72"/>
      <c r="I2234" s="4">
        <v>0.80412832247512767</v>
      </c>
      <c r="J2234" s="4">
        <v>3.3689618400688981</v>
      </c>
      <c r="K2234" s="4">
        <v>10.261945066807172</v>
      </c>
      <c r="L2234" s="4">
        <v>-5.3467892980752565E-2</v>
      </c>
      <c r="M2234" s="4">
        <v>-1.0954232144494071E-2</v>
      </c>
      <c r="N2234" s="4">
        <v>-0.24328570172037689</v>
      </c>
      <c r="O2234" s="4">
        <v>-1.9882140179872205E-3</v>
      </c>
      <c r="P2234" s="4">
        <v>-7.8344795247336954E-4</v>
      </c>
      <c r="Q2234" s="4">
        <v>-5.3021843881930679E-4</v>
      </c>
      <c r="R2234" s="4">
        <v>1.6228248833240282E-3</v>
      </c>
      <c r="S2234" s="4">
        <v>9.6097023939996973E-2</v>
      </c>
      <c r="T2234" s="4">
        <v>-0.55815338051199481</v>
      </c>
      <c r="U2234" s="4">
        <v>1.4308627302903465</v>
      </c>
      <c r="V2234" s="4">
        <v>2.4431846770766974E-3</v>
      </c>
      <c r="W2234" s="4">
        <v>4.049537390700729E-2</v>
      </c>
      <c r="X2234" s="4">
        <v>-1.2123801135179722E-2</v>
      </c>
      <c r="Y2234" s="4">
        <v>1.4847740636828621E-4</v>
      </c>
      <c r="Z2234" s="4">
        <v>1.7119557204913938E-4</v>
      </c>
      <c r="AA2234" s="4">
        <v>-1.9101416234346835E-4</v>
      </c>
      <c r="AB2234" s="4">
        <v>4.4675902844041487E-5</v>
      </c>
      <c r="AC2234" s="119">
        <v>2.7733967046842371E-4</v>
      </c>
      <c r="AD2234" s="119">
        <v>1.4911057168098797E-2</v>
      </c>
      <c r="AE2234" s="120">
        <v>1.1157101631727073E-3</v>
      </c>
      <c r="AF2234" s="119">
        <v>9.786943243586764E-5</v>
      </c>
      <c r="AG2234" s="119">
        <v>0.30310168379018332</v>
      </c>
      <c r="AH2234" s="120">
        <v>0.22922735502501243</v>
      </c>
      <c r="AI2234" s="121">
        <v>-35</v>
      </c>
      <c r="AJ2234" s="121">
        <v>-10</v>
      </c>
      <c r="AK2234" s="121">
        <v>35</v>
      </c>
      <c r="AL2234" s="121">
        <v>60</v>
      </c>
      <c r="AM2234" s="122">
        <v>43041</v>
      </c>
      <c r="AN2234" s="121" t="s">
        <v>504</v>
      </c>
      <c r="AP2234" s="87"/>
    </row>
    <row r="2235" spans="1:42">
      <c r="A2235" s="71"/>
      <c r="B2235" s="72"/>
      <c r="C2235" s="71"/>
      <c r="D2235" s="72"/>
      <c r="E2235" s="71"/>
      <c r="F2235" s="72"/>
      <c r="G2235" s="77">
        <v>1600</v>
      </c>
      <c r="H2235" s="72"/>
      <c r="I2235" s="4">
        <v>1.0995072045568588</v>
      </c>
      <c r="J2235" s="4">
        <v>4.6064759958103068</v>
      </c>
      <c r="K2235" s="4">
        <v>14.03144525365253</v>
      </c>
      <c r="L2235" s="4">
        <v>-7.3108149410607184E-2</v>
      </c>
      <c r="M2235" s="4">
        <v>-1.4978028787976312E-2</v>
      </c>
      <c r="N2235" s="4">
        <v>-0.33265136214064789</v>
      </c>
      <c r="O2235" s="4">
        <v>-2.7185407799704821E-3</v>
      </c>
      <c r="P2235" s="4">
        <v>-1.0712303547378576E-3</v>
      </c>
      <c r="Q2235" s="4">
        <v>-7.2498253969751182E-4</v>
      </c>
      <c r="R2235" s="4">
        <v>2.2189339699623663E-3</v>
      </c>
      <c r="S2235" s="4">
        <v>0.12986593911927571</v>
      </c>
      <c r="T2235" s="4">
        <v>-0.75429092349465887</v>
      </c>
      <c r="U2235" s="4">
        <v>1.9336741618133051</v>
      </c>
      <c r="V2235" s="4">
        <v>3.3017304753215197E-3</v>
      </c>
      <c r="W2235" s="4">
        <v>5.4725625693709493E-2</v>
      </c>
      <c r="X2235" s="4">
        <v>-1.6384157964127531E-2</v>
      </c>
      <c r="Y2235" s="4">
        <v>2.0065301739262607E-4</v>
      </c>
      <c r="Z2235" s="4">
        <v>2.3135444601390655E-4</v>
      </c>
      <c r="AA2235" s="4">
        <v>-2.5813737575583332E-4</v>
      </c>
      <c r="AB2235" s="4">
        <v>6.0375210812622706E-5</v>
      </c>
      <c r="AC2235" s="119">
        <v>2.7733967046842371E-4</v>
      </c>
      <c r="AD2235" s="119">
        <v>1.4911057168098797E-2</v>
      </c>
      <c r="AE2235" s="120">
        <v>1.1157101631727073E-3</v>
      </c>
      <c r="AF2235" s="119">
        <v>9.786943243586764E-5</v>
      </c>
      <c r="AG2235" s="119">
        <v>0.30310168379018332</v>
      </c>
      <c r="AH2235" s="120">
        <v>6.983662449563637E-3</v>
      </c>
      <c r="AI2235" s="121">
        <v>-35</v>
      </c>
      <c r="AJ2235" s="121">
        <v>-10</v>
      </c>
      <c r="AK2235" s="121">
        <v>35</v>
      </c>
      <c r="AL2235" s="121">
        <v>60</v>
      </c>
      <c r="AM2235" s="122">
        <v>43041</v>
      </c>
      <c r="AN2235" s="121" t="s">
        <v>504</v>
      </c>
      <c r="AP2235" s="87"/>
    </row>
    <row r="2236" spans="1:42">
      <c r="A2236" s="71" t="s">
        <v>115</v>
      </c>
      <c r="B2236" s="72" t="s">
        <v>44</v>
      </c>
      <c r="C2236" s="71" t="s">
        <v>45</v>
      </c>
      <c r="D2236" s="72" t="s">
        <v>46</v>
      </c>
      <c r="E2236" s="71" t="s">
        <v>47</v>
      </c>
      <c r="F2236" s="72" t="s">
        <v>202</v>
      </c>
      <c r="G2236" s="77"/>
      <c r="H2236" s="72" t="str">
        <f>CONCATENATE(A2236," ",B2236," ",C2236," ",D2236," ",E2236," ",F2236)</f>
        <v>Jiaxipera Isobutane 50 Hz 230V VSD VNX1111Y (1)</v>
      </c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  <c r="AA2236" s="4"/>
      <c r="AB2236" s="4"/>
      <c r="AC2236" s="119"/>
      <c r="AD2236" s="119"/>
      <c r="AE2236" s="120"/>
      <c r="AF2236" s="119"/>
      <c r="AG2236" s="119"/>
      <c r="AH2236" s="120"/>
      <c r="AI2236" s="121"/>
      <c r="AJ2236" s="121"/>
      <c r="AK2236" s="121"/>
      <c r="AL2236" s="121"/>
      <c r="AM2236" s="122"/>
      <c r="AN2236" s="121"/>
    </row>
    <row r="2237" spans="1:42">
      <c r="A2237" s="71"/>
      <c r="B2237" s="72"/>
      <c r="C2237" s="71"/>
      <c r="D2237" s="72"/>
      <c r="E2237" s="71"/>
      <c r="F2237" s="72"/>
      <c r="G2237" s="77">
        <v>1200</v>
      </c>
      <c r="I2237" s="4">
        <v>0.49395973634572371</v>
      </c>
      <c r="J2237" s="4">
        <v>4.5219740392350678</v>
      </c>
      <c r="K2237" s="4">
        <v>11.01192831039652</v>
      </c>
      <c r="L2237" s="4">
        <v>-5.3176852900405427E-2</v>
      </c>
      <c r="M2237" s="4">
        <v>-5.9124592708388463E-2</v>
      </c>
      <c r="N2237" s="4">
        <v>-0.26821569125574041</v>
      </c>
      <c r="O2237" s="4">
        <v>-1.7258444662713681E-3</v>
      </c>
      <c r="P2237" s="4">
        <v>-5.593345831980558E-4</v>
      </c>
      <c r="Q2237" s="4">
        <v>4.405534579771535E-5</v>
      </c>
      <c r="R2237" s="4">
        <v>1.8557066918873026E-3</v>
      </c>
      <c r="S2237" s="4">
        <v>6.3987713269806346E-3</v>
      </c>
      <c r="T2237" s="4">
        <v>0.92739926436725284</v>
      </c>
      <c r="U2237" s="4">
        <v>1.8120172212655508</v>
      </c>
      <c r="V2237" s="4">
        <v>4.3478774401481422E-2</v>
      </c>
      <c r="W2237" s="4">
        <v>1.1885349748645219E-2</v>
      </c>
      <c r="X2237" s="4">
        <v>-2.494778939325459E-2</v>
      </c>
      <c r="Y2237" s="4">
        <v>6.7288708170957958E-4</v>
      </c>
      <c r="Z2237" s="4">
        <v>9.4679025845063495E-5</v>
      </c>
      <c r="AA2237" s="4">
        <v>9.6920163622430885E-5</v>
      </c>
      <c r="AB2237" s="4">
        <v>1.8149978481594282E-4</v>
      </c>
      <c r="AC2237" s="119">
        <v>1.2802568699178379E-3</v>
      </c>
      <c r="AD2237" s="119">
        <v>5.6318439021036767E-2</v>
      </c>
      <c r="AE2237" s="120">
        <v>2.6608356790668803E-3</v>
      </c>
      <c r="AF2237" s="119">
        <v>1.0663166515912859E-5</v>
      </c>
      <c r="AG2237" s="119">
        <v>1.3326006343647434E-3</v>
      </c>
      <c r="AH2237" s="120">
        <v>5.8438519239745732E-4</v>
      </c>
      <c r="AI2237" s="121">
        <v>-35</v>
      </c>
      <c r="AJ2237" s="121">
        <v>-10</v>
      </c>
      <c r="AK2237" s="121">
        <v>40</v>
      </c>
      <c r="AL2237" s="121">
        <v>55</v>
      </c>
      <c r="AM2237" s="122">
        <v>41794</v>
      </c>
      <c r="AN2237" s="121" t="s">
        <v>481</v>
      </c>
    </row>
    <row r="2238" spans="1:42">
      <c r="A2238" s="71"/>
      <c r="B2238" s="72"/>
      <c r="C2238" s="71"/>
      <c r="D2238" s="72"/>
      <c r="E2238" s="71"/>
      <c r="F2238" s="72"/>
      <c r="G2238" s="77">
        <v>3000</v>
      </c>
      <c r="I2238" s="4">
        <v>0.49389783165783691</v>
      </c>
      <c r="J2238" s="4">
        <v>13.938804003829874</v>
      </c>
      <c r="K2238" s="4">
        <v>28.216537374639852</v>
      </c>
      <c r="L2238" s="4">
        <v>-4.3921236917477569E-2</v>
      </c>
      <c r="M2238" s="4">
        <v>-0.15917058279747656</v>
      </c>
      <c r="N2238" s="4">
        <v>-0.6857756988101783</v>
      </c>
      <c r="O2238" s="4">
        <v>-3.4067947458535576E-3</v>
      </c>
      <c r="P2238" s="4">
        <v>-1.5987745521763793E-3</v>
      </c>
      <c r="Q2238" s="4">
        <v>1.1673499456747647E-4</v>
      </c>
      <c r="R2238" s="4">
        <v>4.7484460510454751E-3</v>
      </c>
      <c r="S2238" s="4">
        <v>6.406944784164717E-3</v>
      </c>
      <c r="T2238" s="4">
        <v>2.3174947169668672</v>
      </c>
      <c r="U2238" s="4">
        <v>4.8366839482080923</v>
      </c>
      <c r="V2238" s="4">
        <v>0.10480519217531713</v>
      </c>
      <c r="W2238" s="4">
        <v>3.0904763896857205E-2</v>
      </c>
      <c r="X2238" s="4">
        <v>-6.9748078133451269E-2</v>
      </c>
      <c r="Y2238" s="4">
        <v>1.5661770306928404E-3</v>
      </c>
      <c r="Z2238" s="4">
        <v>7.1085308045377497E-5</v>
      </c>
      <c r="AA2238" s="4">
        <v>7.3719831538901582E-5</v>
      </c>
      <c r="AB2238" s="4">
        <v>4.5875737179071704E-4</v>
      </c>
      <c r="AC2238" s="119">
        <v>5.4442188210395313E-3</v>
      </c>
      <c r="AD2238" s="119">
        <v>0.24154584101231807</v>
      </c>
      <c r="AE2238" s="120">
        <v>2.3961243574792609E-3</v>
      </c>
      <c r="AF2238" s="119">
        <v>1.9622245392573174E-4</v>
      </c>
      <c r="AG2238" s="119">
        <v>6.6027326270359388E-3</v>
      </c>
      <c r="AH2238" s="120">
        <v>5.256373075662043E-4</v>
      </c>
      <c r="AI2238" s="121">
        <v>-35</v>
      </c>
      <c r="AJ2238" s="121">
        <v>-10</v>
      </c>
      <c r="AK2238" s="121">
        <v>40</v>
      </c>
      <c r="AL2238" s="121">
        <v>55</v>
      </c>
      <c r="AM2238" s="122">
        <v>41794</v>
      </c>
      <c r="AN2238" s="121" t="s">
        <v>481</v>
      </c>
    </row>
    <row r="2239" spans="1:42">
      <c r="A2239" s="71"/>
      <c r="B2239" s="72"/>
      <c r="C2239" s="71"/>
      <c r="D2239" s="72"/>
      <c r="E2239" s="71"/>
      <c r="F2239" s="72"/>
      <c r="G2239" s="77">
        <v>4500</v>
      </c>
      <c r="I2239" s="4">
        <v>0.53743637297410707</v>
      </c>
      <c r="J2239" s="4">
        <v>9.3262494071322521</v>
      </c>
      <c r="K2239" s="4">
        <v>34.296985194344039</v>
      </c>
      <c r="L2239" s="4">
        <v>-0.50696161979660703</v>
      </c>
      <c r="M2239" s="4">
        <v>-0.30003122014308248</v>
      </c>
      <c r="N2239" s="4">
        <v>-0.87867852017598624</v>
      </c>
      <c r="O2239" s="4">
        <v>-1.1107313893612615E-2</v>
      </c>
      <c r="P2239" s="4">
        <v>-4.2640588782007285E-3</v>
      </c>
      <c r="Q2239" s="4">
        <v>-3.1498945712374798E-4</v>
      </c>
      <c r="R2239" s="4">
        <v>6.0108206557231408E-3</v>
      </c>
      <c r="S2239" s="4">
        <v>6.4123489914119213E-3</v>
      </c>
      <c r="T2239" s="4">
        <v>-0.57548479852254442</v>
      </c>
      <c r="U2239" s="4">
        <v>5.8387929096788644</v>
      </c>
      <c r="V2239" s="4">
        <v>-8.3247491852766597E-3</v>
      </c>
      <c r="W2239" s="4">
        <v>3.5425971311184148E-2</v>
      </c>
      <c r="X2239" s="4">
        <v>-7.7360918437470783E-2</v>
      </c>
      <c r="Y2239" s="4">
        <v>2.1768908553395543E-4</v>
      </c>
      <c r="Z2239" s="4">
        <v>-3.2304542588076365E-4</v>
      </c>
      <c r="AA2239" s="4">
        <v>-4.5731177117711373E-5</v>
      </c>
      <c r="AB2239" s="4">
        <v>4.5346885347032328E-4</v>
      </c>
      <c r="AC2239" s="119">
        <v>2.1595438368539424E-3</v>
      </c>
      <c r="AD2239" s="119">
        <v>3.9522614449407349E-2</v>
      </c>
      <c r="AE2239" s="120">
        <v>9.3720385495440789E-4</v>
      </c>
      <c r="AF2239" s="119">
        <v>1.5787452657121571E-4</v>
      </c>
      <c r="AG2239" s="119">
        <v>9.2209066873636079E-3</v>
      </c>
      <c r="AH2239" s="120">
        <v>3.9426499450548449E-4</v>
      </c>
      <c r="AI2239" s="121">
        <v>-35</v>
      </c>
      <c r="AJ2239" s="121">
        <v>-10</v>
      </c>
      <c r="AK2239" s="121">
        <v>40</v>
      </c>
      <c r="AL2239" s="121">
        <v>55</v>
      </c>
      <c r="AM2239" s="122">
        <v>41794</v>
      </c>
      <c r="AN2239" s="121" t="s">
        <v>481</v>
      </c>
    </row>
    <row r="2240" spans="1:42">
      <c r="A2240" s="71" t="s">
        <v>115</v>
      </c>
      <c r="B2240" s="72" t="s">
        <v>44</v>
      </c>
      <c r="C2240" s="71" t="s">
        <v>45</v>
      </c>
      <c r="D2240" s="72" t="s">
        <v>46</v>
      </c>
      <c r="E2240" s="71" t="s">
        <v>47</v>
      </c>
      <c r="F2240" s="72" t="s">
        <v>204</v>
      </c>
      <c r="G2240" s="77"/>
      <c r="H2240" s="72" t="str">
        <f>CONCATENATE(A2240," ",B2240," ",C2240," ",D2240," ",E2240," ",F2240)</f>
        <v>Jiaxipera Isobutane 50 Hz 230V VSD VNX1113Y (Jx)</v>
      </c>
      <c r="I2240" s="91"/>
      <c r="J2240" s="92"/>
      <c r="K2240" s="92"/>
      <c r="L2240" s="92"/>
      <c r="M2240" s="92"/>
      <c r="N2240" s="92"/>
      <c r="O2240" s="92"/>
      <c r="P2240" s="92"/>
      <c r="Q2240" s="92"/>
      <c r="R2240" s="92"/>
      <c r="S2240" s="92"/>
      <c r="T2240" s="92"/>
      <c r="U2240" s="92"/>
      <c r="V2240" s="92"/>
      <c r="W2240" s="92"/>
      <c r="X2240" s="92"/>
      <c r="Y2240" s="92"/>
      <c r="Z2240" s="92"/>
      <c r="AA2240" s="92"/>
      <c r="AB2240" s="92"/>
      <c r="AC2240" s="119"/>
      <c r="AD2240" s="119"/>
      <c r="AE2240" s="120"/>
      <c r="AF2240" s="119"/>
      <c r="AG2240" s="119"/>
      <c r="AH2240" s="120"/>
      <c r="AI2240" s="121"/>
      <c r="AJ2240" s="121"/>
      <c r="AK2240" s="121"/>
      <c r="AL2240" s="121"/>
      <c r="AM2240" s="122"/>
      <c r="AN2240" s="121"/>
      <c r="AP2240" s="87"/>
    </row>
    <row r="2241" spans="1:42">
      <c r="A2241" s="71"/>
      <c r="B2241" s="72"/>
      <c r="C2241" s="71"/>
      <c r="D2241" s="72"/>
      <c r="E2241" s="71"/>
      <c r="F2241" s="72"/>
      <c r="G2241" s="77">
        <v>1200</v>
      </c>
      <c r="H2241" s="3"/>
      <c r="I2241" s="91">
        <v>0.65696984880535969</v>
      </c>
      <c r="J2241" s="92">
        <v>13.779225408031742</v>
      </c>
      <c r="K2241" s="92">
        <v>16.055037600844081</v>
      </c>
      <c r="L2241" s="92">
        <v>0.45597894626005203</v>
      </c>
      <c r="M2241" s="92">
        <v>-8.7674545282637305E-3</v>
      </c>
      <c r="N2241" s="92">
        <v>-0.36753715912495261</v>
      </c>
      <c r="O2241" s="92">
        <v>5.977630983113269E-3</v>
      </c>
      <c r="P2241" s="92">
        <v>-7.0053561514470868E-4</v>
      </c>
      <c r="Q2241" s="92">
        <v>-6.0955933100502924E-4</v>
      </c>
      <c r="R2241" s="92">
        <v>2.4209590835333008E-3</v>
      </c>
      <c r="S2241" s="92">
        <v>0.15491418578743452</v>
      </c>
      <c r="T2241" s="92">
        <v>7.5287002117558108</v>
      </c>
      <c r="U2241" s="92">
        <v>5.3622307858293059</v>
      </c>
      <c r="V2241" s="92">
        <v>0.2911755582682003</v>
      </c>
      <c r="W2241" s="92">
        <v>-4.6807226185318108E-2</v>
      </c>
      <c r="X2241" s="92">
        <v>-0.11578675978300351</v>
      </c>
      <c r="Y2241" s="92">
        <v>3.1544244418551543E-3</v>
      </c>
      <c r="Z2241" s="92">
        <v>-1.9730423584410428E-3</v>
      </c>
      <c r="AA2241" s="92">
        <v>-3.745109392465829E-4</v>
      </c>
      <c r="AB2241" s="92">
        <v>7.5248832705341641E-4</v>
      </c>
      <c r="AC2241" s="119">
        <v>1.1571353762964223E-5</v>
      </c>
      <c r="AD2241" s="119">
        <v>1.7723808521807942E-4</v>
      </c>
      <c r="AE2241" s="120">
        <v>1.0685521859460613E-4</v>
      </c>
      <c r="AF2241" s="119">
        <v>1.2935377254913644E-6</v>
      </c>
      <c r="AG2241" s="119">
        <v>2.8369634727482863E-5</v>
      </c>
      <c r="AH2241" s="120">
        <v>7.6105410640820993E-5</v>
      </c>
      <c r="AI2241" s="121">
        <v>-35</v>
      </c>
      <c r="AJ2241" s="121">
        <v>-10</v>
      </c>
      <c r="AK2241" s="121">
        <v>35</v>
      </c>
      <c r="AL2241" s="121">
        <v>60</v>
      </c>
      <c r="AM2241" s="122">
        <v>42104</v>
      </c>
      <c r="AN2241" s="121" t="s">
        <v>481</v>
      </c>
      <c r="AP2241" s="87"/>
    </row>
    <row r="2242" spans="1:42">
      <c r="A2242" s="71"/>
      <c r="B2242" s="72"/>
      <c r="C2242" s="71"/>
      <c r="D2242" s="72"/>
      <c r="E2242" s="71"/>
      <c r="F2242" s="72"/>
      <c r="G2242" s="77">
        <v>2400</v>
      </c>
      <c r="H2242" s="3"/>
      <c r="I2242" s="91">
        <v>1.2933770960140691</v>
      </c>
      <c r="J2242" s="92">
        <v>9.9141973543278556</v>
      </c>
      <c r="K2242" s="92">
        <v>25.160714082818895</v>
      </c>
      <c r="L2242" s="92">
        <v>-8.3685764776939096E-3</v>
      </c>
      <c r="M2242" s="92">
        <v>-5.9358880848324518E-2</v>
      </c>
      <c r="N2242" s="92">
        <v>-0.60720684562057448</v>
      </c>
      <c r="O2242" s="92">
        <v>-2.4187824485417675E-3</v>
      </c>
      <c r="P2242" s="92">
        <v>-2.0309406692852628E-3</v>
      </c>
      <c r="Q2242" s="92">
        <v>-8.395305136166155E-4</v>
      </c>
      <c r="R2242" s="92">
        <v>4.1485180835862624E-3</v>
      </c>
      <c r="S2242" s="92">
        <v>5.7876243128101974</v>
      </c>
      <c r="T2242" s="92">
        <v>9.5097744492338006</v>
      </c>
      <c r="U2242" s="92">
        <v>8.7734309786318878</v>
      </c>
      <c r="V2242" s="92">
        <v>0.37435094079002595</v>
      </c>
      <c r="W2242" s="92">
        <v>1.4123434736351982E-2</v>
      </c>
      <c r="X2242" s="92">
        <v>-0.16634322364991327</v>
      </c>
      <c r="Y2242" s="92">
        <v>4.1555568246641082E-3</v>
      </c>
      <c r="Z2242" s="92">
        <v>-1.5464201591142541E-3</v>
      </c>
      <c r="AA2242" s="92">
        <v>-7.4647492780855981E-4</v>
      </c>
      <c r="AB2242" s="92">
        <v>1.0015732248783845E-3</v>
      </c>
      <c r="AC2242" s="119">
        <v>5.9640693491744666E-5</v>
      </c>
      <c r="AD2242" s="119">
        <v>9.2094983955098213E-4</v>
      </c>
      <c r="AE2242" s="120">
        <v>2.5606587701380103E-4</v>
      </c>
      <c r="AF2242" s="119">
        <v>6.1429593875316039E-7</v>
      </c>
      <c r="AG2242" s="119">
        <v>7.3340942493134187E-6</v>
      </c>
      <c r="AH2242" s="120">
        <v>1.9207897301618723E-5</v>
      </c>
      <c r="AI2242" s="121">
        <v>-35</v>
      </c>
      <c r="AJ2242" s="121">
        <v>-10</v>
      </c>
      <c r="AK2242" s="121">
        <v>35</v>
      </c>
      <c r="AL2242" s="121">
        <v>60</v>
      </c>
      <c r="AM2242" s="122">
        <v>42104</v>
      </c>
      <c r="AN2242" s="121" t="s">
        <v>481</v>
      </c>
      <c r="AP2242" s="87"/>
    </row>
    <row r="2243" spans="1:42">
      <c r="A2243" s="71"/>
      <c r="B2243" s="72"/>
      <c r="C2243" s="71"/>
      <c r="D2243" s="72"/>
      <c r="E2243" s="71"/>
      <c r="F2243" s="72"/>
      <c r="G2243" s="77">
        <v>3600</v>
      </c>
      <c r="H2243" s="3"/>
      <c r="I2243" s="91">
        <v>1.8046526302517385</v>
      </c>
      <c r="J2243" s="92">
        <v>23.753119256573999</v>
      </c>
      <c r="K2243" s="92">
        <v>38.743466253227005</v>
      </c>
      <c r="L2243" s="92">
        <v>0.61126324468702642</v>
      </c>
      <c r="M2243" s="92">
        <v>0.10965560325103658</v>
      </c>
      <c r="N2243" s="92">
        <v>-0.85835286571950897</v>
      </c>
      <c r="O2243" s="92">
        <v>5.4198584125483736E-3</v>
      </c>
      <c r="P2243" s="92">
        <v>-3.0919608001626193E-3</v>
      </c>
      <c r="Q2243" s="92">
        <v>-3.7981880378376983E-3</v>
      </c>
      <c r="R2243" s="92">
        <v>5.2488298491415184E-3</v>
      </c>
      <c r="S2243" s="92">
        <v>0.48753273638392702</v>
      </c>
      <c r="T2243" s="92">
        <v>9.3843359447661676</v>
      </c>
      <c r="U2243" s="92">
        <v>11.45686895339948</v>
      </c>
      <c r="V2243" s="92">
        <v>0.41521812442125067</v>
      </c>
      <c r="W2243" s="92">
        <v>2.0205656499443534E-2</v>
      </c>
      <c r="X2243" s="92">
        <v>-0.22978443335437912</v>
      </c>
      <c r="Y2243" s="92">
        <v>5.1283249739325276E-3</v>
      </c>
      <c r="Z2243" s="92">
        <v>-1.7598451544672416E-3</v>
      </c>
      <c r="AA2243" s="92">
        <v>-6.9256509926714953E-4</v>
      </c>
      <c r="AB2243" s="92">
        <v>1.5441002411317852E-3</v>
      </c>
      <c r="AC2243" s="119">
        <v>1.3670288011286657E-5</v>
      </c>
      <c r="AD2243" s="119">
        <v>3.1528559183879954E-4</v>
      </c>
      <c r="AE2243" s="120">
        <v>8.6176317436545944E-5</v>
      </c>
      <c r="AF2243" s="119">
        <v>2.8505169502160031E-6</v>
      </c>
      <c r="AG2243" s="119">
        <v>4.0242032519301825E-5</v>
      </c>
      <c r="AH2243" s="120">
        <v>4.1415912012491653E-5</v>
      </c>
      <c r="AI2243" s="121">
        <v>-35</v>
      </c>
      <c r="AJ2243" s="121">
        <v>-10</v>
      </c>
      <c r="AK2243" s="121">
        <v>35</v>
      </c>
      <c r="AL2243" s="121">
        <v>60</v>
      </c>
      <c r="AM2243" s="122">
        <v>42104</v>
      </c>
      <c r="AN2243" s="121" t="s">
        <v>481</v>
      </c>
      <c r="AP2243" s="87"/>
    </row>
    <row r="2244" spans="1:42">
      <c r="A2244" s="71"/>
      <c r="B2244" s="72"/>
      <c r="C2244" s="71"/>
      <c r="D2244" s="72"/>
      <c r="E2244" s="71"/>
      <c r="F2244" s="72"/>
      <c r="G2244" s="77">
        <v>4500</v>
      </c>
      <c r="H2244" s="3"/>
      <c r="I2244" s="91">
        <v>2.600615678589258</v>
      </c>
      <c r="J2244" s="92">
        <v>23.487922180794733</v>
      </c>
      <c r="K2244" s="92">
        <v>52.12350587703898</v>
      </c>
      <c r="L2244" s="92">
        <v>-0.16375716757275718</v>
      </c>
      <c r="M2244" s="92">
        <v>-0.33458157058493154</v>
      </c>
      <c r="N2244" s="92">
        <v>-1.3321057961101268</v>
      </c>
      <c r="O2244" s="92">
        <v>-7.1067245196110712E-3</v>
      </c>
      <c r="P2244" s="92">
        <v>-3.4329940167897276E-3</v>
      </c>
      <c r="Q2244" s="92">
        <v>4.2603752617015176E-4</v>
      </c>
      <c r="R2244" s="92">
        <v>9.5951835847775894E-3</v>
      </c>
      <c r="S2244" s="92">
        <v>0.67788809136899819</v>
      </c>
      <c r="T2244" s="92">
        <v>0.35399780435664419</v>
      </c>
      <c r="U2244" s="92">
        <v>11.493256104544269</v>
      </c>
      <c r="V2244" s="92">
        <v>-0.11869377193683531</v>
      </c>
      <c r="W2244" s="92">
        <v>-8.9727578215587338E-3</v>
      </c>
      <c r="X2244" s="92">
        <v>-0.23818983840049046</v>
      </c>
      <c r="Y2244" s="92">
        <v>-2.0276515116600695E-3</v>
      </c>
      <c r="Z2244" s="92">
        <v>-3.2053240806248013E-4</v>
      </c>
      <c r="AA2244" s="92">
        <v>4.8174319462333381E-4</v>
      </c>
      <c r="AB2244" s="92">
        <v>1.8216536584667441E-3</v>
      </c>
      <c r="AC2244" s="119">
        <v>1.9052342542500695E-5</v>
      </c>
      <c r="AD2244" s="119">
        <v>2.5081291956438129E-4</v>
      </c>
      <c r="AE2244" s="120">
        <v>7.5131840474425756E-5</v>
      </c>
      <c r="AF2244" s="119">
        <v>2.831686613363483E-6</v>
      </c>
      <c r="AG2244" s="119">
        <v>7.0372039685325511E-5</v>
      </c>
      <c r="AH2244" s="120">
        <v>3.5466127366134968E-5</v>
      </c>
      <c r="AI2244" s="121">
        <v>-35</v>
      </c>
      <c r="AJ2244" s="121">
        <v>-10</v>
      </c>
      <c r="AK2244" s="121">
        <v>35</v>
      </c>
      <c r="AL2244" s="121">
        <v>60</v>
      </c>
      <c r="AM2244" s="122">
        <v>42104</v>
      </c>
      <c r="AN2244" s="121" t="s">
        <v>481</v>
      </c>
      <c r="AP2244" s="87"/>
    </row>
    <row r="2245" spans="1:42">
      <c r="A2245" s="71" t="s">
        <v>115</v>
      </c>
      <c r="B2245" s="72" t="s">
        <v>44</v>
      </c>
      <c r="C2245" s="71" t="s">
        <v>45</v>
      </c>
      <c r="D2245" s="72" t="s">
        <v>46</v>
      </c>
      <c r="E2245" s="71" t="s">
        <v>47</v>
      </c>
      <c r="F2245" s="72" t="s">
        <v>206</v>
      </c>
      <c r="G2245" s="77"/>
      <c r="H2245" s="72" t="str">
        <f>CONCATENATE(A2245," ",B2245," ",C2245," ",D2245," ",E2245," ",F2245)</f>
        <v>Jiaxipera Isobutane 50 Hz 230V VSD VNX1116Y</v>
      </c>
      <c r="I2245" s="91"/>
      <c r="J2245" s="92"/>
      <c r="K2245" s="92"/>
      <c r="L2245" s="92"/>
      <c r="M2245" s="92"/>
      <c r="N2245" s="92"/>
      <c r="O2245" s="92"/>
      <c r="P2245" s="92"/>
      <c r="Q2245" s="92"/>
      <c r="R2245" s="92"/>
      <c r="S2245" s="92"/>
      <c r="T2245" s="92"/>
      <c r="U2245" s="92"/>
      <c r="V2245" s="92"/>
      <c r="W2245" s="92"/>
      <c r="X2245" s="92"/>
      <c r="Y2245" s="92"/>
      <c r="Z2245" s="92"/>
      <c r="AA2245" s="92"/>
      <c r="AB2245" s="92"/>
      <c r="AC2245" s="119"/>
      <c r="AD2245" s="119"/>
      <c r="AE2245" s="120"/>
      <c r="AF2245" s="119"/>
      <c r="AG2245" s="119"/>
      <c r="AH2245" s="120"/>
      <c r="AI2245" s="121"/>
      <c r="AJ2245" s="121"/>
      <c r="AK2245" s="121"/>
      <c r="AL2245" s="121"/>
      <c r="AM2245" s="122"/>
      <c r="AN2245" s="121"/>
      <c r="AP2245" s="87"/>
    </row>
    <row r="2246" spans="1:42">
      <c r="A2246" s="71"/>
      <c r="B2246" s="72"/>
      <c r="C2246" s="71"/>
      <c r="D2246" s="72"/>
      <c r="E2246" s="71"/>
      <c r="F2246" s="72"/>
      <c r="G2246" s="77">
        <v>1600</v>
      </c>
      <c r="H2246" s="3"/>
      <c r="I2246" s="91">
        <v>115.15311644641413</v>
      </c>
      <c r="J2246" s="92">
        <v>31.031503584494608</v>
      </c>
      <c r="K2246" s="92">
        <v>21.239685269757533</v>
      </c>
      <c r="L2246" s="92">
        <v>1.3199018873392951</v>
      </c>
      <c r="M2246" s="92">
        <v>0.25075009146063459</v>
      </c>
      <c r="N2246" s="92">
        <v>-0.39041230335571858</v>
      </c>
      <c r="O2246" s="92">
        <v>1.3854267492750601E-2</v>
      </c>
      <c r="P2246" s="92">
        <v>-7.8481302913664848E-3</v>
      </c>
      <c r="Q2246" s="92">
        <v>-7.893248517768698E-3</v>
      </c>
      <c r="R2246" s="92">
        <v>1.0306182383364928E-3</v>
      </c>
      <c r="S2246" s="92">
        <v>0.23933689654078749</v>
      </c>
      <c r="T2246" s="92">
        <v>5.4253562673391897</v>
      </c>
      <c r="U2246" s="92">
        <v>5.8619864362826464</v>
      </c>
      <c r="V2246" s="92">
        <v>0.27347026857335771</v>
      </c>
      <c r="W2246" s="92">
        <v>6.5119987512009189E-2</v>
      </c>
      <c r="X2246" s="92">
        <v>-8.8376088112904413E-2</v>
      </c>
      <c r="Y2246" s="92">
        <v>2.8146898090371667E-3</v>
      </c>
      <c r="Z2246" s="92">
        <v>-1.9404550268387541E-3</v>
      </c>
      <c r="AA2246" s="92">
        <v>-1.6501058027388619E-3</v>
      </c>
      <c r="AB2246" s="92">
        <v>2.5984028974686496E-4</v>
      </c>
      <c r="AC2246" s="119">
        <v>5.9839865707377693E-5</v>
      </c>
      <c r="AD2246" s="119">
        <v>2.2293016121614443E-3</v>
      </c>
      <c r="AE2246" s="120">
        <v>3.8640651130774387E-4</v>
      </c>
      <c r="AF2246" s="119">
        <v>1.3531642314333577E-6</v>
      </c>
      <c r="AG2246" s="119">
        <v>3.2265536224835141E-5</v>
      </c>
      <c r="AH2246" s="120">
        <v>4.6495025956778869E-5</v>
      </c>
      <c r="AI2246" s="121">
        <v>-35</v>
      </c>
      <c r="AJ2246" s="121">
        <v>-10</v>
      </c>
      <c r="AK2246" s="121">
        <v>35</v>
      </c>
      <c r="AL2246" s="121">
        <v>60</v>
      </c>
      <c r="AM2246" s="122">
        <v>42404</v>
      </c>
      <c r="AN2246" s="121" t="s">
        <v>481</v>
      </c>
    </row>
    <row r="2247" spans="1:42">
      <c r="A2247" s="71"/>
      <c r="B2247" s="72"/>
      <c r="C2247" s="71"/>
      <c r="D2247" s="72"/>
      <c r="E2247" s="71"/>
      <c r="F2247" s="72"/>
      <c r="G2247" s="77">
        <v>2400</v>
      </c>
      <c r="H2247" s="3"/>
      <c r="I2247" s="91">
        <v>266.95495869343154</v>
      </c>
      <c r="J2247" s="92">
        <v>19.982059239249185</v>
      </c>
      <c r="K2247" s="92">
        <v>17.778370889376081</v>
      </c>
      <c r="L2247" s="92">
        <v>0.26757849318652688</v>
      </c>
      <c r="M2247" s="92">
        <v>-3.7291571136155902E-2</v>
      </c>
      <c r="N2247" s="92">
        <v>-0.44117962911642744</v>
      </c>
      <c r="O2247" s="92">
        <v>8.8805799663388635E-4</v>
      </c>
      <c r="P2247" s="92">
        <v>-1.2223439497515208E-3</v>
      </c>
      <c r="Q2247" s="92">
        <v>-1.0563611933934514E-3</v>
      </c>
      <c r="R2247" s="92">
        <v>2.82785663103943E-3</v>
      </c>
      <c r="S2247" s="92">
        <v>35.50024665342098</v>
      </c>
      <c r="T2247" s="92">
        <v>3.2194712776768979</v>
      </c>
      <c r="U2247" s="92">
        <v>5.1555242551729377</v>
      </c>
      <c r="V2247" s="92">
        <v>0.13435546811665949</v>
      </c>
      <c r="W2247" s="92">
        <v>4.9586509152883346E-2</v>
      </c>
      <c r="X2247" s="92">
        <v>-7.9286236316064324E-2</v>
      </c>
      <c r="Y2247" s="92">
        <v>2.0479943466864417E-3</v>
      </c>
      <c r="Z2247" s="92">
        <v>2.473014273347577E-4</v>
      </c>
      <c r="AA2247" s="92">
        <v>-5.4263223381737219E-5</v>
      </c>
      <c r="AB2247" s="92">
        <v>5.5059210911769614E-4</v>
      </c>
      <c r="AC2247" s="119">
        <v>1.2874565308015253E-3</v>
      </c>
      <c r="AD2247" s="119">
        <v>0.31033160233425294</v>
      </c>
      <c r="AE2247" s="120">
        <v>2.7843099632858686E-3</v>
      </c>
      <c r="AF2247" s="119">
        <v>1.4925208938649698E-4</v>
      </c>
      <c r="AG2247" s="119">
        <v>0.38658683905661084</v>
      </c>
      <c r="AH2247" s="120">
        <v>3.5367448365661858E-3</v>
      </c>
      <c r="AI2247" s="121">
        <v>-35</v>
      </c>
      <c r="AJ2247" s="121">
        <v>-10</v>
      </c>
      <c r="AK2247" s="121">
        <v>35</v>
      </c>
      <c r="AL2247" s="121">
        <v>60</v>
      </c>
      <c r="AM2247" s="122">
        <v>42405</v>
      </c>
      <c r="AN2247" s="121" t="s">
        <v>481</v>
      </c>
    </row>
    <row r="2248" spans="1:42">
      <c r="A2248" s="71"/>
      <c r="B2248" s="72"/>
      <c r="C2248" s="71"/>
      <c r="D2248" s="72"/>
      <c r="E2248" s="71"/>
      <c r="F2248" s="72"/>
      <c r="G2248" s="77">
        <v>3000</v>
      </c>
      <c r="H2248" s="3"/>
      <c r="I2248" s="91">
        <v>2.0456524426160811</v>
      </c>
      <c r="J2248" s="92">
        <v>18.452960983173377</v>
      </c>
      <c r="K2248" s="92">
        <v>41.005231940023755</v>
      </c>
      <c r="L2248" s="92">
        <v>-0.23340810180800048</v>
      </c>
      <c r="M2248" s="92">
        <v>-0.38033165629505172</v>
      </c>
      <c r="N2248" s="92">
        <v>-1.0568620690524015</v>
      </c>
      <c r="O2248" s="92">
        <v>-6.630459575518167E-3</v>
      </c>
      <c r="P2248" s="92">
        <v>-2.0575069438827703E-3</v>
      </c>
      <c r="Q2248" s="92">
        <v>2.1347270797829926E-3</v>
      </c>
      <c r="R2248" s="92">
        <v>7.8382882965861746E-3</v>
      </c>
      <c r="S2248" s="92">
        <v>60.578708071923863</v>
      </c>
      <c r="T2248" s="92">
        <v>7.933980722411385</v>
      </c>
      <c r="U2248" s="92">
        <v>8.1281575731479077</v>
      </c>
      <c r="V2248" s="92">
        <v>0.12756998816803591</v>
      </c>
      <c r="W2248" s="92">
        <v>-0.1388430568705577</v>
      </c>
      <c r="X2248" s="92">
        <v>-0.19073953045043301</v>
      </c>
      <c r="Y2248" s="92">
        <v>1.8397418268005707E-3</v>
      </c>
      <c r="Z2248" s="92">
        <v>2.0204434072517869E-4</v>
      </c>
      <c r="AA2248" s="92">
        <v>2.0692257374834381E-3</v>
      </c>
      <c r="AB2248" s="92">
        <v>1.7081908086777895E-3</v>
      </c>
      <c r="AC2248" s="119">
        <v>1.4343740626180366E-4</v>
      </c>
      <c r="AD2248" s="119">
        <v>6.4841768443879644E-3</v>
      </c>
      <c r="AE2248" s="120">
        <v>3.7418695075907806E-4</v>
      </c>
      <c r="AF2248" s="119">
        <v>2.0563808352412681E-4</v>
      </c>
      <c r="AG2248" s="119">
        <v>0.28792765042356833</v>
      </c>
      <c r="AH2248" s="120">
        <v>2.4164545845590094E-3</v>
      </c>
      <c r="AI2248" s="121">
        <v>-35</v>
      </c>
      <c r="AJ2248" s="121">
        <v>-10</v>
      </c>
      <c r="AK2248" s="121">
        <v>35</v>
      </c>
      <c r="AL2248" s="121">
        <v>60</v>
      </c>
      <c r="AM2248" s="122">
        <v>42405</v>
      </c>
      <c r="AN2248" s="121" t="s">
        <v>481</v>
      </c>
    </row>
    <row r="2249" spans="1:42">
      <c r="A2249" s="71"/>
      <c r="B2249" s="72"/>
      <c r="C2249" s="71"/>
      <c r="D2249" s="72"/>
      <c r="E2249" s="71"/>
      <c r="F2249" s="72"/>
      <c r="G2249" s="77">
        <v>4500</v>
      </c>
      <c r="H2249" s="3"/>
      <c r="I2249" s="91">
        <v>28.643885376813611</v>
      </c>
      <c r="J2249" s="92">
        <v>14.293192692874353</v>
      </c>
      <c r="K2249" s="92">
        <v>40.825908779979947</v>
      </c>
      <c r="L2249" s="92">
        <v>-0.15834254829354766</v>
      </c>
      <c r="M2249" s="92">
        <v>-0.14850641701261599</v>
      </c>
      <c r="N2249" s="92">
        <v>-0.96399903244560747</v>
      </c>
      <c r="O2249" s="92">
        <v>-6.5352806249046871E-3</v>
      </c>
      <c r="P2249" s="92">
        <v>-6.3114449278373567E-3</v>
      </c>
      <c r="Q2249" s="92">
        <v>-3.1662573579184657E-3</v>
      </c>
      <c r="R2249" s="92">
        <v>5.9125382561854255E-3</v>
      </c>
      <c r="S2249" s="92">
        <v>0.88255365239973016</v>
      </c>
      <c r="T2249" s="92">
        <v>10.127033327550375</v>
      </c>
      <c r="U2249" s="92">
        <v>20.802758887944059</v>
      </c>
      <c r="V2249" s="92">
        <v>-9.596992009043441E-2</v>
      </c>
      <c r="W2249" s="92">
        <v>-0.31441036943553607</v>
      </c>
      <c r="X2249" s="92">
        <v>-0.5291450496646144</v>
      </c>
      <c r="Y2249" s="92">
        <v>-2.7204703589239006E-3</v>
      </c>
      <c r="Z2249" s="92">
        <v>-9.0839408341320351E-4</v>
      </c>
      <c r="AA2249" s="92">
        <v>3.3676485095442692E-3</v>
      </c>
      <c r="AB2249" s="92">
        <v>4.4493817191570886E-3</v>
      </c>
      <c r="AC2249" s="119">
        <v>9.8863529407452547E-5</v>
      </c>
      <c r="AD2249" s="119">
        <v>6.6782335649343055E-3</v>
      </c>
      <c r="AE2249" s="120">
        <v>2.1912622386243224E-4</v>
      </c>
      <c r="AF2249" s="119">
        <v>2.2777850627051966E-5</v>
      </c>
      <c r="AG2249" s="119">
        <v>3.3053935551373187E-4</v>
      </c>
      <c r="AH2249" s="120">
        <v>6.8690258928695116E-5</v>
      </c>
      <c r="AI2249" s="121">
        <v>-35</v>
      </c>
      <c r="AJ2249" s="121">
        <v>-10</v>
      </c>
      <c r="AK2249" s="121">
        <v>35</v>
      </c>
      <c r="AL2249" s="121">
        <v>60</v>
      </c>
      <c r="AM2249" s="122">
        <v>42405</v>
      </c>
      <c r="AN2249" s="121" t="s">
        <v>481</v>
      </c>
    </row>
    <row r="2250" spans="1:42">
      <c r="A2250" s="71" t="s">
        <v>115</v>
      </c>
      <c r="B2250" s="72" t="s">
        <v>44</v>
      </c>
      <c r="C2250" s="71" t="s">
        <v>45</v>
      </c>
      <c r="D2250" s="72" t="s">
        <v>46</v>
      </c>
      <c r="E2250" s="71" t="s">
        <v>47</v>
      </c>
      <c r="F2250" s="71" t="s">
        <v>208</v>
      </c>
      <c r="G2250" s="77"/>
      <c r="H2250" s="72" t="str">
        <f>CONCATENATE(A2250," ",B2250," ",C2250," ",D2250," ",E2250," ",F2250)</f>
        <v>Jiaxipera Isobutane 50 Hz 230V VSD VTH1111Y (1)</v>
      </c>
      <c r="I2250" s="91"/>
      <c r="J2250" s="92"/>
      <c r="K2250" s="92"/>
      <c r="L2250" s="92"/>
      <c r="M2250" s="92"/>
      <c r="N2250" s="92"/>
      <c r="O2250" s="92"/>
      <c r="P2250" s="92"/>
      <c r="Q2250" s="92"/>
      <c r="R2250" s="92"/>
      <c r="S2250" s="92"/>
      <c r="T2250" s="92"/>
      <c r="U2250" s="92"/>
      <c r="V2250" s="92"/>
      <c r="W2250" s="92"/>
      <c r="X2250" s="92"/>
      <c r="Y2250" s="92"/>
      <c r="Z2250" s="92"/>
      <c r="AA2250" s="92"/>
      <c r="AB2250" s="92"/>
      <c r="AC2250" s="119"/>
      <c r="AD2250" s="119"/>
      <c r="AE2250" s="120"/>
      <c r="AF2250" s="119"/>
      <c r="AG2250" s="119"/>
      <c r="AH2250" s="120"/>
      <c r="AI2250" s="121"/>
      <c r="AJ2250" s="121"/>
      <c r="AK2250" s="121"/>
      <c r="AL2250" s="121"/>
      <c r="AM2250" s="122"/>
      <c r="AN2250" s="121"/>
    </row>
    <row r="2251" spans="1:42">
      <c r="A2251" s="71"/>
      <c r="B2251" s="72"/>
      <c r="C2251" s="71"/>
      <c r="D2251" s="72"/>
      <c r="E2251" s="71"/>
      <c r="F2251" s="72"/>
      <c r="G2251" s="77">
        <v>1200</v>
      </c>
      <c r="H2251" s="72"/>
      <c r="I2251" s="91">
        <v>-567.43435526680526</v>
      </c>
      <c r="J2251" s="92">
        <v>7.5531356877707774</v>
      </c>
      <c r="K2251" s="92">
        <v>51.138028879358075</v>
      </c>
      <c r="L2251" s="92">
        <v>3.9530326674860249E-2</v>
      </c>
      <c r="M2251" s="92">
        <v>-0.11755640683567041</v>
      </c>
      <c r="N2251" s="92">
        <v>-1.1660920061348117</v>
      </c>
      <c r="O2251" s="92">
        <v>-7.0136388004936887E-4</v>
      </c>
      <c r="P2251" s="92">
        <v>-1.0834304528273028E-3</v>
      </c>
      <c r="Q2251" s="92">
        <v>4.6243612139484084E-4</v>
      </c>
      <c r="R2251" s="92">
        <v>8.339367436812628E-3</v>
      </c>
      <c r="S2251" s="92">
        <v>-58.035727897975057</v>
      </c>
      <c r="T2251" s="92">
        <v>-0.34295124005027666</v>
      </c>
      <c r="U2251" s="92">
        <v>5.665102387710097</v>
      </c>
      <c r="V2251" s="92">
        <v>-1.1122102860690783E-2</v>
      </c>
      <c r="W2251" s="92">
        <v>2.0630372372976196E-2</v>
      </c>
      <c r="X2251" s="92">
        <v>-0.10816238820664363</v>
      </c>
      <c r="Y2251" s="92">
        <v>-1.5091897518682052E-5</v>
      </c>
      <c r="Z2251" s="92">
        <v>2.5374027347125526E-4</v>
      </c>
      <c r="AA2251" s="92">
        <v>8.8281613845898175E-5</v>
      </c>
      <c r="AB2251" s="92">
        <v>7.736482291098789E-4</v>
      </c>
      <c r="AC2251" s="119">
        <v>5.0403313338117082E-5</v>
      </c>
      <c r="AD2251" s="119">
        <v>5.1720728937436995E-4</v>
      </c>
      <c r="AE2251" s="120">
        <v>2.6745910785738215E-4</v>
      </c>
      <c r="AF2251" s="119">
        <v>4.7986164650513031E-6</v>
      </c>
      <c r="AG2251" s="119">
        <v>7.3864340643697355E-5</v>
      </c>
      <c r="AH2251" s="120">
        <v>1.2652288539660717E-4</v>
      </c>
      <c r="AI2251" s="121">
        <v>-35</v>
      </c>
      <c r="AJ2251" s="121">
        <v>-10</v>
      </c>
      <c r="AK2251" s="121">
        <v>35</v>
      </c>
      <c r="AL2251" s="121">
        <v>60</v>
      </c>
      <c r="AM2251" s="122">
        <v>43118</v>
      </c>
      <c r="AN2251" s="121" t="s">
        <v>689</v>
      </c>
    </row>
    <row r="2252" spans="1:42">
      <c r="A2252" s="71"/>
      <c r="B2252" s="72"/>
      <c r="C2252" s="71"/>
      <c r="D2252" s="72"/>
      <c r="E2252" s="71"/>
      <c r="F2252" s="72"/>
      <c r="G2252" s="77">
        <v>2400</v>
      </c>
      <c r="H2252" s="72"/>
      <c r="I2252" s="91">
        <v>-80.022860834069846</v>
      </c>
      <c r="J2252" s="92">
        <v>8.720459810833205</v>
      </c>
      <c r="K2252" s="92">
        <v>28.126490862063296</v>
      </c>
      <c r="L2252" s="92">
        <v>2.2261886604974336E-2</v>
      </c>
      <c r="M2252" s="92">
        <v>4.6046602786253686E-2</v>
      </c>
      <c r="N2252" s="92">
        <v>-0.64675200146550926</v>
      </c>
      <c r="O2252" s="92">
        <v>-1.8594357590910814E-3</v>
      </c>
      <c r="P2252" s="92">
        <v>-8.4798798887739525E-4</v>
      </c>
      <c r="Q2252" s="92">
        <v>-1.5029803994184403E-3</v>
      </c>
      <c r="R2252" s="92">
        <v>4.3532451487612251E-3</v>
      </c>
      <c r="S2252" s="92">
        <v>180.84132139242257</v>
      </c>
      <c r="T2252" s="92">
        <v>-1.6486347499524647</v>
      </c>
      <c r="U2252" s="92">
        <v>-8.9431389106908306</v>
      </c>
      <c r="V2252" s="92">
        <v>-5.3230942221214397E-2</v>
      </c>
      <c r="W2252" s="92">
        <v>6.229201422366832E-2</v>
      </c>
      <c r="X2252" s="92">
        <v>0.22802751943674296</v>
      </c>
      <c r="Y2252" s="92">
        <v>-6.423758678668212E-4</v>
      </c>
      <c r="Z2252" s="92">
        <v>3.3386001112417309E-4</v>
      </c>
      <c r="AA2252" s="92">
        <v>-1.8849952791271895E-4</v>
      </c>
      <c r="AB2252" s="92">
        <v>-1.668997062944332E-3</v>
      </c>
      <c r="AC2252" s="119">
        <v>2.3917413060712991E-4</v>
      </c>
      <c r="AD2252" s="119">
        <v>5.5108592291636819E-3</v>
      </c>
      <c r="AE2252" s="120">
        <v>4.6944744839357336E-4</v>
      </c>
      <c r="AF2252" s="119">
        <v>1.2703887834780673E-6</v>
      </c>
      <c r="AG2252" s="119">
        <v>2.2705989386371164E-5</v>
      </c>
      <c r="AH2252" s="120">
        <v>3.7069946489858393E-5</v>
      </c>
      <c r="AI2252" s="121">
        <v>-35</v>
      </c>
      <c r="AJ2252" s="121">
        <v>-10</v>
      </c>
      <c r="AK2252" s="121">
        <v>35</v>
      </c>
      <c r="AL2252" s="121">
        <v>60</v>
      </c>
      <c r="AM2252" s="122">
        <v>43118</v>
      </c>
      <c r="AN2252" s="121" t="s">
        <v>689</v>
      </c>
    </row>
    <row r="2253" spans="1:42">
      <c r="A2253" s="71"/>
      <c r="B2253" s="72"/>
      <c r="C2253" s="71"/>
      <c r="D2253" s="72"/>
      <c r="E2253" s="71"/>
      <c r="F2253" s="72"/>
      <c r="G2253" s="77">
        <v>3000</v>
      </c>
      <c r="H2253" s="3"/>
      <c r="I2253" s="91">
        <v>200.21103556768603</v>
      </c>
      <c r="J2253" s="92">
        <v>25.360756576753058</v>
      </c>
      <c r="K2253" s="92">
        <v>20.144550923022344</v>
      </c>
      <c r="L2253" s="92">
        <v>0.6017121615208666</v>
      </c>
      <c r="M2253" s="92">
        <v>-8.3497036087074275E-2</v>
      </c>
      <c r="N2253" s="92">
        <v>-0.510899940771395</v>
      </c>
      <c r="O2253" s="92">
        <v>6.2934353313973436E-3</v>
      </c>
      <c r="P2253" s="92">
        <v>-1.1272614285217307E-3</v>
      </c>
      <c r="Q2253" s="92">
        <v>-4.3943628788144804E-4</v>
      </c>
      <c r="R2253" s="92">
        <v>3.5279911390813426E-3</v>
      </c>
      <c r="S2253" s="92">
        <v>291.91272060639091</v>
      </c>
      <c r="T2253" s="92">
        <v>3.538194196655708</v>
      </c>
      <c r="U2253" s="92">
        <v>-13.418624880669112</v>
      </c>
      <c r="V2253" s="92">
        <v>0.12537224513272471</v>
      </c>
      <c r="W2253" s="92">
        <v>8.424828877481659E-3</v>
      </c>
      <c r="X2253" s="92">
        <v>0.32183069760311217</v>
      </c>
      <c r="Y2253" s="92">
        <v>1.5800301348883464E-3</v>
      </c>
      <c r="Z2253" s="92">
        <v>-2.5350070744256648E-4</v>
      </c>
      <c r="AA2253" s="92">
        <v>1.3546766724777085E-4</v>
      </c>
      <c r="AB2253" s="92">
        <v>-2.3200521514921274E-3</v>
      </c>
      <c r="AC2253" s="119">
        <v>1.1831642879643102E-4</v>
      </c>
      <c r="AD2253" s="119">
        <v>2.8154488075363298E-3</v>
      </c>
      <c r="AE2253" s="120">
        <v>2.3528302207093948E-4</v>
      </c>
      <c r="AF2253" s="119">
        <v>1.2096187918130433E-4</v>
      </c>
      <c r="AG2253" s="119">
        <v>2.3904412818850154E-3</v>
      </c>
      <c r="AH2253" s="120">
        <v>3.0364489728424679E-4</v>
      </c>
      <c r="AI2253" s="121">
        <v>-35</v>
      </c>
      <c r="AJ2253" s="121">
        <v>-10</v>
      </c>
      <c r="AK2253" s="121">
        <v>35</v>
      </c>
      <c r="AL2253" s="121">
        <v>60</v>
      </c>
      <c r="AM2253" s="122">
        <v>43118</v>
      </c>
      <c r="AN2253" s="121" t="s">
        <v>689</v>
      </c>
    </row>
    <row r="2254" spans="1:42">
      <c r="A2254" s="71"/>
      <c r="B2254" s="72"/>
      <c r="C2254" s="71"/>
      <c r="D2254" s="72"/>
      <c r="E2254" s="71"/>
      <c r="F2254" s="72"/>
      <c r="G2254" s="77">
        <v>4500</v>
      </c>
      <c r="H2254" s="3"/>
      <c r="I2254" s="91">
        <v>398.68466032706448</v>
      </c>
      <c r="J2254" s="92">
        <v>25.641503375301369</v>
      </c>
      <c r="K2254" s="92">
        <v>15.652582201562767</v>
      </c>
      <c r="L2254" s="92">
        <v>0.4446443669719144</v>
      </c>
      <c r="M2254" s="92">
        <v>-7.945355525949796E-2</v>
      </c>
      <c r="N2254" s="92">
        <v>-0.44318926964577754</v>
      </c>
      <c r="O2254" s="92">
        <v>4.4650858247852207E-3</v>
      </c>
      <c r="P2254" s="92">
        <v>2.3962659714074074E-4</v>
      </c>
      <c r="Q2254" s="92">
        <v>-1.954608814707179E-4</v>
      </c>
      <c r="R2254" s="92">
        <v>3.1172908650589793E-3</v>
      </c>
      <c r="S2254" s="92">
        <v>678.36444708237821</v>
      </c>
      <c r="T2254" s="92">
        <v>-2.4307926390117727</v>
      </c>
      <c r="U2254" s="92">
        <v>-37.793724588518188</v>
      </c>
      <c r="V2254" s="92">
        <v>-0.13983214455522733</v>
      </c>
      <c r="W2254" s="92">
        <v>9.9010186984385545E-2</v>
      </c>
      <c r="X2254" s="92">
        <v>0.86902531442202047</v>
      </c>
      <c r="Y2254" s="92">
        <v>-1.6467110795600421E-3</v>
      </c>
      <c r="Z2254" s="92">
        <v>1.2969293806037402E-3</v>
      </c>
      <c r="AA2254" s="92">
        <v>-1.5159137544034761E-4</v>
      </c>
      <c r="AB2254" s="92">
        <v>-6.2299225454687697E-3</v>
      </c>
      <c r="AC2254" s="119">
        <v>1.4911128679557886E-5</v>
      </c>
      <c r="AD2254" s="119">
        <v>2.6247486318436346E-4</v>
      </c>
      <c r="AE2254" s="120">
        <v>6.1005809219610452E-5</v>
      </c>
      <c r="AF2254" s="119">
        <v>1.4969444184136274E-5</v>
      </c>
      <c r="AG2254" s="119">
        <v>2.3138767024673027E-4</v>
      </c>
      <c r="AH2254" s="120">
        <v>5.9458324515829402E-5</v>
      </c>
      <c r="AI2254" s="121">
        <v>-35</v>
      </c>
      <c r="AJ2254" s="121">
        <v>-10</v>
      </c>
      <c r="AK2254" s="121">
        <v>35</v>
      </c>
      <c r="AL2254" s="121">
        <v>60</v>
      </c>
      <c r="AM2254" s="122">
        <v>43118</v>
      </c>
      <c r="AN2254" s="121" t="s">
        <v>689</v>
      </c>
    </row>
    <row r="2255" spans="1:42">
      <c r="A2255" s="71" t="s">
        <v>115</v>
      </c>
      <c r="B2255" s="72" t="s">
        <v>44</v>
      </c>
      <c r="C2255" s="71" t="s">
        <v>45</v>
      </c>
      <c r="D2255" s="72" t="s">
        <v>46</v>
      </c>
      <c r="E2255" s="71" t="s">
        <v>47</v>
      </c>
      <c r="F2255" s="72" t="s">
        <v>210</v>
      </c>
      <c r="G2255" s="77"/>
      <c r="H2255" s="72" t="str">
        <f>CONCATENATE(A2255," ",B2255," ",C2255," ",D2255," ",E2255," ",F2255)</f>
        <v>Jiaxipera Isobutane 50 Hz 230V VSD VTH1113Y (Jx)</v>
      </c>
      <c r="I2255" s="91"/>
      <c r="J2255" s="92"/>
      <c r="K2255" s="92"/>
      <c r="L2255" s="92"/>
      <c r="M2255" s="92"/>
      <c r="N2255" s="92"/>
      <c r="O2255" s="92"/>
      <c r="P2255" s="92"/>
      <c r="Q2255" s="92"/>
      <c r="R2255" s="92"/>
      <c r="S2255" s="92"/>
      <c r="T2255" s="92"/>
      <c r="U2255" s="92"/>
      <c r="V2255" s="92"/>
      <c r="W2255" s="92"/>
      <c r="X2255" s="92"/>
      <c r="Y2255" s="92"/>
      <c r="Z2255" s="92"/>
      <c r="AA2255" s="92"/>
      <c r="AB2255" s="92"/>
      <c r="AC2255" s="119"/>
      <c r="AD2255" s="119"/>
      <c r="AE2255" s="120"/>
      <c r="AF2255" s="119"/>
      <c r="AG2255" s="119"/>
      <c r="AH2255" s="120"/>
      <c r="AI2255" s="121"/>
      <c r="AJ2255" s="121"/>
      <c r="AK2255" s="121"/>
      <c r="AL2255" s="121"/>
      <c r="AM2255" s="122"/>
      <c r="AN2255" s="121"/>
    </row>
    <row r="2256" spans="1:42">
      <c r="A2256" s="71"/>
      <c r="B2256" s="72"/>
      <c r="C2256" s="71"/>
      <c r="D2256" s="72"/>
      <c r="E2256" s="71"/>
      <c r="F2256" s="72"/>
      <c r="G2256" s="77">
        <v>1200</v>
      </c>
      <c r="H2256" s="3"/>
      <c r="I2256" s="91">
        <v>1.1336583987024231</v>
      </c>
      <c r="J2256" s="92">
        <v>6.0732893161470463</v>
      </c>
      <c r="K2256" s="92">
        <v>15.377697444650781</v>
      </c>
      <c r="L2256" s="92">
        <v>-0.10160831646491279</v>
      </c>
      <c r="M2256" s="92">
        <v>-0.12986529347293255</v>
      </c>
      <c r="N2256" s="92">
        <v>-0.41362818478107799</v>
      </c>
      <c r="O2256" s="92">
        <v>-2.5642966859997507E-3</v>
      </c>
      <c r="P2256" s="92">
        <v>-3.6536039693172334E-4</v>
      </c>
      <c r="Q2256" s="92">
        <v>8.023686767195578E-4</v>
      </c>
      <c r="R2256" s="92">
        <v>3.1567841894155832E-3</v>
      </c>
      <c r="S2256" s="92">
        <v>-32.484860004975694</v>
      </c>
      <c r="T2256" s="92">
        <v>-4.4768100799904902</v>
      </c>
      <c r="U2256" s="92">
        <v>2.9235996443494798</v>
      </c>
      <c r="V2256" s="92">
        <v>-0.18050575177373657</v>
      </c>
      <c r="W2256" s="92">
        <v>5.1155304735638833E-2</v>
      </c>
      <c r="X2256" s="92">
        <v>-4.1989018859962528E-2</v>
      </c>
      <c r="Y2256" s="92">
        <v>-2.3686859196585656E-3</v>
      </c>
      <c r="Z2256" s="92">
        <v>4.054928265281489E-4</v>
      </c>
      <c r="AA2256" s="92">
        <v>-2.1360746762496775E-5</v>
      </c>
      <c r="AB2256" s="92">
        <v>3.6910524473886914E-4</v>
      </c>
      <c r="AC2256" s="119">
        <v>1.568653839749962E-4</v>
      </c>
      <c r="AD2256" s="119">
        <v>6.288941077136739E-3</v>
      </c>
      <c r="AE2256" s="120">
        <v>7.3198643635994894E-4</v>
      </c>
      <c r="AF2256" s="119">
        <v>5.8006313141024019E-6</v>
      </c>
      <c r="AG2256" s="119">
        <v>5.3721105479462294E-4</v>
      </c>
      <c r="AH2256" s="120">
        <v>2.8588341256502654E-4</v>
      </c>
      <c r="AI2256" s="121">
        <v>-35</v>
      </c>
      <c r="AJ2256" s="121">
        <v>-10</v>
      </c>
      <c r="AK2256" s="121">
        <v>35</v>
      </c>
      <c r="AL2256" s="121">
        <v>60</v>
      </c>
      <c r="AM2256" s="122">
        <v>42233</v>
      </c>
      <c r="AN2256" s="121" t="s">
        <v>481</v>
      </c>
    </row>
    <row r="2257" spans="1:40">
      <c r="A2257" s="71"/>
      <c r="B2257" s="72"/>
      <c r="C2257" s="71"/>
      <c r="D2257" s="72"/>
      <c r="E2257" s="71"/>
      <c r="F2257" s="72"/>
      <c r="G2257" s="77">
        <v>2400</v>
      </c>
      <c r="H2257" s="3"/>
      <c r="I2257" s="91">
        <v>3.3264759504966643</v>
      </c>
      <c r="J2257" s="92">
        <v>17.064566796710309</v>
      </c>
      <c r="K2257" s="92">
        <v>28.814216243219967</v>
      </c>
      <c r="L2257" s="92">
        <v>0.35466268774636645</v>
      </c>
      <c r="M2257" s="92">
        <v>3.7153721476257041E-2</v>
      </c>
      <c r="N2257" s="92">
        <v>-0.66152423868884469</v>
      </c>
      <c r="O2257" s="92">
        <v>3.0427166585934211E-3</v>
      </c>
      <c r="P2257" s="92">
        <v>-6.076207206213778E-4</v>
      </c>
      <c r="Q2257" s="92">
        <v>-1.3599720546791324E-3</v>
      </c>
      <c r="R2257" s="92">
        <v>4.3966346961138584E-3</v>
      </c>
      <c r="S2257" s="92">
        <v>1.1411926038395848</v>
      </c>
      <c r="T2257" s="92">
        <v>-6.2104814154729073</v>
      </c>
      <c r="U2257" s="92">
        <v>2.3861292767387803</v>
      </c>
      <c r="V2257" s="92">
        <v>-0.25960860039956163</v>
      </c>
      <c r="W2257" s="92">
        <v>8.7073575783375032E-2</v>
      </c>
      <c r="X2257" s="92">
        <v>-1.2089895388640573E-2</v>
      </c>
      <c r="Y2257" s="92">
        <v>-3.2619011495793582E-3</v>
      </c>
      <c r="Z2257" s="92">
        <v>9.5529774487977909E-4</v>
      </c>
      <c r="AA2257" s="92">
        <v>-5.9398465471941686E-6</v>
      </c>
      <c r="AB2257" s="92">
        <v>1.2707845585028954E-4</v>
      </c>
      <c r="AC2257" s="119">
        <v>7.0147338024147807E-5</v>
      </c>
      <c r="AD2257" s="119">
        <v>1.3898535269126365E-3</v>
      </c>
      <c r="AE2257" s="120">
        <v>2.4353969219322342E-4</v>
      </c>
      <c r="AF2257" s="119">
        <v>1.3782399453103749E-4</v>
      </c>
      <c r="AG2257" s="119">
        <v>1.6636151511227042E-2</v>
      </c>
      <c r="AH2257" s="120">
        <v>8.6411165906473669E-4</v>
      </c>
      <c r="AI2257" s="121">
        <v>-35</v>
      </c>
      <c r="AJ2257" s="121">
        <v>-10</v>
      </c>
      <c r="AK2257" s="121">
        <v>35</v>
      </c>
      <c r="AL2257" s="121">
        <v>60</v>
      </c>
      <c r="AM2257" s="122">
        <v>42233</v>
      </c>
      <c r="AN2257" s="121" t="s">
        <v>481</v>
      </c>
    </row>
    <row r="2258" spans="1:40">
      <c r="A2258" s="71"/>
      <c r="B2258" s="72"/>
      <c r="C2258" s="71"/>
      <c r="D2258" s="72"/>
      <c r="E2258" s="71"/>
      <c r="F2258" s="72"/>
      <c r="G2258" s="77">
        <v>3000</v>
      </c>
      <c r="H2258" s="3"/>
      <c r="I2258" s="91">
        <v>1.6800189602790059</v>
      </c>
      <c r="J2258" s="92">
        <v>19.137393477520259</v>
      </c>
      <c r="K2258" s="92">
        <v>35.307241878038461</v>
      </c>
      <c r="L2258" s="92">
        <v>0.26019721988739547</v>
      </c>
      <c r="M2258" s="92">
        <v>-6.9001432391248424E-2</v>
      </c>
      <c r="N2258" s="92">
        <v>-0.85849544764628483</v>
      </c>
      <c r="O2258" s="92">
        <v>1.6027169836561397E-3</v>
      </c>
      <c r="P2258" s="92">
        <v>-5.3826200633826701E-4</v>
      </c>
      <c r="Q2258" s="92">
        <v>-2.7519679033352981E-4</v>
      </c>
      <c r="R2258" s="92">
        <v>6.1050094462688663E-3</v>
      </c>
      <c r="S2258" s="92">
        <v>1.1448532020045394</v>
      </c>
      <c r="T2258" s="92">
        <v>-3.683873459518344</v>
      </c>
      <c r="U2258" s="92">
        <v>4.9301910252515082</v>
      </c>
      <c r="V2258" s="92">
        <v>-0.27324060650223586</v>
      </c>
      <c r="W2258" s="92">
        <v>-3.1477872967676429E-2</v>
      </c>
      <c r="X2258" s="92">
        <v>-9.261313376296175E-2</v>
      </c>
      <c r="Y2258" s="92">
        <v>-3.9894542348708362E-3</v>
      </c>
      <c r="Z2258" s="92">
        <v>6.3903539227328263E-5</v>
      </c>
      <c r="AA2258" s="92">
        <v>9.4433387421201181E-4</v>
      </c>
      <c r="AB2258" s="92">
        <v>8.6699916825968399E-4</v>
      </c>
      <c r="AC2258" s="119">
        <v>3.5161826849386478E-4</v>
      </c>
      <c r="AD2258" s="119">
        <v>7.8461682298037964E-3</v>
      </c>
      <c r="AE2258" s="120">
        <v>4.0218420289959126E-4</v>
      </c>
      <c r="AF2258" s="119">
        <v>7.3034570375936377E-7</v>
      </c>
      <c r="AG2258" s="119">
        <v>9.3830828621383559E-6</v>
      </c>
      <c r="AH2258" s="120">
        <v>2.2766361141675889E-5</v>
      </c>
      <c r="AI2258" s="121">
        <v>-35</v>
      </c>
      <c r="AJ2258" s="121">
        <v>-10</v>
      </c>
      <c r="AK2258" s="121">
        <v>35</v>
      </c>
      <c r="AL2258" s="121">
        <v>60</v>
      </c>
      <c r="AM2258" s="122">
        <v>42233</v>
      </c>
      <c r="AN2258" s="121" t="s">
        <v>481</v>
      </c>
    </row>
    <row r="2259" spans="1:40">
      <c r="A2259" s="71"/>
      <c r="B2259" s="72"/>
      <c r="C2259" s="71"/>
      <c r="D2259" s="72"/>
      <c r="E2259" s="71"/>
      <c r="F2259" s="72"/>
      <c r="G2259" s="77">
        <v>4500</v>
      </c>
      <c r="H2259" s="3"/>
      <c r="I2259" s="91">
        <v>79.928437051167549</v>
      </c>
      <c r="J2259" s="92">
        <v>22.427346467975092</v>
      </c>
      <c r="K2259" s="92">
        <v>38.306852042519218</v>
      </c>
      <c r="L2259" s="92">
        <v>0.14317436808931167</v>
      </c>
      <c r="M2259" s="92">
        <v>-0.20364628167212218</v>
      </c>
      <c r="N2259" s="92">
        <v>-0.97168662231468939</v>
      </c>
      <c r="O2259" s="92">
        <v>-9.8215605118782186E-4</v>
      </c>
      <c r="P2259" s="92">
        <v>-1.1232490011038136E-3</v>
      </c>
      <c r="Q2259" s="92">
        <v>8.7445542565632887E-4</v>
      </c>
      <c r="R2259" s="92">
        <v>7.1491412845433424E-3</v>
      </c>
      <c r="S2259" s="92">
        <v>14.618010036113649</v>
      </c>
      <c r="T2259" s="92">
        <v>10.68365867476224</v>
      </c>
      <c r="U2259" s="92">
        <v>14.482751607568854</v>
      </c>
      <c r="V2259" s="92">
        <v>0.27967263503394629</v>
      </c>
      <c r="W2259" s="92">
        <v>-7.2140846763270913E-2</v>
      </c>
      <c r="X2259" s="92">
        <v>-0.31020981741186815</v>
      </c>
      <c r="Y2259" s="92">
        <v>3.7966134568806326E-3</v>
      </c>
      <c r="Z2259" s="92">
        <v>5.4979478683945453E-4</v>
      </c>
      <c r="AA2259" s="92">
        <v>1.5591026160092444E-3</v>
      </c>
      <c r="AB2259" s="92">
        <v>2.4710282823176394E-3</v>
      </c>
      <c r="AC2259" s="119">
        <v>3.0660508919933159E-3</v>
      </c>
      <c r="AD2259" s="119">
        <v>2.3137735856614525</v>
      </c>
      <c r="AE2259" s="120">
        <v>5.5570399672610635E-3</v>
      </c>
      <c r="AF2259" s="119">
        <v>4.8140256138495493E-4</v>
      </c>
      <c r="AG2259" s="119">
        <v>0.17630627427078502</v>
      </c>
      <c r="AH2259" s="120">
        <v>1.4467347035069407E-3</v>
      </c>
      <c r="AI2259" s="121">
        <v>-35</v>
      </c>
      <c r="AJ2259" s="121">
        <v>-10</v>
      </c>
      <c r="AK2259" s="121">
        <v>35</v>
      </c>
      <c r="AL2259" s="121">
        <v>60</v>
      </c>
      <c r="AM2259" s="122">
        <v>42233</v>
      </c>
      <c r="AN2259" s="121" t="s">
        <v>481</v>
      </c>
    </row>
    <row r="2260" spans="1:40">
      <c r="A2260" s="71" t="s">
        <v>124</v>
      </c>
      <c r="B2260" s="72" t="s">
        <v>44</v>
      </c>
      <c r="C2260" s="71" t="s">
        <v>45</v>
      </c>
      <c r="D2260" s="72" t="s">
        <v>46</v>
      </c>
      <c r="E2260" s="71" t="s">
        <v>47</v>
      </c>
      <c r="F2260" s="72" t="s">
        <v>212</v>
      </c>
      <c r="G2260" s="77"/>
      <c r="H2260" s="72" t="str">
        <f>CONCATENATE(A2260," ",B2260," ",C2260," ",D2260," ",E2260," ",F2260)</f>
        <v>Secop Isobutane 50 Hz 230V VSD XV3KX</v>
      </c>
      <c r="I2260" s="91"/>
      <c r="J2260" s="92"/>
      <c r="K2260" s="92"/>
      <c r="L2260" s="92"/>
      <c r="M2260" s="92"/>
      <c r="N2260" s="92"/>
      <c r="O2260" s="92"/>
      <c r="P2260" s="92"/>
      <c r="Q2260" s="92"/>
      <c r="R2260" s="92"/>
      <c r="S2260" s="92"/>
      <c r="T2260" s="92"/>
      <c r="U2260" s="92"/>
      <c r="V2260" s="92"/>
      <c r="W2260" s="92"/>
      <c r="X2260" s="92"/>
      <c r="Y2260" s="92"/>
      <c r="Z2260" s="92"/>
      <c r="AA2260" s="92"/>
      <c r="AB2260" s="92"/>
      <c r="AC2260" s="119"/>
      <c r="AD2260" s="119"/>
      <c r="AE2260" s="120"/>
      <c r="AF2260" s="119"/>
      <c r="AG2260" s="119"/>
      <c r="AH2260" s="120"/>
      <c r="AI2260" s="121"/>
      <c r="AJ2260" s="121"/>
      <c r="AK2260" s="121"/>
      <c r="AL2260" s="121"/>
      <c r="AM2260" s="122"/>
      <c r="AN2260" s="121"/>
    </row>
    <row r="2261" spans="1:40">
      <c r="A2261" s="71"/>
      <c r="B2261" s="72"/>
      <c r="C2261" s="71"/>
      <c r="D2261" s="72"/>
      <c r="E2261" s="71"/>
      <c r="F2261" s="72"/>
      <c r="G2261" s="77">
        <v>1000</v>
      </c>
      <c r="H2261" s="3"/>
      <c r="I2261" s="91">
        <v>-100.45197439764667</v>
      </c>
      <c r="J2261" s="92">
        <v>2.0273944713973315</v>
      </c>
      <c r="K2261" s="92">
        <v>11.242171949121232</v>
      </c>
      <c r="L2261" s="92">
        <v>2.9707532575734583E-2</v>
      </c>
      <c r="M2261" s="92">
        <v>1.4615065392060657E-2</v>
      </c>
      <c r="N2261" s="92">
        <v>-0.2633413918741408</v>
      </c>
      <c r="O2261" s="92">
        <v>1.6063186539447768E-4</v>
      </c>
      <c r="P2261" s="92">
        <v>7.3840604061681673E-6</v>
      </c>
      <c r="Q2261" s="92">
        <v>-3.2987499637960617E-4</v>
      </c>
      <c r="R2261" s="92">
        <v>1.8813194109497924E-3</v>
      </c>
      <c r="S2261" s="92">
        <v>-4.259859926982904E-3</v>
      </c>
      <c r="T2261" s="92">
        <v>0.58558714404586232</v>
      </c>
      <c r="U2261" s="92">
        <v>0.78608798713226902</v>
      </c>
      <c r="V2261" s="92">
        <v>3.6705864391480174E-6</v>
      </c>
      <c r="W2261" s="92">
        <v>-2.2763523169904959E-2</v>
      </c>
      <c r="X2261" s="92">
        <v>-1.813627362051377E-2</v>
      </c>
      <c r="Y2261" s="92">
        <v>-1.3344437912194148E-5</v>
      </c>
      <c r="Z2261" s="92">
        <v>-4.065004829165503E-5</v>
      </c>
      <c r="AA2261" s="92">
        <v>2.9400111361780045E-4</v>
      </c>
      <c r="AB2261" s="92">
        <v>1.667266123499116E-4</v>
      </c>
      <c r="AC2261" s="119">
        <v>6.4559468449316107E-2</v>
      </c>
      <c r="AD2261" s="119">
        <v>1.4983968095710907</v>
      </c>
      <c r="AE2261" s="120">
        <v>5.1665735356925778E-2</v>
      </c>
      <c r="AF2261" s="119">
        <v>4.2308487349691504E-2</v>
      </c>
      <c r="AG2261" s="119">
        <v>0.84340222123344111</v>
      </c>
      <c r="AH2261" s="120"/>
      <c r="AI2261" s="121"/>
      <c r="AJ2261" s="121"/>
      <c r="AK2261" s="121"/>
      <c r="AL2261" s="121"/>
      <c r="AM2261" s="122"/>
      <c r="AN2261" s="121"/>
    </row>
    <row r="2262" spans="1:40">
      <c r="A2262" s="71"/>
      <c r="B2262" s="72"/>
      <c r="C2262" s="71"/>
      <c r="D2262" s="72"/>
      <c r="E2262" s="71"/>
      <c r="F2262" s="72"/>
      <c r="G2262" s="77">
        <v>1200</v>
      </c>
      <c r="H2262" s="3"/>
      <c r="I2262" s="91">
        <v>-90.959867942967378</v>
      </c>
      <c r="J2262" s="92">
        <v>2.9470699433921608</v>
      </c>
      <c r="K2262" s="92">
        <v>11.631089959636551</v>
      </c>
      <c r="L2262" s="92">
        <v>3.0941203133694681E-2</v>
      </c>
      <c r="M2262" s="92">
        <v>-1.0512616901937825E-2</v>
      </c>
      <c r="N2262" s="92">
        <v>-0.27832991626503506</v>
      </c>
      <c r="O2262" s="92">
        <v>9.7432415415155628E-5</v>
      </c>
      <c r="P2262" s="92">
        <v>-2.8011084203543179E-5</v>
      </c>
      <c r="Q2262" s="92">
        <v>-8.9172142068905474E-5</v>
      </c>
      <c r="R2262" s="92">
        <v>2.020631879394949E-3</v>
      </c>
      <c r="S2262" s="92">
        <v>-4.2624446267839665E-3</v>
      </c>
      <c r="T2262" s="92">
        <v>-0.21980754351066831</v>
      </c>
      <c r="U2262" s="92">
        <v>0.57888375546646931</v>
      </c>
      <c r="V2262" s="92">
        <v>-5.2138841754308203E-3</v>
      </c>
      <c r="W2262" s="92">
        <v>8.3122760687956484E-3</v>
      </c>
      <c r="X2262" s="92">
        <v>-6.5217153924311795E-3</v>
      </c>
      <c r="Y2262" s="92">
        <v>-3.4976277597872544E-5</v>
      </c>
      <c r="Z2262" s="92">
        <v>4.8945466544245423E-5</v>
      </c>
      <c r="AA2262" s="92">
        <v>2.4412096102434847E-5</v>
      </c>
      <c r="AB2262" s="92">
        <v>4.6146720511036849E-5</v>
      </c>
      <c r="AC2262" s="119">
        <v>4.4187714624608077E-2</v>
      </c>
      <c r="AD2262" s="119">
        <v>0.89281303815429525</v>
      </c>
      <c r="AE2262" s="120">
        <v>5.1349202452651559E-2</v>
      </c>
      <c r="AF2262" s="119">
        <v>6.5878428641890655E-2</v>
      </c>
      <c r="AG2262" s="119">
        <v>1.0814594521124927</v>
      </c>
      <c r="AH2262" s="120"/>
      <c r="AI2262" s="121"/>
      <c r="AJ2262" s="121"/>
      <c r="AK2262" s="121"/>
      <c r="AL2262" s="121"/>
      <c r="AM2262" s="122"/>
      <c r="AN2262" s="121"/>
    </row>
    <row r="2263" spans="1:40">
      <c r="A2263" s="71"/>
      <c r="B2263" s="72"/>
      <c r="C2263" s="71"/>
      <c r="D2263" s="72"/>
      <c r="E2263" s="71"/>
      <c r="F2263" s="72"/>
      <c r="G2263" s="77">
        <v>1400</v>
      </c>
      <c r="H2263" s="3"/>
      <c r="I2263" s="91">
        <v>-89.090099581921834</v>
      </c>
      <c r="J2263" s="92">
        <v>3.0223501484167463</v>
      </c>
      <c r="K2263" s="92">
        <v>12.017015646209746</v>
      </c>
      <c r="L2263" s="92">
        <v>4.9977346790762538E-2</v>
      </c>
      <c r="M2263" s="92">
        <v>1.1986025249020784E-2</v>
      </c>
      <c r="N2263" s="92">
        <v>-0.28203457957030609</v>
      </c>
      <c r="O2263" s="92">
        <v>2.964010423858629E-4</v>
      </c>
      <c r="P2263" s="92">
        <v>-1.2640500870207355E-4</v>
      </c>
      <c r="Q2263" s="92">
        <v>-3.6352733627276256E-4</v>
      </c>
      <c r="R2263" s="92">
        <v>2.002979105634896E-3</v>
      </c>
      <c r="S2263" s="92">
        <v>-4.2654636728548809E-3</v>
      </c>
      <c r="T2263" s="92">
        <v>-0.37305604271377735</v>
      </c>
      <c r="U2263" s="92">
        <v>0.64337937301197201</v>
      </c>
      <c r="V2263" s="92">
        <v>-6.3022154598910054E-3</v>
      </c>
      <c r="W2263" s="92">
        <v>1.6794986458537151E-2</v>
      </c>
      <c r="X2263" s="92">
        <v>-5.448167098180412E-3</v>
      </c>
      <c r="Y2263" s="92">
        <v>-1.6414853595645941E-5</v>
      </c>
      <c r="Z2263" s="92">
        <v>1.0051614138765034E-4</v>
      </c>
      <c r="AA2263" s="92">
        <v>-5.2869078960826665E-5</v>
      </c>
      <c r="AB2263" s="92">
        <v>2.4537480792296281E-5</v>
      </c>
      <c r="AC2263" s="119">
        <v>5.7408205239030598E-2</v>
      </c>
      <c r="AD2263" s="119">
        <v>0.85480459683432231</v>
      </c>
      <c r="AE2263" s="120">
        <v>4.5369018857750611E-2</v>
      </c>
      <c r="AF2263" s="119">
        <v>5.0932189151066939E-2</v>
      </c>
      <c r="AG2263" s="119">
        <v>0.77954149933026307</v>
      </c>
      <c r="AH2263" s="120"/>
      <c r="AI2263" s="121"/>
      <c r="AJ2263" s="121"/>
      <c r="AK2263" s="121"/>
      <c r="AL2263" s="121"/>
      <c r="AM2263" s="122"/>
      <c r="AN2263" s="121"/>
    </row>
    <row r="2264" spans="1:40">
      <c r="A2264" s="71"/>
      <c r="B2264" s="72"/>
      <c r="C2264" s="71"/>
      <c r="D2264" s="72"/>
      <c r="E2264" s="71"/>
      <c r="F2264" s="72"/>
      <c r="G2264" s="77">
        <v>1600</v>
      </c>
      <c r="H2264" s="3"/>
      <c r="I2264" s="91">
        <v>-82.155601932052093</v>
      </c>
      <c r="J2264" s="92">
        <v>3.7313026942317564</v>
      </c>
      <c r="K2264" s="92">
        <v>12.469057763727243</v>
      </c>
      <c r="L2264" s="92">
        <v>5.037438144978891E-2</v>
      </c>
      <c r="M2264" s="92">
        <v>-3.9988296899963523E-3</v>
      </c>
      <c r="N2264" s="92">
        <v>-0.29724663740593465</v>
      </c>
      <c r="O2264" s="92">
        <v>2.0507691883047763E-4</v>
      </c>
      <c r="P2264" s="92">
        <v>-1.4378732168804129E-4</v>
      </c>
      <c r="Q2264" s="92">
        <v>-2.1446741103001358E-4</v>
      </c>
      <c r="R2264" s="92">
        <v>2.1379992826630789E-3</v>
      </c>
      <c r="S2264" s="92">
        <v>-4.2328278437223747E-3</v>
      </c>
      <c r="T2264" s="92">
        <v>-0.38148723692955833</v>
      </c>
      <c r="U2264" s="92">
        <v>0.84739843502348355</v>
      </c>
      <c r="V2264" s="92">
        <v>-1.4950137720766095E-2</v>
      </c>
      <c r="W2264" s="92">
        <v>1.1558951416957241E-2</v>
      </c>
      <c r="X2264" s="92">
        <v>-1.2457809778657052E-2</v>
      </c>
      <c r="Y2264" s="92">
        <v>-4.8255936002965982E-5</v>
      </c>
      <c r="Z2264" s="92">
        <v>2.6386984074602566E-4</v>
      </c>
      <c r="AA2264" s="92">
        <v>6.920474071950465E-5</v>
      </c>
      <c r="AB2264" s="92">
        <v>1.0268375870006744E-4</v>
      </c>
      <c r="AC2264" s="119">
        <v>7.5647597186975959E-2</v>
      </c>
      <c r="AD2264" s="119">
        <v>1.5244587990844272</v>
      </c>
      <c r="AE2264" s="120">
        <v>3.1831273150555006E-2</v>
      </c>
      <c r="AF2264" s="119">
        <v>5.9836502664369552E-2</v>
      </c>
      <c r="AG2264" s="119">
        <v>1.2217190014245027</v>
      </c>
      <c r="AH2264" s="120"/>
      <c r="AI2264" s="121"/>
      <c r="AJ2264" s="121"/>
      <c r="AK2264" s="121"/>
      <c r="AL2264" s="121"/>
      <c r="AM2264" s="122"/>
      <c r="AN2264" s="121"/>
    </row>
    <row r="2265" spans="1:40">
      <c r="A2265" s="71"/>
      <c r="B2265" s="72"/>
      <c r="C2265" s="71"/>
      <c r="D2265" s="72"/>
      <c r="E2265" s="71"/>
      <c r="F2265" s="72"/>
      <c r="G2265" s="77">
        <v>1800</v>
      </c>
      <c r="H2265" s="3"/>
      <c r="I2265" s="91">
        <v>-77.720631297607099</v>
      </c>
      <c r="J2265" s="92">
        <v>4.142981345750302</v>
      </c>
      <c r="K2265" s="92">
        <v>12.918500097626799</v>
      </c>
      <c r="L2265" s="92">
        <v>5.2687962783541806E-2</v>
      </c>
      <c r="M2265" s="92">
        <v>-8.1358680252119064E-3</v>
      </c>
      <c r="N2265" s="92">
        <v>-0.3097219538906677</v>
      </c>
      <c r="O2265" s="92">
        <v>2.4439151131500721E-4</v>
      </c>
      <c r="P2265" s="92">
        <v>-1.0671252773414469E-4</v>
      </c>
      <c r="Q2265" s="92">
        <v>-1.7943917211158411E-4</v>
      </c>
      <c r="R2265" s="92">
        <v>2.2357217884402146E-3</v>
      </c>
      <c r="S2265" s="92">
        <v>-4.2372342738355804E-3</v>
      </c>
      <c r="T2265" s="92">
        <v>-0.6213601177170307</v>
      </c>
      <c r="U2265" s="92">
        <v>0.77890120779190886</v>
      </c>
      <c r="V2265" s="92">
        <v>-1.4782046952549047E-2</v>
      </c>
      <c r="W2265" s="92">
        <v>2.3102371523970721E-2</v>
      </c>
      <c r="X2265" s="92">
        <v>-5.480980558489155E-3</v>
      </c>
      <c r="Y2265" s="92">
        <v>-8.3480306798516598E-5</v>
      </c>
      <c r="Z2265" s="92">
        <v>2.0710476729707944E-4</v>
      </c>
      <c r="AA2265" s="92">
        <v>-6.4243374393243798E-5</v>
      </c>
      <c r="AB2265" s="92">
        <v>1.4677572199315506E-5</v>
      </c>
      <c r="AC2265" s="119">
        <v>7.5715914059485787E-2</v>
      </c>
      <c r="AD2265" s="119">
        <v>1.5229731329125165</v>
      </c>
      <c r="AE2265" s="120">
        <v>3.4404615767186897E-2</v>
      </c>
      <c r="AF2265" s="119">
        <v>8.9198461345919897E-2</v>
      </c>
      <c r="AG2265" s="119">
        <v>1.7349458304014176</v>
      </c>
      <c r="AH2265" s="120"/>
      <c r="AI2265" s="121"/>
      <c r="AJ2265" s="121"/>
      <c r="AK2265" s="121"/>
      <c r="AL2265" s="121"/>
      <c r="AM2265" s="122"/>
      <c r="AN2265" s="121"/>
    </row>
    <row r="2266" spans="1:40">
      <c r="A2266" s="71"/>
      <c r="B2266" s="72"/>
      <c r="C2266" s="71"/>
      <c r="D2266" s="72"/>
      <c r="E2266" s="71"/>
      <c r="F2266" s="72"/>
      <c r="G2266" s="77">
        <v>2000</v>
      </c>
      <c r="H2266" s="3"/>
      <c r="I2266" s="91">
        <v>-74.474573869783171</v>
      </c>
      <c r="J2266" s="92">
        <v>4.6867925459716435</v>
      </c>
      <c r="K2266" s="92">
        <v>13.368289247949521</v>
      </c>
      <c r="L2266" s="92">
        <v>6.2866672026239828E-2</v>
      </c>
      <c r="M2266" s="92">
        <v>-1.3247695848798384E-2</v>
      </c>
      <c r="N2266" s="92">
        <v>-0.3205925298536369</v>
      </c>
      <c r="O2266" s="92">
        <v>3.0934582581993992E-4</v>
      </c>
      <c r="P2266" s="92">
        <v>-1.5430020020694232E-4</v>
      </c>
      <c r="Q2266" s="92">
        <v>-1.3896720776157825E-4</v>
      </c>
      <c r="R2266" s="92">
        <v>2.3150750690048637E-3</v>
      </c>
      <c r="S2266" s="92">
        <v>-4.2015676918515923E-3</v>
      </c>
      <c r="T2266" s="92">
        <v>-0.63507346799614817</v>
      </c>
      <c r="U2266" s="92">
        <v>1.0325348577138271</v>
      </c>
      <c r="V2266" s="92">
        <v>-1.347107847646541E-2</v>
      </c>
      <c r="W2266" s="92">
        <v>2.6710836378821986E-2</v>
      </c>
      <c r="X2266" s="92">
        <v>-1.2799235960543281E-2</v>
      </c>
      <c r="Y2266" s="92">
        <v>-4.0399338509317085E-5</v>
      </c>
      <c r="Z2266" s="92">
        <v>2.3811523624397621E-4</v>
      </c>
      <c r="AA2266" s="92">
        <v>-9.3078210906586634E-5</v>
      </c>
      <c r="AB2266" s="92">
        <v>8.2762760166864424E-5</v>
      </c>
      <c r="AC2266" s="119">
        <v>9.9504958315331987E-2</v>
      </c>
      <c r="AD2266" s="119">
        <v>1.8892595279449256</v>
      </c>
      <c r="AE2266" s="120">
        <v>6.1555005783810658E-2</v>
      </c>
      <c r="AF2266" s="119">
        <v>8.4961352135500434E-2</v>
      </c>
      <c r="AG2266" s="119">
        <v>1.5180705666754075</v>
      </c>
      <c r="AH2266" s="120"/>
      <c r="AI2266" s="121"/>
      <c r="AJ2266" s="121"/>
      <c r="AK2266" s="121"/>
      <c r="AL2266" s="121"/>
      <c r="AM2266" s="122"/>
      <c r="AN2266" s="121"/>
    </row>
    <row r="2267" spans="1:40">
      <c r="A2267" s="71"/>
      <c r="B2267" s="72"/>
      <c r="C2267" s="71"/>
      <c r="D2267" s="72"/>
      <c r="E2267" s="71"/>
      <c r="F2267" s="72"/>
      <c r="G2267" s="77">
        <v>3000</v>
      </c>
      <c r="H2267" s="3"/>
      <c r="I2267" s="91">
        <v>-10.19687068828479</v>
      </c>
      <c r="J2267" s="92">
        <v>7.4532788704179138</v>
      </c>
      <c r="K2267" s="92">
        <v>12.469675628656109</v>
      </c>
      <c r="L2267" s="92">
        <v>9.3495206526795438E-2</v>
      </c>
      <c r="M2267" s="92">
        <v>-5.1412725588290013E-2</v>
      </c>
      <c r="N2267" s="92">
        <v>-0.31209966689091156</v>
      </c>
      <c r="O2267" s="92">
        <v>4.4450020881696612E-4</v>
      </c>
      <c r="P2267" s="92">
        <v>-2.8570977009184103E-4</v>
      </c>
      <c r="Q2267" s="92">
        <v>1.4268345137930633E-4</v>
      </c>
      <c r="R2267" s="92">
        <v>2.2853689859425571E-3</v>
      </c>
      <c r="S2267" s="92">
        <v>-4.1992494022588724E-3</v>
      </c>
      <c r="T2267" s="92">
        <v>-0.74462933067037307</v>
      </c>
      <c r="U2267" s="92">
        <v>1.6010193161359767</v>
      </c>
      <c r="V2267" s="92">
        <v>-1.5249448877197643E-2</v>
      </c>
      <c r="W2267" s="92">
        <v>3.9097187794872909E-2</v>
      </c>
      <c r="X2267" s="92">
        <v>-1.9536134117961901E-2</v>
      </c>
      <c r="Y2267" s="92">
        <v>-1.4819266118780831E-4</v>
      </c>
      <c r="Z2267" s="92">
        <v>1.906663919504365E-4</v>
      </c>
      <c r="AA2267" s="92">
        <v>-2.147504762733289E-4</v>
      </c>
      <c r="AB2267" s="92">
        <v>1.076010029243888E-4</v>
      </c>
      <c r="AC2267" s="119">
        <v>0.10265461361372449</v>
      </c>
      <c r="AD2267" s="119">
        <v>1.6984128711689768</v>
      </c>
      <c r="AE2267" s="120">
        <v>1.3603591139590674E-2</v>
      </c>
      <c r="AF2267" s="119">
        <v>5.2651122345898964E-2</v>
      </c>
      <c r="AG2267" s="119">
        <v>0.90476334179699236</v>
      </c>
      <c r="AH2267" s="120"/>
      <c r="AI2267" s="121"/>
      <c r="AJ2267" s="121"/>
      <c r="AK2267" s="121"/>
      <c r="AL2267" s="121"/>
      <c r="AM2267" s="122"/>
      <c r="AN2267" s="121"/>
    </row>
    <row r="2268" spans="1:40">
      <c r="A2268" s="71"/>
      <c r="B2268" s="72"/>
      <c r="C2268" s="71"/>
      <c r="D2268" s="72"/>
      <c r="E2268" s="71"/>
      <c r="F2268" s="72"/>
      <c r="G2268" s="77">
        <v>4000</v>
      </c>
      <c r="H2268" s="3"/>
      <c r="I2268" s="91">
        <v>-9.9232517015806199</v>
      </c>
      <c r="J2268" s="92">
        <v>8.6017937488610343</v>
      </c>
      <c r="K2268" s="92">
        <v>14.836156308059376</v>
      </c>
      <c r="L2268" s="92">
        <v>0.12568452188964699</v>
      </c>
      <c r="M2268" s="92">
        <v>-2.4423160210142777E-2</v>
      </c>
      <c r="N2268" s="92">
        <v>-0.36248058756392321</v>
      </c>
      <c r="O2268" s="92">
        <v>6.6702817211087455E-4</v>
      </c>
      <c r="P2268" s="92">
        <v>-3.5858835876469657E-4</v>
      </c>
      <c r="Q2268" s="92">
        <v>-2.4126118203673859E-4</v>
      </c>
      <c r="R2268" s="92">
        <v>2.6016255927870423E-3</v>
      </c>
      <c r="S2268" s="92">
        <v>-4.1933606548800618E-3</v>
      </c>
      <c r="T2268" s="92">
        <v>-0.10725402951845148</v>
      </c>
      <c r="U2268" s="92">
        <v>2.6545189541057201</v>
      </c>
      <c r="V2268" s="92">
        <v>4.6367455061818128E-4</v>
      </c>
      <c r="W2268" s="92">
        <v>3.2783240524689138E-2</v>
      </c>
      <c r="X2268" s="92">
        <v>-4.3783771508927864E-2</v>
      </c>
      <c r="Y2268" s="92">
        <v>2.7286725807790495E-4</v>
      </c>
      <c r="Z2268" s="92">
        <v>4.9954351671207219E-4</v>
      </c>
      <c r="AA2268" s="92">
        <v>2.2020121697238864E-5</v>
      </c>
      <c r="AB2268" s="92">
        <v>3.2182164066072767E-4</v>
      </c>
      <c r="AC2268" s="119">
        <v>4.5331032834501163E-2</v>
      </c>
      <c r="AD2268" s="119">
        <v>0.47058710362935269</v>
      </c>
      <c r="AE2268" s="120">
        <v>1.0325505672106607E-2</v>
      </c>
      <c r="AF2268" s="119">
        <v>3.0273870657515651E-2</v>
      </c>
      <c r="AG2268" s="119">
        <v>0.41494585393602323</v>
      </c>
      <c r="AH2268" s="120"/>
      <c r="AI2268" s="121"/>
      <c r="AJ2268" s="121"/>
      <c r="AK2268" s="121"/>
      <c r="AL2268" s="121"/>
      <c r="AM2268" s="122"/>
      <c r="AN2268" s="121"/>
    </row>
    <row r="2269" spans="1:40">
      <c r="A2269" s="71" t="s">
        <v>124</v>
      </c>
      <c r="B2269" s="72" t="s">
        <v>44</v>
      </c>
      <c r="C2269" s="71" t="s">
        <v>45</v>
      </c>
      <c r="D2269" s="72" t="s">
        <v>46</v>
      </c>
      <c r="E2269" s="71" t="s">
        <v>47</v>
      </c>
      <c r="F2269" s="72" t="s">
        <v>214</v>
      </c>
      <c r="G2269" s="77"/>
      <c r="H2269" s="72" t="str">
        <f>CONCATENATE(A2269," ",B2269," ",C2269," ",D2269," ",E2269," ",F2269)</f>
        <v>Secop Isobutane 50 Hz 230V VSD XV5KX</v>
      </c>
      <c r="I2269" s="91"/>
      <c r="J2269" s="92"/>
      <c r="K2269" s="92"/>
      <c r="L2269" s="92"/>
      <c r="M2269" s="92"/>
      <c r="N2269" s="92"/>
      <c r="O2269" s="92"/>
      <c r="P2269" s="92"/>
      <c r="Q2269" s="92"/>
      <c r="R2269" s="92"/>
      <c r="S2269" s="92"/>
      <c r="T2269" s="92"/>
      <c r="U2269" s="92"/>
      <c r="V2269" s="92"/>
      <c r="W2269" s="92"/>
      <c r="X2269" s="92"/>
      <c r="Y2269" s="92"/>
      <c r="Z2269" s="92"/>
      <c r="AA2269" s="92"/>
      <c r="AB2269" s="92"/>
      <c r="AC2269" s="119"/>
      <c r="AD2269" s="119"/>
      <c r="AE2269" s="120"/>
      <c r="AF2269" s="119"/>
      <c r="AG2269" s="119"/>
      <c r="AH2269" s="120"/>
      <c r="AI2269" s="121"/>
      <c r="AJ2269" s="121"/>
      <c r="AK2269" s="121"/>
      <c r="AL2269" s="121"/>
      <c r="AM2269" s="122"/>
      <c r="AN2269" s="121"/>
    </row>
    <row r="2270" spans="1:40">
      <c r="A2270" s="71"/>
      <c r="B2270" s="72"/>
      <c r="C2270" s="71"/>
      <c r="D2270" s="72"/>
      <c r="E2270" s="71"/>
      <c r="F2270" s="72"/>
      <c r="G2270" s="77">
        <v>1000</v>
      </c>
      <c r="H2270" s="3"/>
      <c r="I2270" s="91">
        <v>-10.579616201798784</v>
      </c>
      <c r="J2270" s="92">
        <v>4.1119631112338579</v>
      </c>
      <c r="K2270" s="92">
        <v>7.9993206943385076</v>
      </c>
      <c r="L2270" s="92">
        <v>5.8496411633094124E-2</v>
      </c>
      <c r="M2270" s="92">
        <v>-8.2982858049792021E-3</v>
      </c>
      <c r="N2270" s="92">
        <v>-0.19503077376355743</v>
      </c>
      <c r="O2270" s="92">
        <v>2.2895809841194108E-4</v>
      </c>
      <c r="P2270" s="92">
        <v>-3.09700103303772E-4</v>
      </c>
      <c r="Q2270" s="92">
        <v>-2.3723367720933437E-4</v>
      </c>
      <c r="R2270" s="92">
        <v>1.3676242451187042E-3</v>
      </c>
      <c r="S2270" s="92">
        <v>-4.2037994928856189E-3</v>
      </c>
      <c r="T2270" s="92">
        <v>-0.73068172642980878</v>
      </c>
      <c r="U2270" s="92">
        <v>0.65465562585783066</v>
      </c>
      <c r="V2270" s="92">
        <v>-1.4510551816660859E-2</v>
      </c>
      <c r="W2270" s="92">
        <v>2.7817564423157023E-2</v>
      </c>
      <c r="X2270" s="92">
        <v>-2.8973200157955139E-3</v>
      </c>
      <c r="Y2270" s="92">
        <v>-1.4078623134205213E-4</v>
      </c>
      <c r="Z2270" s="92">
        <v>1.2823622941624883E-4</v>
      </c>
      <c r="AA2270" s="92">
        <v>-1.309137634158244E-4</v>
      </c>
      <c r="AB2270" s="92">
        <v>-1.0227211582915208E-7</v>
      </c>
      <c r="AC2270" s="119">
        <v>7.4328372711099155E-2</v>
      </c>
      <c r="AD2270" s="119">
        <v>1.3777114964167145</v>
      </c>
      <c r="AE2270" s="120">
        <v>2.0300662131450053E-2</v>
      </c>
      <c r="AF2270" s="119">
        <v>5.4158750178778359E-2</v>
      </c>
      <c r="AG2270" s="119">
        <v>1.5217222268764596</v>
      </c>
      <c r="AH2270" s="120"/>
      <c r="AI2270" s="121"/>
      <c r="AJ2270" s="121"/>
      <c r="AK2270" s="121"/>
      <c r="AL2270" s="121"/>
      <c r="AM2270" s="122"/>
      <c r="AN2270" s="121"/>
    </row>
    <row r="2271" spans="1:40">
      <c r="A2271" s="71"/>
      <c r="B2271" s="72"/>
      <c r="C2271" s="71"/>
      <c r="D2271" s="72"/>
      <c r="E2271" s="71"/>
      <c r="F2271" s="72"/>
      <c r="G2271" s="77">
        <v>1200</v>
      </c>
      <c r="H2271" s="3"/>
      <c r="I2271" s="91">
        <v>-10.023316681551744</v>
      </c>
      <c r="J2271" s="92">
        <v>5.0655432712129578</v>
      </c>
      <c r="K2271" s="92">
        <v>9.493939327324707</v>
      </c>
      <c r="L2271" s="92">
        <v>6.6723432995181006E-2</v>
      </c>
      <c r="M2271" s="92">
        <v>-2.0752795620859656E-2</v>
      </c>
      <c r="N2271" s="92">
        <v>-0.23482962933130694</v>
      </c>
      <c r="O2271" s="92">
        <v>3.0978063450114748E-4</v>
      </c>
      <c r="P2271" s="92">
        <v>-2.500797300329815E-4</v>
      </c>
      <c r="Q2271" s="92">
        <v>-1.0872811536563402E-4</v>
      </c>
      <c r="R2271" s="92">
        <v>1.6837192437257104E-3</v>
      </c>
      <c r="S2271" s="92">
        <v>-4.2011861827692563E-3</v>
      </c>
      <c r="T2271" s="92">
        <v>-0.82799678974600222</v>
      </c>
      <c r="U2271" s="92">
        <v>0.77708008583473398</v>
      </c>
      <c r="V2271" s="92">
        <v>-1.2479883233534524E-2</v>
      </c>
      <c r="W2271" s="92">
        <v>3.3568328938722553E-2</v>
      </c>
      <c r="X2271" s="92">
        <v>-3.5756562471868408E-3</v>
      </c>
      <c r="Y2271" s="92">
        <v>-9.1255224813252263E-5</v>
      </c>
      <c r="Z2271" s="92">
        <v>1.1784833900652741E-4</v>
      </c>
      <c r="AA2271" s="92">
        <v>-1.7848285661858544E-4</v>
      </c>
      <c r="AB2271" s="92">
        <v>1.9793792463795063E-6</v>
      </c>
      <c r="AC2271" s="119">
        <v>7.5301553417740433E-2</v>
      </c>
      <c r="AD2271" s="119">
        <v>1.6745307284076218</v>
      </c>
      <c r="AE2271" s="120">
        <v>3.9443504388195549E-2</v>
      </c>
      <c r="AF2271" s="119">
        <v>4.2789013669225127E-2</v>
      </c>
      <c r="AG2271" s="119">
        <v>0.7906857495750621</v>
      </c>
      <c r="AH2271" s="120"/>
      <c r="AI2271" s="121"/>
      <c r="AJ2271" s="121"/>
      <c r="AK2271" s="121"/>
      <c r="AL2271" s="121"/>
      <c r="AM2271" s="122"/>
      <c r="AN2271" s="121"/>
    </row>
    <row r="2272" spans="1:40">
      <c r="A2272" s="71"/>
      <c r="B2272" s="72"/>
      <c r="C2272" s="71"/>
      <c r="D2272" s="72"/>
      <c r="E2272" s="71"/>
      <c r="F2272" s="72"/>
      <c r="G2272" s="77">
        <v>1400</v>
      </c>
      <c r="H2272" s="3"/>
      <c r="I2272" s="91">
        <v>-9.7436321998606505</v>
      </c>
      <c r="J2272" s="92">
        <v>5.870705539390916</v>
      </c>
      <c r="K2272" s="92">
        <v>10.792560018020321</v>
      </c>
      <c r="L2272" s="92">
        <v>8.2537977568756568E-2</v>
      </c>
      <c r="M2272" s="92">
        <v>-2.1158380470011902E-2</v>
      </c>
      <c r="N2272" s="92">
        <v>-0.26574179954504124</v>
      </c>
      <c r="O2272" s="92">
        <v>3.7712169119710867E-4</v>
      </c>
      <c r="P2272" s="92">
        <v>-3.5716494685591354E-4</v>
      </c>
      <c r="Q2272" s="92">
        <v>-1.6570932746253831E-4</v>
      </c>
      <c r="R2272" s="92">
        <v>1.9006798437698918E-3</v>
      </c>
      <c r="S2272" s="92">
        <v>-4.1871881983730321E-3</v>
      </c>
      <c r="T2272" s="92">
        <v>-0.59938646955876451</v>
      </c>
      <c r="U2272" s="92">
        <v>0.95027169674654322</v>
      </c>
      <c r="V2272" s="92">
        <v>-1.3634608024737073E-2</v>
      </c>
      <c r="W2272" s="92">
        <v>2.5811013430269564E-2</v>
      </c>
      <c r="X2272" s="92">
        <v>-4.9809845527495466E-3</v>
      </c>
      <c r="Y2272" s="92">
        <v>-1.1445394760545305E-4</v>
      </c>
      <c r="Z2272" s="92">
        <v>1.4300305863203708E-4</v>
      </c>
      <c r="AA2272" s="92">
        <v>-7.2438581493868912E-5</v>
      </c>
      <c r="AB2272" s="92">
        <v>-3.1387447192140642E-7</v>
      </c>
      <c r="AC2272" s="119">
        <v>8.3850257973847472E-2</v>
      </c>
      <c r="AD2272" s="119">
        <v>1.6475533347970139</v>
      </c>
      <c r="AE2272" s="120">
        <v>2.8396657245739476E-2</v>
      </c>
      <c r="AF2272" s="119">
        <v>9.2378521991729926E-2</v>
      </c>
      <c r="AG2272" s="119">
        <v>1.7243962483460742</v>
      </c>
      <c r="AH2272" s="120"/>
      <c r="AI2272" s="121"/>
      <c r="AJ2272" s="121"/>
      <c r="AK2272" s="121"/>
      <c r="AL2272" s="121"/>
      <c r="AM2272" s="122"/>
      <c r="AN2272" s="121"/>
    </row>
    <row r="2273" spans="1:40">
      <c r="A2273" s="71"/>
      <c r="B2273" s="72"/>
      <c r="C2273" s="71"/>
      <c r="D2273" s="72"/>
      <c r="E2273" s="71"/>
      <c r="F2273" s="72"/>
      <c r="G2273" s="77">
        <v>1600</v>
      </c>
      <c r="H2273" s="3"/>
      <c r="I2273" s="91">
        <v>-9.4774962420906039</v>
      </c>
      <c r="J2273" s="92">
        <v>6.876354424816701</v>
      </c>
      <c r="K2273" s="92">
        <v>12.313298985366535</v>
      </c>
      <c r="L2273" s="92">
        <v>9.3677564170869407E-2</v>
      </c>
      <c r="M2273" s="92">
        <v>-3.346418311544553E-2</v>
      </c>
      <c r="N2273" s="92">
        <v>-0.3068285955522953</v>
      </c>
      <c r="O2273" s="92">
        <v>4.0403505717870059E-4</v>
      </c>
      <c r="P2273" s="92">
        <v>-4.6396144088732723E-4</v>
      </c>
      <c r="Q2273" s="92">
        <v>-1.1678398207514638E-4</v>
      </c>
      <c r="R2273" s="92">
        <v>2.2252547646744994E-3</v>
      </c>
      <c r="S2273" s="92">
        <v>-4.1863207260838288E-3</v>
      </c>
      <c r="T2273" s="92">
        <v>-0.9783900290740809</v>
      </c>
      <c r="U2273" s="92">
        <v>1.1151248969601373</v>
      </c>
      <c r="V2273" s="92">
        <v>-2.3315883255557883E-2</v>
      </c>
      <c r="W2273" s="92">
        <v>3.8993476108428932E-2</v>
      </c>
      <c r="X2273" s="92">
        <v>-6.7531725600081891E-3</v>
      </c>
      <c r="Y2273" s="92">
        <v>-2.4911852915976434E-4</v>
      </c>
      <c r="Z2273" s="92">
        <v>1.9045908809936691E-4</v>
      </c>
      <c r="AA2273" s="92">
        <v>-1.8988813094602958E-4</v>
      </c>
      <c r="AB2273" s="92">
        <v>6.9059762851448798E-6</v>
      </c>
      <c r="AC2273" s="119">
        <v>7.530769766162787E-2</v>
      </c>
      <c r="AD2273" s="119">
        <v>1.4442864936503257</v>
      </c>
      <c r="AE2273" s="120">
        <v>1.3126633813985537E-2</v>
      </c>
      <c r="AF2273" s="119">
        <v>6.5046326126502643E-2</v>
      </c>
      <c r="AG2273" s="119">
        <v>1.0036103254559068</v>
      </c>
      <c r="AH2273" s="120"/>
      <c r="AI2273" s="121"/>
      <c r="AJ2273" s="121"/>
      <c r="AK2273" s="121"/>
      <c r="AL2273" s="121"/>
      <c r="AM2273" s="122"/>
      <c r="AN2273" s="121"/>
    </row>
    <row r="2274" spans="1:40">
      <c r="A2274" s="71"/>
      <c r="B2274" s="72"/>
      <c r="C2274" s="71"/>
      <c r="D2274" s="72"/>
      <c r="E2274" s="71"/>
      <c r="F2274" s="72"/>
      <c r="G2274" s="77">
        <v>1800</v>
      </c>
      <c r="H2274" s="3"/>
      <c r="I2274" s="91">
        <v>-9.2676928270668597</v>
      </c>
      <c r="J2274" s="92">
        <v>8.3668770166934117</v>
      </c>
      <c r="K2274" s="92">
        <v>13.946445020365349</v>
      </c>
      <c r="L2274" s="92">
        <v>0.11268378490520502</v>
      </c>
      <c r="M2274" s="92">
        <v>-6.201572802163989E-2</v>
      </c>
      <c r="N2274" s="92">
        <v>-0.35334485608895905</v>
      </c>
      <c r="O2274" s="92">
        <v>5.454547142131203E-4</v>
      </c>
      <c r="P2274" s="92">
        <v>-5.7142428457933824E-4</v>
      </c>
      <c r="Q2274" s="92">
        <v>1.1763475245871626E-4</v>
      </c>
      <c r="R2274" s="92">
        <v>2.6141033880758219E-3</v>
      </c>
      <c r="S2274" s="92">
        <v>-4.1860900911995704E-3</v>
      </c>
      <c r="T2274" s="92">
        <v>-0.95373556504975376</v>
      </c>
      <c r="U2274" s="92">
        <v>1.2503751445571611</v>
      </c>
      <c r="V2274" s="92">
        <v>-2.1833677808735599E-2</v>
      </c>
      <c r="W2274" s="92">
        <v>4.1557475731928806E-2</v>
      </c>
      <c r="X2274" s="92">
        <v>-6.918744618597145E-3</v>
      </c>
      <c r="Y2274" s="92">
        <v>-2.2982689183573211E-4</v>
      </c>
      <c r="Z2274" s="92">
        <v>2.0426705650742027E-4</v>
      </c>
      <c r="AA2274" s="92">
        <v>-1.9322094986136618E-4</v>
      </c>
      <c r="AB2274" s="92">
        <v>-1.971584755120497E-6</v>
      </c>
      <c r="AC2274" s="119">
        <v>7.7817491323776758E-2</v>
      </c>
      <c r="AD2274" s="119">
        <v>1.7337802391301818</v>
      </c>
      <c r="AE2274" s="120">
        <v>1.6314968262115655E-2</v>
      </c>
      <c r="AF2274" s="119">
        <v>7.6783836910819483E-2</v>
      </c>
      <c r="AG2274" s="119">
        <v>1.775270086951791</v>
      </c>
      <c r="AH2274" s="120"/>
      <c r="AI2274" s="121"/>
      <c r="AJ2274" s="121"/>
      <c r="AK2274" s="121"/>
      <c r="AL2274" s="121"/>
      <c r="AM2274" s="122"/>
      <c r="AN2274" s="121"/>
    </row>
    <row r="2275" spans="1:40">
      <c r="A2275" s="71"/>
      <c r="B2275" s="72"/>
      <c r="C2275" s="71"/>
      <c r="D2275" s="72"/>
      <c r="E2275" s="71"/>
      <c r="F2275" s="72"/>
      <c r="G2275" s="77">
        <v>2000</v>
      </c>
      <c r="H2275" s="3"/>
      <c r="I2275" s="91">
        <v>-9.1710274349276464</v>
      </c>
      <c r="J2275" s="92">
        <v>8.7599218803398387</v>
      </c>
      <c r="K2275" s="92">
        <v>15.14788000467237</v>
      </c>
      <c r="L2275" s="92">
        <v>0.1160967038973757</v>
      </c>
      <c r="M2275" s="92">
        <v>-5.3095234811396733E-2</v>
      </c>
      <c r="N2275" s="92">
        <v>-0.38146882613943139</v>
      </c>
      <c r="O2275" s="92">
        <v>5.4545448149938888E-4</v>
      </c>
      <c r="P2275" s="92">
        <v>-5.2380945742630254E-4</v>
      </c>
      <c r="Q2275" s="92">
        <v>1.3686260414543538E-11</v>
      </c>
      <c r="R2275" s="92">
        <v>2.807176367073505E-3</v>
      </c>
      <c r="S2275" s="92">
        <v>-4.1713382791580371E-3</v>
      </c>
      <c r="T2275" s="92">
        <v>-0.51051943243463038</v>
      </c>
      <c r="U2275" s="92">
        <v>1.6489620446782731</v>
      </c>
      <c r="V2275" s="92">
        <v>-2.0624238414900593E-2</v>
      </c>
      <c r="W2275" s="92">
        <v>2.0119125801166041E-2</v>
      </c>
      <c r="X2275" s="92">
        <v>-2.0149129328958796E-2</v>
      </c>
      <c r="Y2275" s="92">
        <v>-2.0204595693930627E-5</v>
      </c>
      <c r="Z2275" s="92">
        <v>4.0476201970087784E-4</v>
      </c>
      <c r="AA2275" s="92">
        <v>1.4285631704534298E-4</v>
      </c>
      <c r="AB2275" s="92">
        <v>1.3999346004303124E-4</v>
      </c>
      <c r="AC2275" s="119">
        <v>2.886921254134946E-2</v>
      </c>
      <c r="AD2275" s="119">
        <v>0.89249639360841337</v>
      </c>
      <c r="AE2275" s="120">
        <v>1.3415047440044958E-2</v>
      </c>
      <c r="AF2275" s="119">
        <v>4.8731818601884587E-2</v>
      </c>
      <c r="AG2275" s="119">
        <v>0.96284271303272062</v>
      </c>
      <c r="AH2275" s="120"/>
      <c r="AI2275" s="121"/>
      <c r="AJ2275" s="121"/>
      <c r="AK2275" s="121"/>
      <c r="AL2275" s="121"/>
      <c r="AM2275" s="122"/>
      <c r="AN2275" s="121"/>
    </row>
    <row r="2276" spans="1:40">
      <c r="A2276" s="71"/>
      <c r="B2276" s="72"/>
      <c r="C2276" s="71"/>
      <c r="D2276" s="72"/>
      <c r="E2276" s="71"/>
      <c r="F2276" s="72"/>
      <c r="G2276" s="77">
        <v>3000</v>
      </c>
      <c r="H2276" s="3"/>
      <c r="I2276" s="91">
        <v>-8.7718173443827432</v>
      </c>
      <c r="J2276" s="92">
        <v>12.497541300180217</v>
      </c>
      <c r="K2276" s="92">
        <v>21.166188355814509</v>
      </c>
      <c r="L2276" s="92">
        <v>0.16690326966511859</v>
      </c>
      <c r="M2276" s="92">
        <v>-6.5730849997573962E-2</v>
      </c>
      <c r="N2276" s="92">
        <v>-0.52793061602024816</v>
      </c>
      <c r="O2276" s="92">
        <v>6.6666602463685864E-4</v>
      </c>
      <c r="P2276" s="92">
        <v>-8.0949012213642852E-4</v>
      </c>
      <c r="Q2276" s="92">
        <v>-1.4530832701189429E-4</v>
      </c>
      <c r="R2276" s="92">
        <v>3.857327356664335E-3</v>
      </c>
      <c r="S2276" s="92">
        <v>-4.1673881844921917E-3</v>
      </c>
      <c r="T2276" s="92">
        <v>-0.24723919243325815</v>
      </c>
      <c r="U2276" s="92">
        <v>2.9219755369016269</v>
      </c>
      <c r="V2276" s="92">
        <v>-2.6954749077180238E-2</v>
      </c>
      <c r="W2276" s="92">
        <v>1.9872775229229905E-2</v>
      </c>
      <c r="X2276" s="92">
        <v>-4.5621198293107845E-2</v>
      </c>
      <c r="Y2276" s="92">
        <v>-2.2139584570911907E-4</v>
      </c>
      <c r="Z2276" s="92">
        <v>3.5672559408352105E-4</v>
      </c>
      <c r="AA2276" s="92">
        <v>1.7979097146079786E-4</v>
      </c>
      <c r="AB2276" s="92">
        <v>3.3282909960255676E-4</v>
      </c>
      <c r="AC2276" s="119">
        <v>8.2630025905900531E-2</v>
      </c>
      <c r="AD2276" s="119">
        <v>1.2619328493850326</v>
      </c>
      <c r="AE2276" s="120">
        <v>7.4155825528657866E-3</v>
      </c>
      <c r="AF2276" s="119">
        <v>6.8655227207663816E-2</v>
      </c>
      <c r="AG2276" s="119">
        <v>1.5178730090740236</v>
      </c>
      <c r="AH2276" s="120"/>
      <c r="AI2276" s="121"/>
      <c r="AJ2276" s="121"/>
      <c r="AK2276" s="121"/>
      <c r="AL2276" s="121"/>
      <c r="AM2276" s="122"/>
      <c r="AN2276" s="121"/>
    </row>
    <row r="2277" spans="1:40">
      <c r="A2277" s="71"/>
      <c r="B2277" s="72"/>
      <c r="C2277" s="71"/>
      <c r="D2277" s="72"/>
      <c r="E2277" s="71"/>
      <c r="F2277" s="72"/>
      <c r="G2277" s="77">
        <v>4000</v>
      </c>
      <c r="H2277" s="3"/>
      <c r="I2277" s="91">
        <v>79.919591614274111</v>
      </c>
      <c r="J2277" s="92">
        <v>15.936870908221731</v>
      </c>
      <c r="K2277" s="92">
        <v>20.468372942759</v>
      </c>
      <c r="L2277" s="92">
        <v>0.21904774788767614</v>
      </c>
      <c r="M2277" s="92">
        <v>-7.3219793238237713E-2</v>
      </c>
      <c r="N2277" s="92">
        <v>-0.5211180026458998</v>
      </c>
      <c r="O2277" s="92">
        <v>1.0123446235673465E-3</v>
      </c>
      <c r="P2277" s="92">
        <v>-8.571468122388835E-4</v>
      </c>
      <c r="Q2277" s="92">
        <v>-2.2454353689687262E-4</v>
      </c>
      <c r="R2277" s="92">
        <v>3.7856732083937522E-3</v>
      </c>
      <c r="S2277" s="92">
        <v>-4.1592655270786564E-3</v>
      </c>
      <c r="T2277" s="92">
        <v>-0.5879372156692384</v>
      </c>
      <c r="U2277" s="92">
        <v>3.9058924214666191</v>
      </c>
      <c r="V2277" s="92">
        <v>-1.326470763663417E-2</v>
      </c>
      <c r="W2277" s="92">
        <v>6.2299756650650573E-2</v>
      </c>
      <c r="X2277" s="92">
        <v>-5.4708996054604275E-2</v>
      </c>
      <c r="Y2277" s="92">
        <v>-1.4811225417853325E-4</v>
      </c>
      <c r="Z2277" s="92">
        <v>1.7842519610346838E-4</v>
      </c>
      <c r="AA2277" s="92">
        <v>-3.1411874102434459E-4</v>
      </c>
      <c r="AB2277" s="92">
        <v>3.2203509948458195E-4</v>
      </c>
      <c r="AC2277" s="119">
        <v>3.7283656932269676E-2</v>
      </c>
      <c r="AD2277" s="119">
        <v>0.45137007180745065</v>
      </c>
      <c r="AE2277" s="120">
        <v>7.9143172944100108E-3</v>
      </c>
      <c r="AF2277" s="119">
        <v>3.030561561694587E-2</v>
      </c>
      <c r="AG2277" s="119">
        <v>0.54007955141556208</v>
      </c>
      <c r="AH2277" s="120"/>
      <c r="AI2277" s="121"/>
      <c r="AJ2277" s="121"/>
      <c r="AK2277" s="121"/>
      <c r="AL2277" s="121"/>
      <c r="AM2277" s="122"/>
      <c r="AN2277" s="121"/>
    </row>
    <row r="2278" spans="1:40">
      <c r="A2278" s="71" t="s">
        <v>124</v>
      </c>
      <c r="B2278" s="72" t="s">
        <v>44</v>
      </c>
      <c r="C2278" s="71" t="s">
        <v>45</v>
      </c>
      <c r="D2278" s="72" t="s">
        <v>46</v>
      </c>
      <c r="E2278" s="71" t="s">
        <v>47</v>
      </c>
      <c r="F2278" s="72" t="s">
        <v>216</v>
      </c>
      <c r="G2278" s="77"/>
      <c r="H2278" s="72" t="str">
        <f>CONCATENATE(A2278," ",B2278," ",C2278," ",D2278," ",E2278," ",F2278)</f>
        <v>Secop Isobutane 50 Hz 230V VSD XV7.2KX</v>
      </c>
      <c r="I2278" s="91"/>
      <c r="J2278" s="92"/>
      <c r="K2278" s="92"/>
      <c r="L2278" s="92"/>
      <c r="M2278" s="92"/>
      <c r="N2278" s="92"/>
      <c r="O2278" s="92"/>
      <c r="P2278" s="92"/>
      <c r="Q2278" s="92"/>
      <c r="R2278" s="92"/>
      <c r="S2278" s="92"/>
      <c r="T2278" s="92"/>
      <c r="U2278" s="92"/>
      <c r="V2278" s="92"/>
      <c r="W2278" s="92"/>
      <c r="X2278" s="92"/>
      <c r="Y2278" s="92"/>
      <c r="Z2278" s="92"/>
      <c r="AA2278" s="92"/>
      <c r="AB2278" s="92"/>
      <c r="AC2278" s="119"/>
      <c r="AD2278" s="119"/>
      <c r="AE2278" s="120"/>
      <c r="AF2278" s="119"/>
      <c r="AG2278" s="119"/>
      <c r="AH2278" s="120"/>
      <c r="AI2278" s="121"/>
      <c r="AJ2278" s="121"/>
      <c r="AK2278" s="121"/>
      <c r="AL2278" s="121"/>
      <c r="AM2278" s="122"/>
      <c r="AN2278" s="121"/>
    </row>
    <row r="2279" spans="1:40">
      <c r="A2279" s="71"/>
      <c r="B2279" s="72"/>
      <c r="C2279" s="71"/>
      <c r="D2279" s="72"/>
      <c r="E2279" s="71"/>
      <c r="F2279" s="72"/>
      <c r="G2279" s="77">
        <v>1000</v>
      </c>
      <c r="H2279" s="3"/>
      <c r="I2279" s="91">
        <v>274.76390477545817</v>
      </c>
      <c r="J2279" s="92">
        <v>6.5858725010794368</v>
      </c>
      <c r="K2279" s="92">
        <v>-7.7699052145901719</v>
      </c>
      <c r="L2279" s="92">
        <v>8.5021671423482562E-2</v>
      </c>
      <c r="M2279" s="92">
        <v>-4.215712886586015E-2</v>
      </c>
      <c r="N2279" s="92">
        <v>0.14308991430033244</v>
      </c>
      <c r="O2279" s="92">
        <v>3.8366085876443751E-4</v>
      </c>
      <c r="P2279" s="92">
        <v>-3.923871824208007E-4</v>
      </c>
      <c r="Q2279" s="92">
        <v>1.819323179922871E-5</v>
      </c>
      <c r="R2279" s="92">
        <v>-1.0529332667430845E-3</v>
      </c>
      <c r="S2279" s="92">
        <v>9.0264843353436106</v>
      </c>
      <c r="T2279" s="92">
        <v>-0.5071976143530379</v>
      </c>
      <c r="U2279" s="92">
        <v>0.46377320551553963</v>
      </c>
      <c r="V2279" s="92">
        <v>-1.0426539907505585E-2</v>
      </c>
      <c r="W2279" s="92">
        <v>2.2315617066987512E-2</v>
      </c>
      <c r="X2279" s="92">
        <v>5.2053820213825187E-3</v>
      </c>
      <c r="Y2279" s="92">
        <v>1.485924286787401E-6</v>
      </c>
      <c r="Z2279" s="92">
        <v>1.6607760119101368E-4</v>
      </c>
      <c r="AA2279" s="92">
        <v>3.2615039377923398E-7</v>
      </c>
      <c r="AB2279" s="92">
        <v>-5.719714282363929E-5</v>
      </c>
      <c r="AC2279" s="119">
        <v>5.3754340416780927E-2</v>
      </c>
      <c r="AD2279" s="119">
        <v>1.0954303090581343</v>
      </c>
      <c r="AE2279" s="120">
        <v>1.9952874470831716E-2</v>
      </c>
      <c r="AF2279" s="119">
        <v>5.823493437622311E-2</v>
      </c>
      <c r="AG2279" s="119">
        <v>1.2046596177679258</v>
      </c>
      <c r="AH2279" s="120"/>
      <c r="AI2279" s="121"/>
      <c r="AJ2279" s="121"/>
      <c r="AK2279" s="121"/>
      <c r="AL2279" s="121"/>
      <c r="AM2279" s="122"/>
      <c r="AN2279" s="121"/>
    </row>
    <row r="2280" spans="1:40">
      <c r="A2280" s="71"/>
      <c r="B2280" s="72"/>
      <c r="C2280" s="71"/>
      <c r="D2280" s="72"/>
      <c r="E2280" s="71"/>
      <c r="F2280" s="72"/>
      <c r="G2280" s="77">
        <v>1200</v>
      </c>
      <c r="H2280" s="3"/>
      <c r="I2280" s="91">
        <v>300.13429733926898</v>
      </c>
      <c r="J2280" s="92">
        <v>7.8649744758940985</v>
      </c>
      <c r="K2280" s="92">
        <v>-7.6169944373192031</v>
      </c>
      <c r="L2280" s="92">
        <v>0.10749467234221222</v>
      </c>
      <c r="M2280" s="92">
        <v>-4.7148548527436794E-2</v>
      </c>
      <c r="N2280" s="92">
        <v>0.13950059423456265</v>
      </c>
      <c r="O2280" s="92">
        <v>5.2524793073814178E-4</v>
      </c>
      <c r="P2280" s="92">
        <v>-5.2377673556785076E-4</v>
      </c>
      <c r="Q2280" s="92">
        <v>-2.3733357672182251E-5</v>
      </c>
      <c r="R2280" s="92">
        <v>-1.0641921264034036E-3</v>
      </c>
      <c r="S2280" s="92">
        <v>8.9984666344999393</v>
      </c>
      <c r="T2280" s="92">
        <v>-0.81054022373506684</v>
      </c>
      <c r="U2280" s="92">
        <v>0.64745953538094436</v>
      </c>
      <c r="V2280" s="92">
        <v>-1.8443343410019929E-2</v>
      </c>
      <c r="W2280" s="92">
        <v>3.3748104341732914E-2</v>
      </c>
      <c r="X2280" s="92">
        <v>5.1232580918070519E-3</v>
      </c>
      <c r="Y2280" s="92">
        <v>-1.2794665021481351E-4</v>
      </c>
      <c r="Z2280" s="92">
        <v>2.0237992569760178E-4</v>
      </c>
      <c r="AA2280" s="92">
        <v>-8.3312699565487846E-5</v>
      </c>
      <c r="AB2280" s="92">
        <v>-7.1897921978753888E-5</v>
      </c>
      <c r="AC2280" s="119">
        <v>7.87853605474928E-2</v>
      </c>
      <c r="AD2280" s="119">
        <v>1.9531025169385783</v>
      </c>
      <c r="AE2280" s="120">
        <v>1.1436495992396779E-2</v>
      </c>
      <c r="AF2280" s="119">
        <v>5.8195554773174694E-2</v>
      </c>
      <c r="AG2280" s="119">
        <v>1.1305014460194214</v>
      </c>
      <c r="AH2280" s="120"/>
      <c r="AI2280" s="121"/>
      <c r="AJ2280" s="121"/>
      <c r="AK2280" s="121"/>
      <c r="AL2280" s="121"/>
      <c r="AM2280" s="122"/>
      <c r="AN2280" s="121"/>
    </row>
    <row r="2281" spans="1:40">
      <c r="A2281" s="71"/>
      <c r="B2281" s="72"/>
      <c r="C2281" s="71"/>
      <c r="D2281" s="72"/>
      <c r="E2281" s="71"/>
      <c r="F2281" s="72"/>
      <c r="G2281" s="77">
        <v>1400</v>
      </c>
      <c r="H2281" s="3"/>
      <c r="I2281" s="91">
        <v>331.07898133756447</v>
      </c>
      <c r="J2281" s="92">
        <v>8.945410383580704</v>
      </c>
      <c r="K2281" s="92">
        <v>-7.7184174249281217</v>
      </c>
      <c r="L2281" s="92">
        <v>0.11540234813855685</v>
      </c>
      <c r="M2281" s="92">
        <v>-5.3326526680536467E-2</v>
      </c>
      <c r="N2281" s="92">
        <v>0.13666178293039477</v>
      </c>
      <c r="O2281" s="92">
        <v>4.3291619589861942E-4</v>
      </c>
      <c r="P2281" s="92">
        <v>-5.9512241459264256E-4</v>
      </c>
      <c r="Q2281" s="92">
        <v>-2.3959727713981589E-5</v>
      </c>
      <c r="R2281" s="92">
        <v>-1.0405294319622816E-3</v>
      </c>
      <c r="S2281" s="92">
        <v>13.345360987847849</v>
      </c>
      <c r="T2281" s="92">
        <v>-0.62921790121164345</v>
      </c>
      <c r="U2281" s="92">
        <v>0.72059100494671247</v>
      </c>
      <c r="V2281" s="92">
        <v>-1.7064411375676502E-2</v>
      </c>
      <c r="W2281" s="92">
        <v>3.0623674229416337E-2</v>
      </c>
      <c r="X2281" s="92">
        <v>4.6428676244700262E-3</v>
      </c>
      <c r="Y2281" s="92">
        <v>-7.1558901790556612E-5</v>
      </c>
      <c r="Z2281" s="92">
        <v>2.4162926048678797E-4</v>
      </c>
      <c r="AA2281" s="92">
        <v>-3.0187457403961293E-5</v>
      </c>
      <c r="AB2281" s="92">
        <v>-6.8411638003243707E-5</v>
      </c>
      <c r="AC2281" s="119">
        <v>3.9661804230401138E-2</v>
      </c>
      <c r="AD2281" s="119">
        <v>1.5648799087446295</v>
      </c>
      <c r="AE2281" s="120">
        <v>1.5409518997147003E-2</v>
      </c>
      <c r="AF2281" s="119">
        <v>6.9961473995860321E-2</v>
      </c>
      <c r="AG2281" s="119">
        <v>2.7469396923395095</v>
      </c>
      <c r="AH2281" s="120"/>
      <c r="AI2281" s="121"/>
      <c r="AJ2281" s="121"/>
      <c r="AK2281" s="121"/>
      <c r="AL2281" s="121"/>
      <c r="AM2281" s="122"/>
      <c r="AN2281" s="121"/>
    </row>
    <row r="2282" spans="1:40">
      <c r="A2282" s="71"/>
      <c r="B2282" s="72"/>
      <c r="C2282" s="71"/>
      <c r="D2282" s="72"/>
      <c r="E2282" s="71"/>
      <c r="F2282" s="72"/>
      <c r="G2282" s="77">
        <v>1600</v>
      </c>
      <c r="H2282" s="3"/>
      <c r="I2282" s="91">
        <v>363.66277872498961</v>
      </c>
      <c r="J2282" s="92">
        <v>10.032558545321443</v>
      </c>
      <c r="K2282" s="92">
        <v>-7.845477236319363</v>
      </c>
      <c r="L2282" s="92">
        <v>0.1279732216719302</v>
      </c>
      <c r="M2282" s="92">
        <v>-5.6074126212685871E-2</v>
      </c>
      <c r="N2282" s="92">
        <v>0.13356700905100138</v>
      </c>
      <c r="O2282" s="92">
        <v>5.3888347864132946E-4</v>
      </c>
      <c r="P2282" s="92">
        <v>-5.7141320405330138E-4</v>
      </c>
      <c r="Q2282" s="92">
        <v>-5.4187903141728295E-5</v>
      </c>
      <c r="R2282" s="92">
        <v>-1.0149313334634619E-3</v>
      </c>
      <c r="S2282" s="92">
        <v>18.283354136390454</v>
      </c>
      <c r="T2282" s="92">
        <v>-0.56908734125900906</v>
      </c>
      <c r="U2282" s="92">
        <v>0.75880613512258055</v>
      </c>
      <c r="V2282" s="92">
        <v>-1.6908394666709192E-2</v>
      </c>
      <c r="W2282" s="92">
        <v>3.0383157834992819E-2</v>
      </c>
      <c r="X2282" s="92">
        <v>4.4750296502330412E-3</v>
      </c>
      <c r="Y2282" s="92">
        <v>-6.734021757744837E-5</v>
      </c>
      <c r="Z2282" s="92">
        <v>2.6190493430924659E-4</v>
      </c>
      <c r="AA2282" s="92">
        <v>2.3521015339354269E-5</v>
      </c>
      <c r="AB2282" s="92">
        <v>-5.7877190748656103E-5</v>
      </c>
      <c r="AC2282" s="119">
        <v>6.4602073223187895E-2</v>
      </c>
      <c r="AD2282" s="119">
        <v>1.6611473804014538</v>
      </c>
      <c r="AE2282" s="120">
        <v>7.0133422385225686E-3</v>
      </c>
      <c r="AF2282" s="119">
        <v>5.8234812299367299E-2</v>
      </c>
      <c r="AG2282" s="119">
        <v>0.92532527224797267</v>
      </c>
      <c r="AH2282" s="120"/>
      <c r="AI2282" s="121"/>
      <c r="AJ2282" s="121"/>
      <c r="AK2282" s="121"/>
      <c r="AL2282" s="121"/>
      <c r="AM2282" s="122"/>
      <c r="AN2282" s="121"/>
    </row>
    <row r="2283" spans="1:40">
      <c r="A2283" s="71"/>
      <c r="B2283" s="72"/>
      <c r="C2283" s="71"/>
      <c r="D2283" s="72"/>
      <c r="E2283" s="71"/>
      <c r="F2283" s="72"/>
      <c r="G2283" s="77">
        <v>1800</v>
      </c>
      <c r="H2283" s="3"/>
      <c r="I2283" s="91">
        <v>397.26478799976366</v>
      </c>
      <c r="J2283" s="92">
        <v>11.350677822030239</v>
      </c>
      <c r="K2283" s="92">
        <v>-8.0438069289466601</v>
      </c>
      <c r="L2283" s="92">
        <v>0.14526696965555119</v>
      </c>
      <c r="M2283" s="92">
        <v>-6.6224664048152887E-2</v>
      </c>
      <c r="N2283" s="92">
        <v>0.13122349260074817</v>
      </c>
      <c r="O2283" s="92">
        <v>5.3872049476415414E-4</v>
      </c>
      <c r="P2283" s="92">
        <v>-7.6190513147511216E-4</v>
      </c>
      <c r="Q2283" s="92">
        <v>-7.1048760208517218E-5</v>
      </c>
      <c r="R2283" s="92">
        <v>-9.9049510683394348E-4</v>
      </c>
      <c r="S2283" s="92">
        <v>21.965596012773844</v>
      </c>
      <c r="T2283" s="92">
        <v>-0.47388591110287398</v>
      </c>
      <c r="U2283" s="92">
        <v>0.81419023245430444</v>
      </c>
      <c r="V2283" s="92">
        <v>-2.2715603748183249E-2</v>
      </c>
      <c r="W2283" s="92">
        <v>2.3991253754661414E-2</v>
      </c>
      <c r="X2283" s="92">
        <v>4.3466796696133257E-3</v>
      </c>
      <c r="Y2283" s="92">
        <v>-1.3470906912250508E-4</v>
      </c>
      <c r="Z2283" s="92">
        <v>2.9665437412629346E-4</v>
      </c>
      <c r="AA2283" s="92">
        <v>1.3630818205446254E-4</v>
      </c>
      <c r="AB2283" s="92">
        <v>-4.9092643922612622E-5</v>
      </c>
      <c r="AC2283" s="119">
        <v>5.5635648850066922E-2</v>
      </c>
      <c r="AD2283" s="119">
        <v>1.1731611829806168</v>
      </c>
      <c r="AE2283" s="120">
        <v>9.4617505741894092E-3</v>
      </c>
      <c r="AF2283" s="119">
        <v>4.8036163199124571E-2</v>
      </c>
      <c r="AG2283" s="119">
        <v>1.8144937697096604</v>
      </c>
      <c r="AH2283" s="120"/>
      <c r="AI2283" s="121"/>
      <c r="AJ2283" s="121"/>
      <c r="AK2283" s="121"/>
      <c r="AL2283" s="121"/>
      <c r="AM2283" s="122"/>
      <c r="AN2283" s="121"/>
    </row>
    <row r="2284" spans="1:40">
      <c r="A2284" s="71"/>
      <c r="B2284" s="72"/>
      <c r="C2284" s="71"/>
      <c r="D2284" s="72"/>
      <c r="E2284" s="71"/>
      <c r="F2284" s="72"/>
      <c r="G2284" s="77">
        <v>2000</v>
      </c>
      <c r="H2284" s="3"/>
      <c r="I2284" s="91">
        <v>138.00819348607627</v>
      </c>
      <c r="J2284" s="92">
        <v>12.449239212962693</v>
      </c>
      <c r="K2284" s="92">
        <v>11.771401132574665</v>
      </c>
      <c r="L2284" s="92">
        <v>0.16415644623480988</v>
      </c>
      <c r="M2284" s="92">
        <v>-6.9025889618387098E-2</v>
      </c>
      <c r="N2284" s="92">
        <v>-0.32016281237678473</v>
      </c>
      <c r="O2284" s="92">
        <v>7.6098588507570646E-4</v>
      </c>
      <c r="P2284" s="92">
        <v>-7.6186777976582293E-4</v>
      </c>
      <c r="Q2284" s="92">
        <v>-9.8110062079671137E-5</v>
      </c>
      <c r="R2284" s="92">
        <v>2.3403389640997128E-3</v>
      </c>
      <c r="S2284" s="92">
        <v>-4.2621580340604891E-3</v>
      </c>
      <c r="T2284" s="92">
        <v>-0.56615381640119555</v>
      </c>
      <c r="U2284" s="92">
        <v>2.7578775398880997</v>
      </c>
      <c r="V2284" s="92">
        <v>-1.3336941220583751E-2</v>
      </c>
      <c r="W2284" s="92">
        <v>4.1310267796907191E-2</v>
      </c>
      <c r="X2284" s="92">
        <v>-3.816946780308602E-2</v>
      </c>
      <c r="Y2284" s="92">
        <v>-6.734001872399832E-5</v>
      </c>
      <c r="Z2284" s="92">
        <v>2.1428576894111522E-4</v>
      </c>
      <c r="AA2284" s="92">
        <v>-7.1436801730243566E-5</v>
      </c>
      <c r="AB2284" s="92">
        <v>2.6421720852674521E-4</v>
      </c>
      <c r="AC2284" s="119">
        <v>7.0432079632031255E-2</v>
      </c>
      <c r="AD2284" s="119">
        <v>1.3636941834740626</v>
      </c>
      <c r="AE2284" s="120">
        <v>6.1557092075609238E-3</v>
      </c>
      <c r="AF2284" s="119">
        <v>5.1875257411359905E-2</v>
      </c>
      <c r="AG2284" s="119">
        <v>0.85389610437088259</v>
      </c>
      <c r="AH2284" s="120"/>
      <c r="AI2284" s="121"/>
      <c r="AJ2284" s="121"/>
      <c r="AK2284" s="121"/>
      <c r="AL2284" s="121"/>
      <c r="AM2284" s="122"/>
      <c r="AN2284" s="121"/>
    </row>
    <row r="2285" spans="1:40">
      <c r="A2285" s="71"/>
      <c r="B2285" s="72"/>
      <c r="C2285" s="71"/>
      <c r="D2285" s="72"/>
      <c r="E2285" s="71"/>
      <c r="F2285" s="72"/>
      <c r="G2285" s="77">
        <v>3000</v>
      </c>
      <c r="H2285" s="3"/>
      <c r="I2285" s="91">
        <v>222.67567627919684</v>
      </c>
      <c r="J2285" s="92">
        <v>17.614051727211081</v>
      </c>
      <c r="K2285" s="92">
        <v>14.993305928049061</v>
      </c>
      <c r="L2285" s="92">
        <v>0.2255810675616956</v>
      </c>
      <c r="M2285" s="92">
        <v>-9.5796535483470779E-2</v>
      </c>
      <c r="N2285" s="92">
        <v>-0.41401439066250201</v>
      </c>
      <c r="O2285" s="92">
        <v>8.8859329614230536E-4</v>
      </c>
      <c r="P2285" s="92">
        <v>-1.1191294122078136E-3</v>
      </c>
      <c r="Q2285" s="92">
        <v>-1.6711397245318366E-4</v>
      </c>
      <c r="R2285" s="92">
        <v>3.0208382053134777E-3</v>
      </c>
      <c r="S2285" s="92">
        <v>-4.2601156968223308E-3</v>
      </c>
      <c r="T2285" s="92">
        <v>0.25703897139411302</v>
      </c>
      <c r="U2285" s="92">
        <v>4.9347720746558714</v>
      </c>
      <c r="V2285" s="92">
        <v>-3.2638527310768235E-3</v>
      </c>
      <c r="W2285" s="92">
        <v>4.0813303606884281E-2</v>
      </c>
      <c r="X2285" s="92">
        <v>-8.0428938343000606E-2</v>
      </c>
      <c r="Y2285" s="92">
        <v>-7.3645717002823071E-5</v>
      </c>
      <c r="Z2285" s="92">
        <v>1.1895979655243691E-4</v>
      </c>
      <c r="AA2285" s="92">
        <v>-3.9495407411192463E-5</v>
      </c>
      <c r="AB2285" s="92">
        <v>5.5816522363299342E-4</v>
      </c>
      <c r="AC2285" s="119">
        <v>3.7876681427652346E-2</v>
      </c>
      <c r="AD2285" s="119">
        <v>0.63751849134843619</v>
      </c>
      <c r="AE2285" s="120">
        <v>2.09887020197936E-3</v>
      </c>
      <c r="AF2285" s="119">
        <v>7.5751542479232201E-2</v>
      </c>
      <c r="AG2285" s="119">
        <v>1.5179258671361238</v>
      </c>
      <c r="AH2285" s="120"/>
      <c r="AI2285" s="121"/>
      <c r="AJ2285" s="121"/>
      <c r="AK2285" s="121"/>
      <c r="AL2285" s="121"/>
      <c r="AM2285" s="122"/>
      <c r="AN2285" s="121"/>
    </row>
    <row r="2286" spans="1:40">
      <c r="A2286" s="71"/>
      <c r="B2286" s="72"/>
      <c r="C2286" s="71"/>
      <c r="D2286" s="72"/>
      <c r="E2286" s="71"/>
      <c r="F2286" s="72"/>
      <c r="G2286" s="77">
        <v>4000</v>
      </c>
      <c r="H2286" s="3"/>
      <c r="I2286" s="91">
        <v>311.63374670463537</v>
      </c>
      <c r="J2286" s="92">
        <v>22.27057711779365</v>
      </c>
      <c r="K2286" s="92">
        <v>16.792956772333014</v>
      </c>
      <c r="L2286" s="92">
        <v>0.28449555263585091</v>
      </c>
      <c r="M2286" s="92">
        <v>-0.13020525329020613</v>
      </c>
      <c r="N2286" s="92">
        <v>-0.47674163716891782</v>
      </c>
      <c r="O2286" s="92">
        <v>1.2843502158967329E-3</v>
      </c>
      <c r="P2286" s="92">
        <v>-1.1786549763443007E-3</v>
      </c>
      <c r="Q2286" s="92">
        <v>6.3744363514464832E-5</v>
      </c>
      <c r="R2286" s="92">
        <v>3.5296991677903891E-3</v>
      </c>
      <c r="S2286" s="92">
        <v>-4.2595596353103603E-3</v>
      </c>
      <c r="T2286" s="92">
        <v>1.1282232025437733</v>
      </c>
      <c r="U2286" s="92">
        <v>7.1714878081594646</v>
      </c>
      <c r="V2286" s="92">
        <v>3.4631388646551395E-4</v>
      </c>
      <c r="W2286" s="92">
        <v>3.2976486393967296E-2</v>
      </c>
      <c r="X2286" s="92">
        <v>-0.1288371948070284</v>
      </c>
      <c r="Y2286" s="92">
        <v>-1.2585341692924993E-4</v>
      </c>
      <c r="Z2286" s="92">
        <v>2.5902778367142621E-5</v>
      </c>
      <c r="AA2286" s="92">
        <v>6.094661368479235E-5</v>
      </c>
      <c r="AB2286" s="92">
        <v>9.2702404667266663E-4</v>
      </c>
      <c r="AC2286" s="119">
        <v>3.6494955243857388E-2</v>
      </c>
      <c r="AD2286" s="119">
        <v>0.49250386861124545</v>
      </c>
      <c r="AE2286" s="120">
        <v>3.789159621488482E-3</v>
      </c>
      <c r="AF2286" s="119">
        <v>4.4292039321813678E-2</v>
      </c>
      <c r="AG2286" s="119">
        <v>0.81922952100510193</v>
      </c>
      <c r="AH2286" s="120"/>
      <c r="AI2286" s="121"/>
      <c r="AJ2286" s="121"/>
      <c r="AK2286" s="121"/>
      <c r="AL2286" s="121"/>
      <c r="AM2286" s="122"/>
      <c r="AN2286" s="121"/>
    </row>
    <row r="2287" spans="1:40">
      <c r="A2287" s="93" t="s">
        <v>124</v>
      </c>
      <c r="B2287" s="94" t="s">
        <v>44</v>
      </c>
      <c r="C2287" s="93" t="s">
        <v>45</v>
      </c>
      <c r="D2287" s="94"/>
      <c r="E2287" s="93" t="s">
        <v>47</v>
      </c>
      <c r="F2287" s="94" t="s">
        <v>218</v>
      </c>
      <c r="G2287" s="95"/>
      <c r="H2287" s="94" t="str">
        <f>CONCATENATE(A2287," ",B2287," ",C2287," ",D2287," ",E2287," ",F2287)</f>
        <v>Secop Isobutane 50 Hz  VSD TLV5K</v>
      </c>
      <c r="I2287" s="97"/>
      <c r="J2287" s="112"/>
      <c r="K2287" s="112"/>
      <c r="L2287" s="112"/>
      <c r="M2287" s="112"/>
      <c r="N2287" s="112"/>
      <c r="O2287" s="112"/>
      <c r="P2287" s="112"/>
      <c r="Q2287" s="112"/>
      <c r="R2287" s="112"/>
      <c r="S2287" s="112"/>
      <c r="T2287" s="112"/>
      <c r="U2287" s="112"/>
      <c r="V2287" s="112"/>
      <c r="W2287" s="112"/>
      <c r="X2287" s="112"/>
      <c r="Y2287" s="112"/>
      <c r="Z2287" s="112"/>
      <c r="AA2287" s="112"/>
      <c r="AB2287" s="112"/>
      <c r="AC2287" s="119"/>
      <c r="AD2287" s="119"/>
      <c r="AE2287" s="120"/>
      <c r="AF2287" s="119"/>
      <c r="AG2287" s="119"/>
      <c r="AH2287" s="120"/>
      <c r="AI2287" s="121"/>
      <c r="AJ2287" s="121"/>
      <c r="AK2287" s="121"/>
      <c r="AL2287" s="121"/>
      <c r="AM2287" s="122"/>
      <c r="AN2287" s="121"/>
    </row>
    <row r="2288" spans="1:40">
      <c r="A2288" s="93"/>
      <c r="B2288" s="94"/>
      <c r="C2288" s="93"/>
      <c r="D2288" s="94"/>
      <c r="E2288" s="93"/>
      <c r="F2288" s="94"/>
      <c r="G2288" s="95">
        <v>2000</v>
      </c>
      <c r="H2288" s="94"/>
      <c r="I2288" s="97">
        <v>228.01900000000001</v>
      </c>
      <c r="J2288" s="112">
        <v>8.3369199999999992</v>
      </c>
      <c r="K2288" s="112">
        <v>-1.1574800000000001</v>
      </c>
      <c r="L2288" s="112">
        <v>0.110459</v>
      </c>
      <c r="M2288" s="112">
        <v>-4.4416299999999999E-2</v>
      </c>
      <c r="N2288" s="112">
        <v>-1.49657E-2</v>
      </c>
      <c r="O2288" s="112">
        <v>4.8864600000000002E-4</v>
      </c>
      <c r="P2288" s="112">
        <v>-5.3097799999999998E-4</v>
      </c>
      <c r="Q2288" s="112">
        <v>-7.4815700000000003E-5</v>
      </c>
      <c r="R2288" s="112">
        <v>1.1710299999999999E-4</v>
      </c>
      <c r="S2288" s="112">
        <v>13.745900000000001</v>
      </c>
      <c r="T2288" s="112">
        <v>-0.34270600000000001</v>
      </c>
      <c r="U2288" s="112">
        <v>1.3862000000000001</v>
      </c>
      <c r="V2288" s="112">
        <v>-1.2356499999999999E-2</v>
      </c>
      <c r="W2288" s="112">
        <v>2.0049000000000001E-2</v>
      </c>
      <c r="X2288" s="112">
        <v>-1.7072400000000001E-2</v>
      </c>
      <c r="Y2288" s="112">
        <v>-3.9481699999999998E-5</v>
      </c>
      <c r="Z2288" s="112">
        <v>2.56975E-4</v>
      </c>
      <c r="AA2288" s="112">
        <v>1.3220699999999999E-4</v>
      </c>
      <c r="AB2288" s="112">
        <v>1.4542900000000001E-4</v>
      </c>
      <c r="AC2288" s="119"/>
      <c r="AD2288" s="119"/>
      <c r="AE2288" s="120"/>
      <c r="AF2288" s="119"/>
      <c r="AG2288" s="119"/>
      <c r="AH2288" s="120"/>
      <c r="AI2288" s="121"/>
      <c r="AJ2288" s="121"/>
      <c r="AK2288" s="121"/>
      <c r="AL2288" s="121"/>
      <c r="AM2288" s="122"/>
      <c r="AN2288" s="121"/>
    </row>
    <row r="2289" spans="1:40">
      <c r="A2289" s="93"/>
      <c r="B2289" s="94"/>
      <c r="C2289" s="93"/>
      <c r="D2289" s="94"/>
      <c r="E2289" s="93"/>
      <c r="F2289" s="94"/>
      <c r="G2289" s="95">
        <v>2500</v>
      </c>
      <c r="H2289" s="94"/>
      <c r="I2289" s="97">
        <v>282.76600000000002</v>
      </c>
      <c r="J2289" s="112">
        <v>10.292299999999999</v>
      </c>
      <c r="K2289" s="112">
        <v>1.54067</v>
      </c>
      <c r="L2289" s="112">
        <v>0.13437099999999999</v>
      </c>
      <c r="M2289" s="112">
        <v>-5.8004600000000003E-2</v>
      </c>
      <c r="N2289" s="112">
        <v>-1.7863E-2</v>
      </c>
      <c r="O2289" s="112">
        <v>5.8678699999999996E-4</v>
      </c>
      <c r="P2289" s="112">
        <v>-6.5569800000000002E-4</v>
      </c>
      <c r="Q2289" s="112">
        <v>-3.6668400000000003E-5</v>
      </c>
      <c r="R2289" s="112">
        <v>1.6685300000000001E-4</v>
      </c>
      <c r="S2289" s="112">
        <v>31.444600000000001</v>
      </c>
      <c r="T2289" s="112">
        <v>-0.42386600000000002</v>
      </c>
      <c r="U2289" s="112">
        <v>1.74272</v>
      </c>
      <c r="V2289" s="112">
        <v>-3.2082399999999997E-2</v>
      </c>
      <c r="W2289" s="112">
        <v>1.8897199999999999E-2</v>
      </c>
      <c r="X2289" s="112">
        <v>-3.8677099999999999E-2</v>
      </c>
      <c r="Y2289" s="112">
        <v>-1.63108E-4</v>
      </c>
      <c r="Z2289" s="112">
        <v>6.4179700000000005E-4</v>
      </c>
      <c r="AA2289" s="112">
        <v>3.6573399999999999E-4</v>
      </c>
      <c r="AB2289" s="112">
        <v>4.3479800000000002E-4</v>
      </c>
      <c r="AC2289" s="119"/>
      <c r="AD2289" s="119"/>
      <c r="AE2289" s="120"/>
      <c r="AF2289" s="119"/>
      <c r="AG2289" s="119"/>
      <c r="AH2289" s="120"/>
      <c r="AI2289" s="121"/>
      <c r="AJ2289" s="121"/>
      <c r="AK2289" s="121"/>
      <c r="AL2289" s="121"/>
      <c r="AM2289" s="122"/>
      <c r="AN2289" s="121"/>
    </row>
    <row r="2290" spans="1:40">
      <c r="A2290" s="93"/>
      <c r="B2290" s="94"/>
      <c r="C2290" s="93"/>
      <c r="D2290" s="94"/>
      <c r="E2290" s="93"/>
      <c r="F2290" s="94"/>
      <c r="G2290" s="95">
        <v>3000</v>
      </c>
      <c r="H2290" s="94"/>
      <c r="I2290" s="97">
        <v>335.06700000000001</v>
      </c>
      <c r="J2290" s="112">
        <v>12.148099999999999</v>
      </c>
      <c r="K2290" s="112">
        <v>-1.82328</v>
      </c>
      <c r="L2290" s="112">
        <v>0.15710499999999999</v>
      </c>
      <c r="M2290" s="112">
        <v>-6.7706499999999998</v>
      </c>
      <c r="N2290" s="112">
        <v>-2.2948E-2</v>
      </c>
      <c r="O2290" s="112">
        <v>6.7887399999999999E-4</v>
      </c>
      <c r="P2290" s="112">
        <v>-7.5055E-4</v>
      </c>
      <c r="Q2290" s="112">
        <v>-4.51378E-5</v>
      </c>
      <c r="R2290" s="112">
        <v>2.3054600000000001E-4</v>
      </c>
      <c r="S2290" s="112">
        <v>54.774900000000002</v>
      </c>
      <c r="T2290" s="112">
        <v>0.469553</v>
      </c>
      <c r="U2290" s="112">
        <v>1.8274699999999999</v>
      </c>
      <c r="V2290" s="112">
        <v>-2.0121900000000002E-2</v>
      </c>
      <c r="W2290" s="112">
        <v>3.32796E-3</v>
      </c>
      <c r="X2290" s="112">
        <v>-5.1223499999999998E-2</v>
      </c>
      <c r="Y2290" s="112">
        <v>-6.8317400000000004E-5</v>
      </c>
      <c r="Z2290" s="112">
        <v>6.1327199999999999E-4</v>
      </c>
      <c r="AA2290" s="112">
        <v>5.5334899999999996E-4</v>
      </c>
      <c r="AB2290" s="112">
        <v>6.1085499999999999E-4</v>
      </c>
      <c r="AC2290" s="119"/>
      <c r="AD2290" s="119"/>
      <c r="AE2290" s="120"/>
      <c r="AF2290" s="119"/>
      <c r="AG2290" s="119"/>
      <c r="AH2290" s="120"/>
      <c r="AI2290" s="121"/>
      <c r="AJ2290" s="121"/>
      <c r="AK2290" s="121"/>
      <c r="AL2290" s="121"/>
      <c r="AM2290" s="122"/>
      <c r="AN2290" s="121"/>
    </row>
    <row r="2291" spans="1:40">
      <c r="A2291" s="93"/>
      <c r="B2291" s="94"/>
      <c r="C2291" s="93"/>
      <c r="D2291" s="94"/>
      <c r="E2291" s="93"/>
      <c r="F2291" s="94"/>
      <c r="G2291" s="95">
        <v>4000</v>
      </c>
      <c r="H2291" s="94"/>
      <c r="I2291" s="97">
        <v>423.56099999999998</v>
      </c>
      <c r="J2291" s="112">
        <v>15.3131</v>
      </c>
      <c r="K2291" s="112">
        <v>-2.05246</v>
      </c>
      <c r="L2291" s="112">
        <v>0.19575699999999999</v>
      </c>
      <c r="M2291" s="112">
        <v>-7.4133199999999996E-2</v>
      </c>
      <c r="N2291" s="112">
        <v>-3.9233999999999998E-2</v>
      </c>
      <c r="O2291" s="112">
        <v>8.3037499999999995E-4</v>
      </c>
      <c r="P2291" s="112">
        <v>-8.3487299999999997E-4</v>
      </c>
      <c r="Q2291" s="112">
        <v>-1.9968699999999999E-4</v>
      </c>
      <c r="R2291" s="112">
        <v>3.9627100000000001E-4</v>
      </c>
      <c r="S2291" s="112">
        <v>118.33</v>
      </c>
      <c r="T2291" s="112">
        <v>5.1801399999999997</v>
      </c>
      <c r="U2291" s="112">
        <v>1.1816800000000001</v>
      </c>
      <c r="V2291" s="112">
        <v>9.8858199999999993E-2</v>
      </c>
      <c r="W2291" s="112">
        <v>-7.1063500000000002E-2</v>
      </c>
      <c r="X2291" s="112">
        <v>-4.9142000000000001E-4</v>
      </c>
      <c r="Y2291" s="112">
        <v>7.7651900000000004E-4</v>
      </c>
      <c r="Z2291" s="112">
        <v>-6.8381500000000005E-4</v>
      </c>
      <c r="AA2291" s="112">
        <v>7.9084800000000003E-4</v>
      </c>
      <c r="AB2291" s="112">
        <v>6.2303800000000002E-4</v>
      </c>
      <c r="AC2291" s="119"/>
      <c r="AD2291" s="119"/>
      <c r="AE2291" s="120"/>
      <c r="AF2291" s="119"/>
      <c r="AG2291" s="119"/>
      <c r="AH2291" s="120"/>
      <c r="AI2291" s="121"/>
      <c r="AJ2291" s="121"/>
      <c r="AK2291" s="121"/>
      <c r="AL2291" s="121"/>
      <c r="AM2291" s="122"/>
      <c r="AN2291" s="121"/>
    </row>
    <row r="2292" spans="1:40">
      <c r="A2292" s="93" t="s">
        <v>124</v>
      </c>
      <c r="B2292" s="94" t="s">
        <v>44</v>
      </c>
      <c r="C2292" s="93" t="s">
        <v>45</v>
      </c>
      <c r="D2292" s="94"/>
      <c r="E2292" s="93" t="s">
        <v>47</v>
      </c>
      <c r="F2292" s="94" t="s">
        <v>220</v>
      </c>
      <c r="G2292" s="95"/>
      <c r="H2292" s="94" t="str">
        <f>CONCATENATE(A2292," ",B2292," ",C2292," ",D2292," ",E2292," ",F2292)</f>
        <v>Secop Isobutane 50 Hz  VSD TLV6K</v>
      </c>
      <c r="I2292" s="97"/>
      <c r="J2292" s="112"/>
      <c r="K2292" s="112"/>
      <c r="L2292" s="112"/>
      <c r="M2292" s="112"/>
      <c r="N2292" s="112"/>
      <c r="O2292" s="112"/>
      <c r="P2292" s="112"/>
      <c r="Q2292" s="112"/>
      <c r="R2292" s="112"/>
      <c r="S2292" s="112"/>
      <c r="T2292" s="112"/>
      <c r="U2292" s="112"/>
      <c r="V2292" s="112"/>
      <c r="W2292" s="112"/>
      <c r="X2292" s="112"/>
      <c r="Y2292" s="112"/>
      <c r="Z2292" s="112"/>
      <c r="AA2292" s="112"/>
      <c r="AB2292" s="112"/>
      <c r="AC2292" s="119"/>
      <c r="AD2292" s="119"/>
      <c r="AE2292" s="120"/>
      <c r="AF2292" s="119"/>
      <c r="AG2292" s="119"/>
      <c r="AH2292" s="120"/>
      <c r="AI2292" s="121"/>
      <c r="AJ2292" s="121"/>
      <c r="AK2292" s="121"/>
      <c r="AL2292" s="121"/>
      <c r="AM2292" s="122"/>
      <c r="AN2292" s="121"/>
    </row>
    <row r="2293" spans="1:40">
      <c r="A2293" s="93"/>
      <c r="B2293" s="94"/>
      <c r="C2293" s="93"/>
      <c r="D2293" s="94"/>
      <c r="E2293" s="93"/>
      <c r="F2293" s="94"/>
      <c r="G2293" s="95">
        <v>2000</v>
      </c>
      <c r="H2293" s="94"/>
      <c r="I2293" s="97">
        <v>219.98599999999999</v>
      </c>
      <c r="J2293" s="112">
        <v>8.2856199999999998</v>
      </c>
      <c r="K2293" s="112">
        <v>0.62615600000000005</v>
      </c>
      <c r="L2293" s="112">
        <v>0.116081</v>
      </c>
      <c r="M2293" s="112">
        <v>-4.3285199999999998E-3</v>
      </c>
      <c r="N2293" s="112">
        <v>-4.7074900000000003E-2</v>
      </c>
      <c r="O2293" s="112">
        <v>5.3249600000000003E-4</v>
      </c>
      <c r="P2293" s="112">
        <v>-4.1678700000000001E-4</v>
      </c>
      <c r="Q2293" s="112">
        <v>-5.5856299999999998E-4</v>
      </c>
      <c r="R2293" s="112">
        <v>2.5866700000000002E-4</v>
      </c>
      <c r="S2293" s="112">
        <v>10.0007</v>
      </c>
      <c r="T2293" s="112">
        <v>-1.2787299999999999</v>
      </c>
      <c r="U2293" s="112">
        <v>1.52596</v>
      </c>
      <c r="V2293" s="112">
        <v>-3.7567299999999998E-2</v>
      </c>
      <c r="W2293" s="112">
        <v>5.0957200000000001E-2</v>
      </c>
      <c r="X2293" s="112">
        <v>-1.1601200000000001E-2</v>
      </c>
      <c r="Y2293" s="112">
        <v>-2.4430600000000002E-4</v>
      </c>
      <c r="Z2293" s="112">
        <v>5.5992499999999996E-4</v>
      </c>
      <c r="AA2293" s="112">
        <v>-1.0815900000000001E-4</v>
      </c>
      <c r="AB2293" s="112">
        <v>4.6243099999999998E-5</v>
      </c>
      <c r="AC2293" s="119"/>
      <c r="AD2293" s="119"/>
      <c r="AE2293" s="120"/>
      <c r="AF2293" s="119"/>
      <c r="AG2293" s="119"/>
      <c r="AH2293" s="120"/>
      <c r="AI2293" s="121"/>
      <c r="AJ2293" s="121"/>
      <c r="AK2293" s="121"/>
      <c r="AL2293" s="121"/>
      <c r="AM2293" s="122"/>
      <c r="AN2293" s="121"/>
    </row>
    <row r="2294" spans="1:40">
      <c r="A2294" s="93"/>
      <c r="B2294" s="94"/>
      <c r="C2294" s="93"/>
      <c r="D2294" s="94"/>
      <c r="E2294" s="93"/>
      <c r="F2294" s="94"/>
      <c r="G2294" s="95">
        <v>2500</v>
      </c>
      <c r="H2294" s="94"/>
      <c r="I2294" s="97">
        <v>277.95499999999998</v>
      </c>
      <c r="J2294" s="112">
        <v>11.2987</v>
      </c>
      <c r="K2294" s="112">
        <v>0.73516099999999995</v>
      </c>
      <c r="L2294" s="112">
        <v>0.161108</v>
      </c>
      <c r="M2294" s="112">
        <v>-3.12448E-2</v>
      </c>
      <c r="N2294" s="112">
        <v>-6.2342399999999999E-2</v>
      </c>
      <c r="O2294" s="112">
        <v>6.5524400000000003E-4</v>
      </c>
      <c r="P2294" s="112">
        <v>-8.9110800000000005E-4</v>
      </c>
      <c r="Q2294" s="112">
        <v>-6.1656899999999997E-4</v>
      </c>
      <c r="R2294" s="112">
        <v>3.6133900000000002E-4</v>
      </c>
      <c r="S2294" s="112">
        <v>13.449</v>
      </c>
      <c r="T2294" s="112">
        <v>-1.3024899999999999</v>
      </c>
      <c r="U2294" s="112">
        <v>2.5087199999999998</v>
      </c>
      <c r="V2294" s="112">
        <v>-5.26195E-2</v>
      </c>
      <c r="W2294" s="112">
        <v>5.1142399999999998E-2</v>
      </c>
      <c r="X2294" s="112">
        <v>-4.01713E-2</v>
      </c>
      <c r="Y2294" s="112">
        <v>-2.9088699999999998E-4</v>
      </c>
      <c r="Z2294" s="112">
        <v>1.04728E-3</v>
      </c>
      <c r="AA2294" s="112">
        <v>2.12482E-4</v>
      </c>
      <c r="AB2294" s="112">
        <v>3.6881499999999998E-4</v>
      </c>
      <c r="AC2294" s="119"/>
      <c r="AD2294" s="119"/>
      <c r="AE2294" s="120"/>
      <c r="AF2294" s="119"/>
      <c r="AG2294" s="119"/>
      <c r="AH2294" s="120"/>
      <c r="AI2294" s="121"/>
      <c r="AJ2294" s="121"/>
      <c r="AK2294" s="121"/>
      <c r="AL2294" s="121"/>
      <c r="AM2294" s="122"/>
      <c r="AN2294" s="121"/>
    </row>
    <row r="2295" spans="1:40">
      <c r="A2295" s="93"/>
      <c r="B2295" s="94"/>
      <c r="C2295" s="93"/>
      <c r="D2295" s="94"/>
      <c r="E2295" s="93"/>
      <c r="F2295" s="94"/>
      <c r="G2295" s="95">
        <v>3000</v>
      </c>
      <c r="H2295" s="94"/>
      <c r="I2295" s="97">
        <v>326.37900000000002</v>
      </c>
      <c r="J2295" s="112">
        <v>13.541600000000001</v>
      </c>
      <c r="K2295" s="112">
        <v>0.97671300000000005</v>
      </c>
      <c r="L2295" s="112">
        <v>0.19467499999999999</v>
      </c>
      <c r="M2295" s="112">
        <v>-4.1414600000000003E-2</v>
      </c>
      <c r="N2295" s="112">
        <v>-7.5604099999999994E-2</v>
      </c>
      <c r="O2295" s="112">
        <v>7.7508500000000001E-4</v>
      </c>
      <c r="P2295" s="112">
        <v>-1.1471000000000001E-3</v>
      </c>
      <c r="Q2295" s="112">
        <v>-7.2044100000000005E-4</v>
      </c>
      <c r="R2295" s="112">
        <v>4.3655400000000002E-4</v>
      </c>
      <c r="S2295" s="112">
        <v>24.410599999999999</v>
      </c>
      <c r="T2295" s="112">
        <v>-0.95524500000000001</v>
      </c>
      <c r="U2295" s="112">
        <v>2.8584000000000001</v>
      </c>
      <c r="V2295" s="112">
        <v>-5.0338300000000002E-2</v>
      </c>
      <c r="W2295" s="112">
        <v>4.8487299999999997E-2</v>
      </c>
      <c r="X2295" s="112">
        <v>-4.9542700000000002E-2</v>
      </c>
      <c r="Y2295" s="112">
        <v>-2.5348599999999998E-4</v>
      </c>
      <c r="Z2295" s="112">
        <v>1.1400399999999999E-3</v>
      </c>
      <c r="AA2295" s="112">
        <v>3.3371399999999998E-4</v>
      </c>
      <c r="AB2295" s="112">
        <v>4.7252299999999998E-4</v>
      </c>
      <c r="AC2295" s="119"/>
      <c r="AD2295" s="119"/>
      <c r="AE2295" s="120"/>
      <c r="AF2295" s="119"/>
      <c r="AG2295" s="119"/>
      <c r="AH2295" s="120"/>
      <c r="AI2295" s="121"/>
      <c r="AJ2295" s="121"/>
      <c r="AK2295" s="121"/>
      <c r="AL2295" s="121"/>
      <c r="AM2295" s="122"/>
      <c r="AN2295" s="121"/>
    </row>
    <row r="2296" spans="1:40">
      <c r="A2296" s="93"/>
      <c r="B2296" s="94"/>
      <c r="C2296" s="93"/>
      <c r="D2296" s="94"/>
      <c r="E2296" s="93"/>
      <c r="F2296" s="94"/>
      <c r="G2296" s="95">
        <v>4000</v>
      </c>
      <c r="H2296" s="94"/>
      <c r="I2296" s="97">
        <v>392.589</v>
      </c>
      <c r="J2296" s="112">
        <v>15.633100000000001</v>
      </c>
      <c r="K2296" s="112">
        <v>1.8442099999999999</v>
      </c>
      <c r="L2296" s="112">
        <v>0.22617999999999999</v>
      </c>
      <c r="M2296" s="112">
        <v>-1.14384E-2</v>
      </c>
      <c r="N2296" s="112">
        <v>-9.5561499999999994E-2</v>
      </c>
      <c r="O2296" s="112">
        <v>1.00069E-3</v>
      </c>
      <c r="P2296" s="112">
        <v>-9.9774799999999991E-4</v>
      </c>
      <c r="Q2296" s="112">
        <v>-1.0600500000000001E-3</v>
      </c>
      <c r="R2296" s="112">
        <v>5.0183699999999999E-4</v>
      </c>
      <c r="S2296" s="112">
        <v>70.315700000000007</v>
      </c>
      <c r="T2296" s="112">
        <v>71.736999999999995</v>
      </c>
      <c r="U2296" s="112">
        <v>1.93224</v>
      </c>
      <c r="V2296" s="112">
        <v>5.6393700000000003E-4</v>
      </c>
      <c r="W2296" s="112">
        <v>3.9941999999999998E-2</v>
      </c>
      <c r="X2296" s="112">
        <v>-1.5265300000000001E-2</v>
      </c>
      <c r="Y2296" s="112">
        <v>4.2514400000000001E-5</v>
      </c>
      <c r="Z2296" s="112">
        <v>2.5724999999999999E-4</v>
      </c>
      <c r="AA2296" s="112">
        <v>4.6863399999999998E-6</v>
      </c>
      <c r="AB2296" s="112">
        <v>6.6247400000000005E-5</v>
      </c>
      <c r="AC2296" s="119"/>
      <c r="AD2296" s="119"/>
      <c r="AE2296" s="120"/>
      <c r="AF2296" s="119"/>
      <c r="AG2296" s="119"/>
      <c r="AH2296" s="120"/>
      <c r="AI2296" s="121"/>
      <c r="AJ2296" s="121"/>
      <c r="AK2296" s="121"/>
      <c r="AL2296" s="121"/>
      <c r="AM2296" s="122"/>
      <c r="AN2296" s="121"/>
    </row>
    <row r="2297" spans="1:40">
      <c r="A2297" s="93" t="s">
        <v>124</v>
      </c>
      <c r="B2297" s="94" t="s">
        <v>44</v>
      </c>
      <c r="C2297" s="93" t="s">
        <v>45</v>
      </c>
      <c r="D2297" s="94"/>
      <c r="E2297" s="93" t="s">
        <v>47</v>
      </c>
      <c r="F2297" s="94" t="s">
        <v>222</v>
      </c>
      <c r="G2297" s="95"/>
      <c r="H2297" s="94" t="str">
        <f>CONCATENATE(A2297," ",B2297," ",C2297," ",D2297," ",E2297," ",F2297)</f>
        <v>Secop Isobutane 50 Hz  VSD TLV7K</v>
      </c>
      <c r="I2297" s="97"/>
      <c r="J2297" s="112"/>
      <c r="K2297" s="112"/>
      <c r="L2297" s="112"/>
      <c r="M2297" s="112"/>
      <c r="N2297" s="112"/>
      <c r="O2297" s="112"/>
      <c r="P2297" s="112"/>
      <c r="Q2297" s="112"/>
      <c r="R2297" s="112"/>
      <c r="S2297" s="112"/>
      <c r="T2297" s="112"/>
      <c r="U2297" s="112"/>
      <c r="V2297" s="112"/>
      <c r="W2297" s="112"/>
      <c r="X2297" s="112"/>
      <c r="Y2297" s="112"/>
      <c r="Z2297" s="112"/>
      <c r="AA2297" s="112"/>
      <c r="AB2297" s="112"/>
      <c r="AC2297" s="119"/>
      <c r="AD2297" s="119"/>
      <c r="AE2297" s="120"/>
      <c r="AF2297" s="119"/>
      <c r="AG2297" s="119"/>
      <c r="AH2297" s="120"/>
      <c r="AI2297" s="121"/>
      <c r="AJ2297" s="121"/>
      <c r="AK2297" s="121"/>
      <c r="AL2297" s="121"/>
      <c r="AM2297" s="122"/>
      <c r="AN2297" s="121"/>
    </row>
    <row r="2298" spans="1:40">
      <c r="A2298" s="93"/>
      <c r="B2298" s="94"/>
      <c r="C2298" s="93"/>
      <c r="D2298" s="94"/>
      <c r="E2298" s="93"/>
      <c r="F2298" s="94"/>
      <c r="G2298" s="95">
        <v>2000</v>
      </c>
      <c r="H2298" s="94"/>
      <c r="I2298" s="97">
        <v>296.66899999999998</v>
      </c>
      <c r="J2298" s="112">
        <v>10.7271</v>
      </c>
      <c r="K2298" s="112">
        <v>-1.33673</v>
      </c>
      <c r="L2298" s="112">
        <v>0.140039</v>
      </c>
      <c r="M2298" s="112">
        <v>-4.8515999999999997E-2</v>
      </c>
      <c r="N2298" s="112">
        <v>-2.47052E-2</v>
      </c>
      <c r="O2298" s="112">
        <v>6.05636E-4</v>
      </c>
      <c r="P2298" s="112">
        <v>-5.8390299999999998E-4</v>
      </c>
      <c r="Q2298" s="112">
        <v>-2.17856E-4</v>
      </c>
      <c r="R2298" s="112">
        <v>2.07634E-4</v>
      </c>
      <c r="S2298" s="112">
        <v>45.632100000000001</v>
      </c>
      <c r="T2298" s="112">
        <v>-0.234846</v>
      </c>
      <c r="U2298" s="112">
        <v>0.552396</v>
      </c>
      <c r="V2298" s="112">
        <v>-2.5314699999999999E-2</v>
      </c>
      <c r="W2298" s="112">
        <v>1.7973300000000001E-2</v>
      </c>
      <c r="X2298" s="112">
        <v>-7.1661299999999997E-3</v>
      </c>
      <c r="Y2298" s="112">
        <v>-1.63179E-4</v>
      </c>
      <c r="Z2298" s="112">
        <v>3.5284800000000001E-4</v>
      </c>
      <c r="AA2298" s="112">
        <v>1.7934900000000001E-4</v>
      </c>
      <c r="AB2298" s="112">
        <v>1.51471E-4</v>
      </c>
      <c r="AC2298" s="119"/>
      <c r="AD2298" s="119"/>
      <c r="AE2298" s="120"/>
      <c r="AF2298" s="119"/>
      <c r="AG2298" s="119"/>
      <c r="AH2298" s="120"/>
      <c r="AI2298" s="121"/>
      <c r="AJ2298" s="121"/>
      <c r="AK2298" s="121"/>
      <c r="AL2298" s="121"/>
      <c r="AM2298" s="122"/>
      <c r="AN2298" s="121"/>
    </row>
    <row r="2299" spans="1:40">
      <c r="A2299" s="93"/>
      <c r="B2299" s="94"/>
      <c r="C2299" s="93"/>
      <c r="D2299" s="94"/>
      <c r="E2299" s="93"/>
      <c r="F2299" s="94"/>
      <c r="G2299" s="95">
        <v>2500</v>
      </c>
      <c r="H2299" s="94"/>
      <c r="I2299" s="97">
        <v>355.35</v>
      </c>
      <c r="J2299" s="112">
        <v>12.757099999999999</v>
      </c>
      <c r="K2299" s="112">
        <v>-1.7363200000000001</v>
      </c>
      <c r="L2299" s="112">
        <v>0.164075</v>
      </c>
      <c r="M2299" s="112">
        <v>6.2106500000000002E-2</v>
      </c>
      <c r="N2299" s="112">
        <v>-2.4372700000000001E-2</v>
      </c>
      <c r="O2299" s="112">
        <v>7.0288000000000002E-4</v>
      </c>
      <c r="P2299" s="112">
        <v>-6.9808999999999995E-4</v>
      </c>
      <c r="Q2299" s="112">
        <v>-1.6886200000000001E-4</v>
      </c>
      <c r="R2299" s="112">
        <v>2.12556E-4</v>
      </c>
      <c r="S2299" s="112">
        <v>81.869</v>
      </c>
      <c r="T2299" s="112">
        <v>-0.48843199999999998</v>
      </c>
      <c r="U2299" s="112">
        <v>-0.58035000000000003</v>
      </c>
      <c r="V2299" s="112">
        <v>-4.2963399999999999E-2</v>
      </c>
      <c r="W2299" s="112">
        <v>2.5839899999999999E-2</v>
      </c>
      <c r="X2299" s="112">
        <v>1.49108E-2</v>
      </c>
      <c r="Y2299" s="112">
        <v>-2.9654799999999999E-4</v>
      </c>
      <c r="Z2299" s="112">
        <v>5.4310600000000001E-4</v>
      </c>
      <c r="AA2299" s="112">
        <v>1.78684E-4</v>
      </c>
      <c r="AB2299" s="112">
        <v>1.8511900000000001E-5</v>
      </c>
      <c r="AC2299" s="119"/>
      <c r="AD2299" s="119"/>
      <c r="AE2299" s="120"/>
      <c r="AF2299" s="119"/>
      <c r="AG2299" s="119"/>
      <c r="AH2299" s="120"/>
      <c r="AI2299" s="121"/>
      <c r="AJ2299" s="121"/>
      <c r="AK2299" s="121"/>
      <c r="AL2299" s="121"/>
      <c r="AM2299" s="122"/>
      <c r="AN2299" s="121"/>
    </row>
    <row r="2300" spans="1:40">
      <c r="A2300" s="93"/>
      <c r="B2300" s="94"/>
      <c r="C2300" s="93"/>
      <c r="D2300" s="94"/>
      <c r="E2300" s="93"/>
      <c r="F2300" s="94"/>
      <c r="G2300" s="95">
        <v>3000</v>
      </c>
      <c r="H2300" s="94"/>
      <c r="I2300" s="97">
        <v>413.774</v>
      </c>
      <c r="J2300" s="112">
        <v>1.47984</v>
      </c>
      <c r="K2300" s="112">
        <v>-2.0495800000000002</v>
      </c>
      <c r="L2300" s="112">
        <v>0.18873999999999999</v>
      </c>
      <c r="M2300" s="112">
        <v>-7.2680900000000007E-2</v>
      </c>
      <c r="N2300" s="112">
        <v>-2.7971699999999999E-2</v>
      </c>
      <c r="O2300" s="112">
        <v>8.0266199999999999E-4</v>
      </c>
      <c r="P2300" s="112">
        <v>-7.9650599999999999E-4</v>
      </c>
      <c r="Q2300" s="112">
        <v>-1.69724E-4</v>
      </c>
      <c r="R2300" s="112">
        <v>2.5274800000000001E-4</v>
      </c>
      <c r="S2300" s="112">
        <v>101.49</v>
      </c>
      <c r="T2300" s="112">
        <v>-1.1250100000000001</v>
      </c>
      <c r="U2300" s="112">
        <v>-0.983572</v>
      </c>
      <c r="V2300" s="112">
        <v>-6.6844899999999999E-2</v>
      </c>
      <c r="W2300" s="112">
        <v>4.4334100000000001E-2</v>
      </c>
      <c r="X2300" s="112">
        <v>2.7676699999999999E-2</v>
      </c>
      <c r="Y2300" s="112">
        <v>-4.6682199999999998E-4</v>
      </c>
      <c r="Z2300" s="112">
        <v>8.3323999999999996E-4</v>
      </c>
      <c r="AA2300" s="112">
        <v>1.44041E-4</v>
      </c>
      <c r="AB2300" s="112">
        <v>-7.7316899999999998E-5</v>
      </c>
      <c r="AC2300" s="119"/>
      <c r="AD2300" s="119"/>
      <c r="AE2300" s="120"/>
      <c r="AF2300" s="119"/>
      <c r="AG2300" s="119"/>
      <c r="AH2300" s="120"/>
      <c r="AI2300" s="121"/>
      <c r="AJ2300" s="121"/>
      <c r="AK2300" s="121"/>
      <c r="AL2300" s="121"/>
      <c r="AM2300" s="122"/>
      <c r="AN2300" s="121"/>
    </row>
    <row r="2301" spans="1:40">
      <c r="A2301" s="93"/>
      <c r="B2301" s="94"/>
      <c r="C2301" s="93"/>
      <c r="D2301" s="94"/>
      <c r="E2301" s="93"/>
      <c r="F2301" s="94"/>
      <c r="G2301" s="95">
        <v>4000</v>
      </c>
      <c r="H2301" s="94"/>
      <c r="I2301" s="97">
        <v>529.851</v>
      </c>
      <c r="J2301" s="112">
        <v>18.915099999999999</v>
      </c>
      <c r="K2301" s="112">
        <v>-2.4170099999999999</v>
      </c>
      <c r="L2301" s="112">
        <v>0.239957</v>
      </c>
      <c r="M2301" s="112">
        <v>-8.4781200000000001E-2</v>
      </c>
      <c r="N2301" s="112">
        <v>-4.6967099999999998E-2</v>
      </c>
      <c r="O2301" s="112">
        <v>1.0098500000000001E-3</v>
      </c>
      <c r="P2301" s="112">
        <v>-9.4603210000000001E-4</v>
      </c>
      <c r="Q2301" s="112">
        <v>-3.21021E-4</v>
      </c>
      <c r="R2301" s="112">
        <v>4.3895799999999998E-4</v>
      </c>
      <c r="S2301" s="112">
        <v>91.158000000000001</v>
      </c>
      <c r="T2301" s="112">
        <v>-3.5485600000000002</v>
      </c>
      <c r="U2301" s="112">
        <v>0.40192099999999997</v>
      </c>
      <c r="V2301" s="112">
        <v>-0.13345899999999999</v>
      </c>
      <c r="W2301" s="112">
        <v>0.113313</v>
      </c>
      <c r="X2301" s="112">
        <v>2.5230900000000001E-2</v>
      </c>
      <c r="Y2301" s="112">
        <v>-9.1907100000000004E-4</v>
      </c>
      <c r="Z2301" s="112">
        <v>1.7152599999999999E-3</v>
      </c>
      <c r="AA2301" s="112">
        <v>-2.6097200000000001E-5</v>
      </c>
      <c r="AB2301" s="112">
        <v>-1.56661E-4</v>
      </c>
      <c r="AC2301" s="119"/>
      <c r="AD2301" s="119"/>
      <c r="AE2301" s="120"/>
      <c r="AF2301" s="119"/>
      <c r="AG2301" s="119"/>
      <c r="AH2301" s="120"/>
      <c r="AI2301" s="121"/>
      <c r="AJ2301" s="121"/>
      <c r="AK2301" s="121"/>
      <c r="AL2301" s="121"/>
      <c r="AM2301" s="122"/>
      <c r="AN2301" s="121"/>
    </row>
    <row r="2302" spans="1:40">
      <c r="A2302" s="71" t="s">
        <v>126</v>
      </c>
      <c r="B2302" s="72" t="s">
        <v>100</v>
      </c>
      <c r="C2302" s="71"/>
      <c r="D2302" s="72"/>
      <c r="E2302" s="71" t="s">
        <v>47</v>
      </c>
      <c r="F2302" s="72" t="s">
        <v>224</v>
      </c>
      <c r="G2302" s="77"/>
      <c r="H2302" s="72" t="str">
        <f>CONCATENATE(A2302," ",B2302," ",C2302," ",D2302," ",E2302," ",F2302)</f>
        <v>Tecumseh R134a   VSD VE1374Y</v>
      </c>
      <c r="I2302" s="91"/>
      <c r="J2302" s="92"/>
      <c r="K2302" s="92"/>
      <c r="L2302" s="92"/>
      <c r="M2302" s="92"/>
      <c r="N2302" s="92"/>
      <c r="O2302" s="92"/>
      <c r="P2302" s="92"/>
      <c r="Q2302" s="92"/>
      <c r="R2302" s="92"/>
      <c r="S2302" s="92"/>
      <c r="T2302" s="92"/>
      <c r="U2302" s="92"/>
      <c r="V2302" s="92"/>
      <c r="W2302" s="92"/>
      <c r="X2302" s="92"/>
      <c r="Y2302" s="92"/>
      <c r="Z2302" s="92"/>
      <c r="AA2302" s="92"/>
      <c r="AB2302" s="92"/>
      <c r="AC2302" s="119"/>
      <c r="AD2302" s="119"/>
      <c r="AE2302" s="120"/>
      <c r="AF2302" s="119"/>
      <c r="AG2302" s="119"/>
      <c r="AH2302" s="120"/>
      <c r="AI2302" s="121"/>
      <c r="AJ2302" s="121"/>
      <c r="AK2302" s="121"/>
      <c r="AL2302" s="121"/>
      <c r="AM2302" s="122"/>
      <c r="AN2302" s="121"/>
    </row>
    <row r="2303" spans="1:40">
      <c r="A2303" s="71"/>
      <c r="B2303" s="72"/>
      <c r="C2303" s="71"/>
      <c r="D2303" s="72"/>
      <c r="E2303" s="71"/>
      <c r="F2303" s="72"/>
      <c r="G2303" s="77">
        <v>1600</v>
      </c>
      <c r="H2303" s="3"/>
      <c r="I2303" s="91">
        <v>427.64523759594573</v>
      </c>
      <c r="J2303" s="92">
        <v>15.467567972332072</v>
      </c>
      <c r="K2303" s="92">
        <v>-4.6265232711848325</v>
      </c>
      <c r="L2303" s="92">
        <v>0.29846087311252101</v>
      </c>
      <c r="M2303" s="92">
        <v>-2.5318574866949609E-2</v>
      </c>
      <c r="N2303" s="92">
        <v>4.7840046987600512E-2</v>
      </c>
      <c r="O2303" s="92">
        <v>3.0129443978875801E-3</v>
      </c>
      <c r="P2303" s="92">
        <v>1.1377116574051023E-4</v>
      </c>
      <c r="Q2303" s="92">
        <v>-2.3200410023284295E-4</v>
      </c>
      <c r="R2303" s="92">
        <v>-3.8812731319160898E-4</v>
      </c>
      <c r="S2303" s="92">
        <v>52.135876802214611</v>
      </c>
      <c r="T2303" s="92">
        <v>-3.6048405745355487</v>
      </c>
      <c r="U2303" s="92">
        <v>-1.8209767626818318</v>
      </c>
      <c r="V2303" s="92">
        <v>-2.4686368933020619E-2</v>
      </c>
      <c r="W2303" s="92">
        <v>0.16226757586590576</v>
      </c>
      <c r="X2303" s="92">
        <v>9.704185042171605E-2</v>
      </c>
      <c r="Y2303" s="92">
        <v>7.9805467185681419E-4</v>
      </c>
      <c r="Z2303" s="92">
        <v>1.8764511993246389E-3</v>
      </c>
      <c r="AA2303" s="92">
        <v>-3.2700585241020346E-4</v>
      </c>
      <c r="AB2303" s="92">
        <v>-7.4122190395520271E-4</v>
      </c>
      <c r="AC2303" s="119">
        <v>5.3794865698860175E-2</v>
      </c>
      <c r="AD2303" s="119" t="s">
        <v>549</v>
      </c>
      <c r="AE2303" s="120" t="s">
        <v>549</v>
      </c>
      <c r="AF2303" s="119">
        <v>4.580279437984365E-2</v>
      </c>
      <c r="AG2303" s="119" t="s">
        <v>549</v>
      </c>
      <c r="AH2303" s="120"/>
      <c r="AI2303" s="121"/>
      <c r="AJ2303" s="121"/>
      <c r="AK2303" s="121"/>
      <c r="AL2303" s="121"/>
      <c r="AM2303" s="122"/>
      <c r="AN2303" s="121"/>
    </row>
    <row r="2304" spans="1:40">
      <c r="A2304" s="71"/>
      <c r="B2304" s="72"/>
      <c r="C2304" s="71"/>
      <c r="D2304" s="72"/>
      <c r="E2304" s="71"/>
      <c r="F2304" s="72"/>
      <c r="G2304" s="77">
        <v>3600</v>
      </c>
      <c r="H2304" s="3"/>
      <c r="I2304" s="91">
        <v>790.56261961769553</v>
      </c>
      <c r="J2304" s="92">
        <v>31.974327272620688</v>
      </c>
      <c r="K2304" s="92">
        <v>-4.6917550834105164</v>
      </c>
      <c r="L2304" s="92">
        <v>0.78563224958171995</v>
      </c>
      <c r="M2304" s="92">
        <v>4.5164126254100871E-2</v>
      </c>
      <c r="N2304" s="92">
        <v>4.4752989184630547E-2</v>
      </c>
      <c r="O2304" s="92">
        <v>8.3903287513433268E-3</v>
      </c>
      <c r="P2304" s="92">
        <v>-8.0369699305169243E-4</v>
      </c>
      <c r="Q2304" s="92">
        <v>-1.6176273481579978E-3</v>
      </c>
      <c r="R2304" s="92">
        <v>-7.1274533163649038E-4</v>
      </c>
      <c r="S2304" s="92">
        <v>92.924629225357336</v>
      </c>
      <c r="T2304" s="92">
        <v>-0.20363574378413554</v>
      </c>
      <c r="U2304" s="92">
        <v>0.62584453874317458</v>
      </c>
      <c r="V2304" s="92">
        <v>9.997753011300399E-2</v>
      </c>
      <c r="W2304" s="92">
        <v>0.15557954822470041</v>
      </c>
      <c r="X2304" s="92">
        <v>7.1074454367335629E-2</v>
      </c>
      <c r="Y2304" s="92">
        <v>1.8905908214442108E-3</v>
      </c>
      <c r="Z2304" s="92">
        <v>7.1059270963365762E-4</v>
      </c>
      <c r="AA2304" s="92">
        <v>-3.6988204624510012E-4</v>
      </c>
      <c r="AB2304" s="92">
        <v>-6.6528415789533161E-4</v>
      </c>
      <c r="AC2304" s="119">
        <v>0.30641883559387667</v>
      </c>
      <c r="AD2304" s="119" t="s">
        <v>549</v>
      </c>
      <c r="AE2304" s="120" t="s">
        <v>549</v>
      </c>
      <c r="AF2304" s="119">
        <v>6.0839797199183941E-2</v>
      </c>
      <c r="AG2304" s="119" t="s">
        <v>549</v>
      </c>
      <c r="AH2304" s="120"/>
      <c r="AI2304" s="121"/>
      <c r="AJ2304" s="121"/>
      <c r="AK2304" s="121"/>
      <c r="AL2304" s="121"/>
      <c r="AM2304" s="122"/>
      <c r="AN2304" s="121"/>
    </row>
    <row r="2305" spans="1:40">
      <c r="A2305" s="71"/>
      <c r="B2305" s="72"/>
      <c r="C2305" s="71"/>
      <c r="D2305" s="72"/>
      <c r="E2305" s="71"/>
      <c r="F2305" s="72"/>
      <c r="G2305" s="77">
        <v>4500</v>
      </c>
      <c r="H2305" s="3"/>
      <c r="I2305" s="91">
        <v>1811.3108225765056</v>
      </c>
      <c r="J2305" s="92">
        <v>75.75326014156262</v>
      </c>
      <c r="K2305" s="92">
        <v>-24.023989351272707</v>
      </c>
      <c r="L2305" s="92">
        <v>1.0535308998742021</v>
      </c>
      <c r="M2305" s="92">
        <v>-0.92212168293509467</v>
      </c>
      <c r="N2305" s="92">
        <v>-6.9331961235822789E-3</v>
      </c>
      <c r="O2305" s="92">
        <v>7.5001909701770423E-3</v>
      </c>
      <c r="P2305" s="92">
        <v>-4.1755820617076665E-3</v>
      </c>
      <c r="Q2305" s="92">
        <v>3.7675923454721198E-3</v>
      </c>
      <c r="R2305" s="92">
        <v>1.1624150112290517E-3</v>
      </c>
      <c r="S2305" s="92">
        <v>164.5369717768379</v>
      </c>
      <c r="T2305" s="92">
        <v>4.3773044533524175</v>
      </c>
      <c r="U2305" s="92">
        <v>7.92232722944782</v>
      </c>
      <c r="V2305" s="92">
        <v>1.1502493659658004E-2</v>
      </c>
      <c r="W2305" s="92">
        <v>0.11826543102787353</v>
      </c>
      <c r="X2305" s="92">
        <v>-0.15854293735870417</v>
      </c>
      <c r="Y2305" s="92">
        <v>8.7212031122691001E-4</v>
      </c>
      <c r="Z2305" s="92">
        <v>2.395646574961767E-3</v>
      </c>
      <c r="AA2305" s="92">
        <v>-2.9017685289481728E-4</v>
      </c>
      <c r="AB2305" s="92">
        <v>1.0671636286825423E-3</v>
      </c>
      <c r="AC2305" s="119">
        <v>5.611016146838585E-2</v>
      </c>
      <c r="AD2305" s="119" t="s">
        <v>549</v>
      </c>
      <c r="AE2305" s="120" t="s">
        <v>549</v>
      </c>
      <c r="AF2305" s="119">
        <v>5.2849232642022119E-2</v>
      </c>
      <c r="AG2305" s="119" t="s">
        <v>549</v>
      </c>
      <c r="AH2305" s="120"/>
      <c r="AI2305" s="121"/>
      <c r="AJ2305" s="121"/>
      <c r="AK2305" s="121"/>
      <c r="AL2305" s="121"/>
      <c r="AM2305" s="122"/>
      <c r="AN2305" s="121"/>
    </row>
    <row r="2306" spans="1:40">
      <c r="A2306" s="71" t="s">
        <v>118</v>
      </c>
      <c r="B2306" s="72" t="s">
        <v>44</v>
      </c>
      <c r="C2306" s="71" t="s">
        <v>45</v>
      </c>
      <c r="D2306" s="72" t="s">
        <v>46</v>
      </c>
      <c r="E2306" s="71" t="s">
        <v>47</v>
      </c>
      <c r="F2306" s="72" t="s">
        <v>226</v>
      </c>
      <c r="G2306" s="77"/>
      <c r="H2306" s="72" t="str">
        <f>CONCATENATE(A2306," ",B2306," ",C2306," ",D2306," ",E2306," ",F2306)</f>
        <v>Panasonic Isobutane 50 Hz 230V VSD TKD100E23DAH (GEN2 board)</v>
      </c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  <c r="AA2306" s="4"/>
      <c r="AB2306" s="4"/>
      <c r="AC2306" s="119"/>
      <c r="AD2306" s="119"/>
      <c r="AE2306" s="120"/>
      <c r="AF2306" s="119"/>
      <c r="AG2306" s="119"/>
      <c r="AH2306" s="120"/>
      <c r="AI2306" s="121"/>
      <c r="AJ2306" s="121"/>
      <c r="AK2306" s="121"/>
      <c r="AL2306" s="121"/>
      <c r="AM2306" s="122"/>
      <c r="AN2306" s="121"/>
    </row>
    <row r="2307" spans="1:40">
      <c r="A2307" s="71"/>
      <c r="B2307" s="72"/>
      <c r="C2307" s="71"/>
      <c r="D2307" s="72"/>
      <c r="E2307" s="71"/>
      <c r="F2307" s="72"/>
      <c r="G2307" s="77">
        <v>1020</v>
      </c>
      <c r="H2307" s="72"/>
      <c r="I2307" s="4">
        <v>0.58397712041457106</v>
      </c>
      <c r="J2307" s="4">
        <v>-3.9516490016079757</v>
      </c>
      <c r="K2307" s="4">
        <v>9.1154359454463574</v>
      </c>
      <c r="L2307" s="4">
        <v>-0.50488629097366</v>
      </c>
      <c r="M2307" s="4">
        <v>-8.4084573186862285E-2</v>
      </c>
      <c r="N2307" s="4">
        <v>-0.2485531007141035</v>
      </c>
      <c r="O2307" s="4">
        <v>-8.2323370309483283E-3</v>
      </c>
      <c r="P2307" s="4">
        <v>-4.1897144441729129E-4</v>
      </c>
      <c r="Q2307" s="4">
        <v>4.0311775911163297E-4</v>
      </c>
      <c r="R2307" s="4">
        <v>1.8702743677710949E-3</v>
      </c>
      <c r="S2307" s="4">
        <v>4.1413238900993514E-2</v>
      </c>
      <c r="T2307" s="4">
        <v>-0.53926525147942184</v>
      </c>
      <c r="U2307" s="4">
        <v>1.6301048699532545</v>
      </c>
      <c r="V2307" s="4">
        <v>-1.9629245193359953E-2</v>
      </c>
      <c r="W2307" s="4">
        <v>2.6986305779462733E-2</v>
      </c>
      <c r="X2307" s="4">
        <v>-1.9484125978923472E-2</v>
      </c>
      <c r="Y2307" s="4">
        <v>-1.3908436237872377E-5</v>
      </c>
      <c r="Z2307" s="4">
        <v>5.5008935185846361E-4</v>
      </c>
      <c r="AA2307" s="4">
        <v>2.1137861809237418E-4</v>
      </c>
      <c r="AB2307" s="4">
        <v>1.8765681264472215E-4</v>
      </c>
      <c r="AC2307" s="119">
        <v>6.3053322146735733E-4</v>
      </c>
      <c r="AD2307" s="119">
        <v>0.60261527450944885</v>
      </c>
      <c r="AE2307" s="120">
        <v>8.5314539990275062E-3</v>
      </c>
      <c r="AF2307" s="119">
        <v>2.062273886003024E-5</v>
      </c>
      <c r="AG2307" s="119">
        <v>2.0839154594982465E-2</v>
      </c>
      <c r="AH2307" s="120">
        <v>2.5486769319275101E-3</v>
      </c>
      <c r="AI2307" s="121">
        <v>-34.4</v>
      </c>
      <c r="AJ2307" s="121">
        <v>-12.2</v>
      </c>
      <c r="AK2307" s="121">
        <v>37.799999999999997</v>
      </c>
      <c r="AL2307" s="121">
        <v>54.4</v>
      </c>
      <c r="AM2307" s="122">
        <v>43738</v>
      </c>
      <c r="AN2307" s="121" t="s">
        <v>504</v>
      </c>
    </row>
    <row r="2308" spans="1:40">
      <c r="A2308" s="71"/>
      <c r="B2308" s="72"/>
      <c r="C2308" s="71"/>
      <c r="D2308" s="72"/>
      <c r="E2308" s="71"/>
      <c r="F2308" s="72"/>
      <c r="G2308" s="77">
        <v>1620</v>
      </c>
      <c r="H2308" s="72"/>
      <c r="I2308" s="4">
        <v>0.77153254680513028</v>
      </c>
      <c r="J2308" s="4">
        <v>-6.9252501660707884</v>
      </c>
      <c r="K2308" s="4">
        <v>13.660027594331943</v>
      </c>
      <c r="L2308" s="4">
        <v>-0.64949350392570604</v>
      </c>
      <c r="M2308" s="4">
        <v>5.0655255614303132E-2</v>
      </c>
      <c r="N2308" s="4">
        <v>-0.31881304978636726</v>
      </c>
      <c r="O2308" s="4">
        <v>-1.0605167806298412E-2</v>
      </c>
      <c r="P2308" s="4">
        <v>-8.5108769685433727E-5</v>
      </c>
      <c r="Q2308" s="4">
        <v>-1.0756466046265049E-3</v>
      </c>
      <c r="R2308" s="4">
        <v>2.0607492942006297E-3</v>
      </c>
      <c r="S2308" s="4">
        <v>0.10450219062335869</v>
      </c>
      <c r="T2308" s="4">
        <v>-1.0019325903643279</v>
      </c>
      <c r="U2308" s="4">
        <v>1.9857483644087466</v>
      </c>
      <c r="V2308" s="4">
        <v>6.1441754437172591E-3</v>
      </c>
      <c r="W2308" s="4">
        <v>7.6698001003148941E-2</v>
      </c>
      <c r="X2308" s="4">
        <v>-1.3793548147880159E-3</v>
      </c>
      <c r="Y2308" s="4">
        <v>5.8720524648469554E-4</v>
      </c>
      <c r="Z2308" s="4">
        <v>7.9232344574725545E-4</v>
      </c>
      <c r="AA2308" s="4">
        <v>-1.4453880768798566E-4</v>
      </c>
      <c r="AB2308" s="4">
        <v>-7.3643038290976224E-5</v>
      </c>
      <c r="AC2308" s="119">
        <v>1.7386365136848791E-4</v>
      </c>
      <c r="AD2308" s="119">
        <v>1.7567320996745493E-2</v>
      </c>
      <c r="AE2308" s="120">
        <v>8.9156545082299686E-4</v>
      </c>
      <c r="AF2308" s="119">
        <v>9.2383530848155635E-5</v>
      </c>
      <c r="AG2308" s="119">
        <v>0.10919283854551759</v>
      </c>
      <c r="AH2308" s="120">
        <v>3.6812856934649281E-3</v>
      </c>
      <c r="AI2308" s="121">
        <v>-34.4</v>
      </c>
      <c r="AJ2308" s="121">
        <v>-12.2</v>
      </c>
      <c r="AK2308" s="121">
        <v>37.799999999999997</v>
      </c>
      <c r="AL2308" s="121">
        <v>54.4</v>
      </c>
      <c r="AM2308" s="122">
        <v>43738</v>
      </c>
      <c r="AN2308" s="121" t="s">
        <v>504</v>
      </c>
    </row>
    <row r="2309" spans="1:40">
      <c r="A2309" s="71"/>
      <c r="B2309" s="72"/>
      <c r="C2309" s="71"/>
      <c r="D2309" s="72"/>
      <c r="E2309" s="71"/>
      <c r="F2309" s="72"/>
      <c r="G2309" s="77">
        <v>3120</v>
      </c>
      <c r="H2309" s="72"/>
      <c r="I2309" s="4">
        <v>1.7776229688684413</v>
      </c>
      <c r="J2309" s="4">
        <v>-10.26860897191192</v>
      </c>
      <c r="K2309" s="4">
        <v>30.082791740489306</v>
      </c>
      <c r="L2309" s="4">
        <v>-1.5732543839896624</v>
      </c>
      <c r="M2309" s="4">
        <v>-0.29351442958729607</v>
      </c>
      <c r="N2309" s="4">
        <v>-0.8077440062382456</v>
      </c>
      <c r="O2309" s="4">
        <v>-2.7609939944802906E-2</v>
      </c>
      <c r="P2309" s="4">
        <v>-3.8244961716820437E-3</v>
      </c>
      <c r="Q2309" s="4">
        <v>2.2032964207392694E-4</v>
      </c>
      <c r="R2309" s="4">
        <v>5.8485175543742524E-3</v>
      </c>
      <c r="S2309" s="4">
        <v>2.4261879113544322E-3</v>
      </c>
      <c r="T2309" s="4">
        <v>-4.4924685109373114E-2</v>
      </c>
      <c r="U2309" s="4">
        <v>7.0851280888026809</v>
      </c>
      <c r="V2309" s="4">
        <v>-8.7953373812082694E-2</v>
      </c>
      <c r="W2309" s="4">
        <v>1.4147382108681038E-2</v>
      </c>
      <c r="X2309" s="4">
        <v>-0.12294230663405192</v>
      </c>
      <c r="Y2309" s="4">
        <v>-1.4598168370447942E-3</v>
      </c>
      <c r="Z2309" s="4">
        <v>4.3601363719928719E-5</v>
      </c>
      <c r="AA2309" s="4">
        <v>3.4215044891429793E-4</v>
      </c>
      <c r="AB2309" s="4">
        <v>9.0164377092344307E-4</v>
      </c>
      <c r="AC2309" s="119">
        <v>4.4720643530144089E-3</v>
      </c>
      <c r="AD2309" s="119">
        <v>2.1788923664126103</v>
      </c>
      <c r="AE2309" s="120">
        <v>4.7437562445214422E-3</v>
      </c>
      <c r="AF2309" s="119">
        <v>2.350827389100407E-5</v>
      </c>
      <c r="AG2309" s="119">
        <v>1.7458827741178172E-3</v>
      </c>
      <c r="AH2309" s="120">
        <v>2.2998230542926659E-4</v>
      </c>
      <c r="AI2309" s="121">
        <v>-34.4</v>
      </c>
      <c r="AJ2309" s="121">
        <v>-12.2</v>
      </c>
      <c r="AK2309" s="121">
        <v>37.799999999999997</v>
      </c>
      <c r="AL2309" s="121">
        <v>54.4</v>
      </c>
      <c r="AM2309" s="122">
        <v>43738</v>
      </c>
      <c r="AN2309" s="121" t="s">
        <v>504</v>
      </c>
    </row>
    <row r="2310" spans="1:40">
      <c r="A2310" s="71"/>
      <c r="B2310" s="72"/>
      <c r="C2310" s="71"/>
      <c r="D2310" s="72"/>
      <c r="E2310" s="71"/>
      <c r="F2310" s="72"/>
      <c r="G2310" s="77">
        <v>4500</v>
      </c>
      <c r="H2310" s="72"/>
      <c r="I2310" s="4">
        <v>2.7858134163763126</v>
      </c>
      <c r="J2310" s="4">
        <v>-17.439830825965988</v>
      </c>
      <c r="K2310" s="4">
        <v>38.911747879872728</v>
      </c>
      <c r="L2310" s="4">
        <v>-2.9396814720641848</v>
      </c>
      <c r="M2310" s="4">
        <v>-1.0706511626363282</v>
      </c>
      <c r="N2310" s="4">
        <v>-1.1794670524590554</v>
      </c>
      <c r="O2310" s="4">
        <v>-5.1822208054797696E-2</v>
      </c>
      <c r="P2310" s="4">
        <v>-1.0547820682684029E-2</v>
      </c>
      <c r="Q2310" s="4">
        <v>5.4709453944839156E-3</v>
      </c>
      <c r="R2310" s="4">
        <v>9.1670973349393843E-3</v>
      </c>
      <c r="S2310" s="4">
        <v>9.0335824639935041</v>
      </c>
      <c r="T2310" s="4">
        <v>-7.5322378538736023</v>
      </c>
      <c r="U2310" s="4">
        <v>6.2702629038155804</v>
      </c>
      <c r="V2310" s="4">
        <v>-0.79326885732217201</v>
      </c>
      <c r="W2310" s="4">
        <v>-0.27798789416920372</v>
      </c>
      <c r="X2310" s="4">
        <v>-0.12558633301678959</v>
      </c>
      <c r="Y2310" s="4">
        <v>-1.4424827278202599E-2</v>
      </c>
      <c r="Z2310" s="4">
        <v>-4.3009307527777617E-3</v>
      </c>
      <c r="AA2310" s="4">
        <v>1.8390884452568279E-3</v>
      </c>
      <c r="AB2310" s="4">
        <v>9.3777109428690923E-4</v>
      </c>
      <c r="AC2310" s="119">
        <v>9.0125026922590248E-3</v>
      </c>
      <c r="AD2310" s="119">
        <v>1.9394705416241249</v>
      </c>
      <c r="AE2310" s="120">
        <v>3.6972805413452623E-3</v>
      </c>
      <c r="AF2310" s="119">
        <v>4.185967617682955E-4</v>
      </c>
      <c r="AG2310" s="119">
        <v>0.26222364213874222</v>
      </c>
      <c r="AH2310" s="120">
        <v>1.834645953697561E-3</v>
      </c>
      <c r="AI2310" s="121">
        <v>-34.4</v>
      </c>
      <c r="AJ2310" s="121">
        <v>-12.2</v>
      </c>
      <c r="AK2310" s="121">
        <v>37.799999999999997</v>
      </c>
      <c r="AL2310" s="121">
        <v>54.4</v>
      </c>
      <c r="AM2310" s="122">
        <v>43738</v>
      </c>
      <c r="AN2310" s="121" t="s">
        <v>504</v>
      </c>
    </row>
    <row r="2311" spans="1:40">
      <c r="A2311" s="71" t="s">
        <v>118</v>
      </c>
      <c r="B2311" s="72" t="s">
        <v>44</v>
      </c>
      <c r="C2311" s="71" t="s">
        <v>45</v>
      </c>
      <c r="D2311" s="72" t="s">
        <v>46</v>
      </c>
      <c r="E2311" s="71" t="s">
        <v>47</v>
      </c>
      <c r="F2311" s="72" t="s">
        <v>228</v>
      </c>
      <c r="G2311" s="77"/>
      <c r="H2311" s="72" t="str">
        <f>CONCATENATE(A2311," ",B2311," ",C2311," ",D2311," ",E2311," ",F2311)</f>
        <v>Panasonic Isobutane 50 Hz 230V VSD TKD67E28D (Panasonic GEN2 board)</v>
      </c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  <c r="AA2311" s="4"/>
      <c r="AB2311" s="4"/>
      <c r="AC2311" s="119"/>
      <c r="AD2311" s="119"/>
      <c r="AE2311" s="120"/>
      <c r="AF2311" s="119"/>
      <c r="AG2311" s="119"/>
      <c r="AH2311" s="120"/>
      <c r="AI2311" s="121"/>
      <c r="AJ2311" s="121"/>
      <c r="AK2311" s="121"/>
      <c r="AL2311" s="121"/>
      <c r="AM2311" s="122"/>
      <c r="AN2311" s="121"/>
    </row>
    <row r="2312" spans="1:40">
      <c r="A2312" s="71"/>
      <c r="B2312" s="72"/>
      <c r="C2312" s="71"/>
      <c r="D2312" s="72"/>
      <c r="E2312" s="71"/>
      <c r="F2312" s="72"/>
      <c r="G2312" s="77">
        <v>1020</v>
      </c>
      <c r="H2312" s="72"/>
      <c r="I2312" s="4">
        <v>-6.1093447888636252</v>
      </c>
      <c r="J2312" s="4">
        <v>28.882418178443324</v>
      </c>
      <c r="K2312" s="4">
        <v>38.228230865266717</v>
      </c>
      <c r="L2312" s="4">
        <v>0.28136469394927688</v>
      </c>
      <c r="M2312" s="4">
        <v>-0.27448751236402463</v>
      </c>
      <c r="N2312" s="4">
        <v>-0.83231183147427845</v>
      </c>
      <c r="O2312" s="4">
        <v>1.4197306926046851E-3</v>
      </c>
      <c r="P2312" s="4">
        <v>-7.7274291134257647E-4</v>
      </c>
      <c r="Q2312" s="4">
        <v>1.0833374288556829E-3</v>
      </c>
      <c r="R2312" s="4">
        <v>5.183178218198187E-3</v>
      </c>
      <c r="S2312" s="4">
        <v>0.32508889015224529</v>
      </c>
      <c r="T2312" s="4">
        <v>2.5965211034334055</v>
      </c>
      <c r="U2312" s="4">
        <v>7.2716974968425525</v>
      </c>
      <c r="V2312" s="4">
        <v>-2.7135080855574315E-2</v>
      </c>
      <c r="W2312" s="4">
        <v>-2.190291895946141E-2</v>
      </c>
      <c r="X2312" s="4">
        <v>-0.10685234676843793</v>
      </c>
      <c r="Y2312" s="4">
        <v>2.7542762787653236E-4</v>
      </c>
      <c r="Z2312" s="4">
        <v>1.1627683980575557E-3</v>
      </c>
      <c r="AA2312" s="4">
        <v>9.6706550358263005E-4</v>
      </c>
      <c r="AB2312" s="4">
        <v>6.5806321593983726E-4</v>
      </c>
      <c r="AC2312" s="119">
        <v>14076.061160959482</v>
      </c>
      <c r="AD2312" s="119">
        <v>136007.25982653251</v>
      </c>
      <c r="AE2312" s="120">
        <v>1.6286516919253513</v>
      </c>
      <c r="AF2312" s="119">
        <v>2949.312016853049</v>
      </c>
      <c r="AG2312" s="119">
        <v>46243.938716246405</v>
      </c>
      <c r="AH2312" s="120">
        <v>2.5378384764446604</v>
      </c>
      <c r="AI2312" s="121">
        <v>-34.4</v>
      </c>
      <c r="AJ2312" s="121">
        <v>-12.2</v>
      </c>
      <c r="AK2312" s="121">
        <v>37.799999999999997</v>
      </c>
      <c r="AL2312" s="121">
        <v>54.4</v>
      </c>
      <c r="AM2312" s="122">
        <v>43487</v>
      </c>
      <c r="AN2312" s="121" t="s">
        <v>504</v>
      </c>
    </row>
    <row r="2313" spans="1:40">
      <c r="A2313" s="71"/>
      <c r="B2313" s="72"/>
      <c r="C2313" s="71"/>
      <c r="D2313" s="72"/>
      <c r="E2313" s="71"/>
      <c r="F2313" s="72"/>
      <c r="G2313" s="77">
        <v>1220</v>
      </c>
      <c r="H2313" s="72"/>
      <c r="I2313" s="4">
        <v>-6.1093447888636252</v>
      </c>
      <c r="J2313" s="4">
        <v>28.882418178443324</v>
      </c>
      <c r="K2313" s="4">
        <v>38.228230865266717</v>
      </c>
      <c r="L2313" s="4">
        <v>0.28136469394927688</v>
      </c>
      <c r="M2313" s="4">
        <v>-0.27448751236402463</v>
      </c>
      <c r="N2313" s="4">
        <v>-0.83231183147427845</v>
      </c>
      <c r="O2313" s="4">
        <v>1.4197306926046851E-3</v>
      </c>
      <c r="P2313" s="4">
        <v>-7.7274291134257647E-4</v>
      </c>
      <c r="Q2313" s="4">
        <v>1.0833374288556829E-3</v>
      </c>
      <c r="R2313" s="4">
        <v>5.183178218198187E-3</v>
      </c>
      <c r="S2313" s="4">
        <v>0.32508889015224529</v>
      </c>
      <c r="T2313" s="4">
        <v>2.5965211034334055</v>
      </c>
      <c r="U2313" s="4">
        <v>7.2716974968425525</v>
      </c>
      <c r="V2313" s="4">
        <v>-2.7135080855574315E-2</v>
      </c>
      <c r="W2313" s="4">
        <v>-2.190291895946141E-2</v>
      </c>
      <c r="X2313" s="4">
        <v>-0.10685234676843793</v>
      </c>
      <c r="Y2313" s="4">
        <v>2.7542762787653236E-4</v>
      </c>
      <c r="Z2313" s="4">
        <v>1.1627683980575557E-3</v>
      </c>
      <c r="AA2313" s="4">
        <v>9.6706550358263005E-4</v>
      </c>
      <c r="AB2313" s="4">
        <v>6.5806321593983726E-4</v>
      </c>
      <c r="AC2313" s="119">
        <v>14076.061160959482</v>
      </c>
      <c r="AD2313" s="119">
        <v>136007.25982653251</v>
      </c>
      <c r="AE2313" s="120">
        <v>1.6286516919253513</v>
      </c>
      <c r="AF2313" s="119">
        <v>2949.312016853049</v>
      </c>
      <c r="AG2313" s="119">
        <v>46243.938716246405</v>
      </c>
      <c r="AH2313" s="120">
        <v>2.5378384764446604</v>
      </c>
      <c r="AI2313" s="121">
        <v>-34.4</v>
      </c>
      <c r="AJ2313" s="121">
        <v>-12.2</v>
      </c>
      <c r="AK2313" s="121">
        <v>37.799999999999997</v>
      </c>
      <c r="AL2313" s="121">
        <v>54.4</v>
      </c>
      <c r="AM2313" s="122">
        <v>43487</v>
      </c>
      <c r="AN2313" s="121" t="s">
        <v>504</v>
      </c>
    </row>
    <row r="2314" spans="1:40">
      <c r="A2314" s="71" t="s">
        <v>118</v>
      </c>
      <c r="B2314" s="71" t="s">
        <v>100</v>
      </c>
      <c r="C2314" s="71" t="s">
        <v>105</v>
      </c>
      <c r="D2314" s="71" t="s">
        <v>101</v>
      </c>
      <c r="E2314" s="71" t="s">
        <v>47</v>
      </c>
      <c r="F2314" s="71" t="s">
        <v>230</v>
      </c>
      <c r="G2314" s="77"/>
      <c r="H2314" s="72" t="str">
        <f>CONCATENATE(A2314," ",B2314," ",C2314," ",D2314," ",E2314," ",F2314)</f>
        <v>Panasonic R134a 60 Hz 115V VSD EEI57</v>
      </c>
      <c r="I2314" s="91"/>
      <c r="J2314" s="92"/>
      <c r="K2314" s="92"/>
      <c r="L2314" s="92"/>
      <c r="M2314" s="92"/>
      <c r="N2314" s="92"/>
      <c r="O2314" s="92"/>
      <c r="P2314" s="92"/>
      <c r="Q2314" s="92"/>
      <c r="R2314" s="92"/>
      <c r="S2314" s="92"/>
      <c r="T2314" s="92"/>
      <c r="U2314" s="92"/>
      <c r="V2314" s="92"/>
      <c r="W2314" s="92"/>
      <c r="X2314" s="92"/>
      <c r="Y2314" s="92"/>
      <c r="Z2314" s="92"/>
      <c r="AA2314" s="92"/>
      <c r="AB2314" s="92"/>
      <c r="AC2314" s="119"/>
      <c r="AD2314" s="119"/>
      <c r="AE2314" s="120"/>
      <c r="AF2314" s="119"/>
      <c r="AG2314" s="119"/>
      <c r="AH2314" s="120"/>
      <c r="AI2314" s="121"/>
      <c r="AJ2314" s="121"/>
      <c r="AK2314" s="121"/>
      <c r="AL2314" s="121"/>
      <c r="AM2314" s="122"/>
      <c r="AN2314" s="121"/>
    </row>
    <row r="2315" spans="1:40">
      <c r="A2315" s="3"/>
      <c r="B2315" s="3"/>
      <c r="C2315" s="3"/>
      <c r="D2315" s="3"/>
      <c r="E2315" s="3"/>
      <c r="F2315" s="3"/>
      <c r="G2315" s="77">
        <v>1200</v>
      </c>
      <c r="H2315" s="3"/>
      <c r="I2315" s="100">
        <v>219.802990590295</v>
      </c>
      <c r="J2315" s="101">
        <v>5.1892447635908301</v>
      </c>
      <c r="K2315" s="101">
        <v>-7.6270861024289663E-3</v>
      </c>
      <c r="L2315" s="101">
        <v>-8.7855689902029393E-3</v>
      </c>
      <c r="M2315" s="101">
        <v>4.0866700139343057E-2</v>
      </c>
      <c r="N2315" s="101">
        <v>-2.041776998543407E-2</v>
      </c>
      <c r="O2315" s="101">
        <v>-7.9012981167328E-4</v>
      </c>
      <c r="P2315" s="101">
        <v>4.8536452662207327E-4</v>
      </c>
      <c r="Q2315" s="101">
        <v>-6.2741257265447521E-4</v>
      </c>
      <c r="R2315" s="101">
        <v>-2.1602138204182206E-6</v>
      </c>
      <c r="S2315" s="101">
        <v>16.243291045224737</v>
      </c>
      <c r="T2315" s="101">
        <v>-1.5586750020353481</v>
      </c>
      <c r="U2315" s="101">
        <v>0.23564390094645807</v>
      </c>
      <c r="V2315" s="101">
        <v>-2.8610577670742866E-2</v>
      </c>
      <c r="W2315" s="101">
        <v>6.3241226368426481E-2</v>
      </c>
      <c r="X2315" s="101">
        <v>2.9508355834045884E-2</v>
      </c>
      <c r="Y2315" s="101">
        <v>3.0678388353899645E-4</v>
      </c>
      <c r="Z2315" s="101">
        <v>1.198023538195413E-3</v>
      </c>
      <c r="AA2315" s="101">
        <v>2.2862177194155227E-4</v>
      </c>
      <c r="AB2315" s="101">
        <v>-2.2862646855078368E-4</v>
      </c>
      <c r="AC2315" s="119"/>
      <c r="AD2315" s="119"/>
      <c r="AE2315" s="120"/>
      <c r="AF2315" s="119"/>
      <c r="AG2315" s="119"/>
      <c r="AH2315" s="120"/>
      <c r="AI2315" s="121"/>
      <c r="AJ2315" s="121"/>
      <c r="AK2315" s="121"/>
      <c r="AL2315" s="121"/>
      <c r="AM2315" s="122"/>
      <c r="AN2315" s="121"/>
    </row>
    <row r="2316" spans="1:40">
      <c r="A2316" s="3"/>
      <c r="B2316" s="3"/>
      <c r="C2316" s="3"/>
      <c r="D2316" s="3"/>
      <c r="E2316" s="3"/>
      <c r="F2316" s="3"/>
      <c r="G2316" s="77">
        <v>1620</v>
      </c>
      <c r="H2316" s="3"/>
      <c r="I2316" s="100">
        <v>361.25753473360891</v>
      </c>
      <c r="J2316" s="101">
        <v>15.147525705673809</v>
      </c>
      <c r="K2316" s="101">
        <v>-7.7073876566687684E-3</v>
      </c>
      <c r="L2316" s="101">
        <v>-7.8742258451383277E-3</v>
      </c>
      <c r="M2316" s="101">
        <v>-0.33054648804439402</v>
      </c>
      <c r="N2316" s="101">
        <v>-0.12789327566091452</v>
      </c>
      <c r="O2316" s="101">
        <v>-1.5928113335220478E-3</v>
      </c>
      <c r="P2316" s="101">
        <v>-6.5766350418272038E-4</v>
      </c>
      <c r="Q2316" s="101">
        <v>2.8195725658931954E-3</v>
      </c>
      <c r="R2316" s="101">
        <v>1.3870064706472498E-3</v>
      </c>
      <c r="S2316" s="101">
        <v>56.46194356712688</v>
      </c>
      <c r="T2316" s="101">
        <v>1.3127926283629661</v>
      </c>
      <c r="U2316" s="101">
        <v>-9.7069154222684195E-2</v>
      </c>
      <c r="V2316" s="101">
        <v>-3.8324927585078841E-2</v>
      </c>
      <c r="W2316" s="101">
        <v>-7.8691339635412624E-2</v>
      </c>
      <c r="X2316" s="101">
        <v>2.1553699427959675E-3</v>
      </c>
      <c r="Y2316" s="101">
        <v>-1.8599480089762321E-4</v>
      </c>
      <c r="Z2316" s="101">
        <v>3.9087943949799541E-4</v>
      </c>
      <c r="AA2316" s="101">
        <v>1.439531252560468E-3</v>
      </c>
      <c r="AB2316" s="101">
        <v>1.8498296438014059E-4</v>
      </c>
      <c r="AC2316" s="119"/>
      <c r="AD2316" s="119"/>
      <c r="AE2316" s="120"/>
      <c r="AF2316" s="119"/>
      <c r="AG2316" s="119"/>
      <c r="AH2316" s="120"/>
      <c r="AI2316" s="121"/>
      <c r="AJ2316" s="121"/>
      <c r="AK2316" s="121"/>
      <c r="AL2316" s="121"/>
      <c r="AM2316" s="122"/>
      <c r="AN2316" s="121"/>
    </row>
    <row r="2317" spans="1:40">
      <c r="A2317" s="3"/>
      <c r="B2317" s="3"/>
      <c r="C2317" s="3"/>
      <c r="D2317" s="3"/>
      <c r="E2317" s="3"/>
      <c r="F2317" s="3"/>
      <c r="G2317" s="77">
        <v>3120</v>
      </c>
      <c r="H2317" s="3"/>
      <c r="I2317" s="100">
        <v>576.35651870371828</v>
      </c>
      <c r="J2317" s="101">
        <v>12.136151563707658</v>
      </c>
      <c r="K2317" s="101">
        <v>-7.5670093121182449E-3</v>
      </c>
      <c r="L2317" s="101">
        <v>-6.7792876159657621E-3</v>
      </c>
      <c r="M2317" s="101">
        <v>0.1683301583564967</v>
      </c>
      <c r="N2317" s="101">
        <v>-4.4301663127149907E-2</v>
      </c>
      <c r="O2317" s="101">
        <v>-3.5043059388590167E-3</v>
      </c>
      <c r="P2317" s="101">
        <v>-1.7141324325741787E-3</v>
      </c>
      <c r="Q2317" s="101">
        <v>-3.6523482983786327E-3</v>
      </c>
      <c r="R2317" s="101">
        <v>-2.710575732303858E-4</v>
      </c>
      <c r="S2317" s="101">
        <v>92.950259676470765</v>
      </c>
      <c r="T2317" s="101">
        <v>-1.5416548586717727</v>
      </c>
      <c r="U2317" s="101">
        <v>0.43230139642960413</v>
      </c>
      <c r="V2317" s="101">
        <v>-1.2217782322969654E-2</v>
      </c>
      <c r="W2317" s="101">
        <v>0.13981205323155094</v>
      </c>
      <c r="X2317" s="101">
        <v>5.2770295396460574E-2</v>
      </c>
      <c r="Y2317" s="101">
        <v>-1.8058461655000248E-4</v>
      </c>
      <c r="Z2317" s="101">
        <v>2.4261491347729454E-5</v>
      </c>
      <c r="AA2317" s="101">
        <v>-9.4789074806869592E-4</v>
      </c>
      <c r="AB2317" s="101">
        <v>-5.6353977423005902E-4</v>
      </c>
      <c r="AC2317" s="119"/>
      <c r="AD2317" s="119"/>
      <c r="AE2317" s="120"/>
      <c r="AF2317" s="119"/>
      <c r="AG2317" s="119"/>
      <c r="AH2317" s="120"/>
      <c r="AI2317" s="121"/>
      <c r="AJ2317" s="121"/>
      <c r="AK2317" s="121"/>
      <c r="AL2317" s="121"/>
      <c r="AM2317" s="122"/>
      <c r="AN2317" s="121"/>
    </row>
    <row r="2318" spans="1:40">
      <c r="A2318" s="3"/>
      <c r="B2318" s="3"/>
      <c r="C2318" s="3"/>
      <c r="D2318" s="3"/>
      <c r="E2318" s="3"/>
      <c r="F2318" s="3"/>
      <c r="G2318" s="77">
        <v>4320</v>
      </c>
      <c r="H2318" s="3"/>
      <c r="I2318" s="100">
        <v>853.0977379118367</v>
      </c>
      <c r="J2318" s="101">
        <v>41.428503852743106</v>
      </c>
      <c r="K2318" s="101">
        <v>-7.8531305962012063E-3</v>
      </c>
      <c r="L2318" s="101">
        <v>-2.1979860462527272E-3</v>
      </c>
      <c r="M2318" s="101">
        <v>-1.0198157632079876</v>
      </c>
      <c r="N2318" s="101">
        <v>-0.28044301361189161</v>
      </c>
      <c r="O2318" s="101">
        <v>-1.00884306454707E-2</v>
      </c>
      <c r="P2318" s="101">
        <v>-1.1648618481437303E-2</v>
      </c>
      <c r="Q2318" s="101">
        <v>5.0095676998715317E-3</v>
      </c>
      <c r="R2318" s="101">
        <v>2.5669401078968353E-3</v>
      </c>
      <c r="S2318" s="101">
        <v>359.52700852561037</v>
      </c>
      <c r="T2318" s="101">
        <v>23.703950994738317</v>
      </c>
      <c r="U2318" s="101">
        <v>-1.353170562560839</v>
      </c>
      <c r="V2318" s="101">
        <v>-0.16355180196567765</v>
      </c>
      <c r="W2318" s="101">
        <v>-1.062936126569255</v>
      </c>
      <c r="X2318" s="101">
        <v>-0.18970307601662259</v>
      </c>
      <c r="Y2318" s="101">
        <v>-7.7233217366802845E-3</v>
      </c>
      <c r="Z2318" s="101">
        <v>-8.2398530097302185E-3</v>
      </c>
      <c r="AA2318" s="101">
        <v>8.3322530792089879E-3</v>
      </c>
      <c r="AB2318" s="101">
        <v>2.7087648723079006E-3</v>
      </c>
      <c r="AC2318" s="119"/>
      <c r="AD2318" s="119"/>
      <c r="AE2318" s="120"/>
      <c r="AF2318" s="119"/>
      <c r="AG2318" s="119"/>
      <c r="AH2318" s="120"/>
      <c r="AI2318" s="121"/>
      <c r="AJ2318" s="121"/>
      <c r="AK2318" s="121"/>
      <c r="AL2318" s="121"/>
      <c r="AM2318" s="122"/>
      <c r="AN2318" s="121"/>
    </row>
    <row r="2319" spans="1:40">
      <c r="A2319" s="102" t="s">
        <v>118</v>
      </c>
      <c r="B2319" s="102" t="s">
        <v>100</v>
      </c>
      <c r="C2319" s="102" t="s">
        <v>105</v>
      </c>
      <c r="D2319" s="102" t="s">
        <v>101</v>
      </c>
      <c r="E2319" s="102" t="s">
        <v>47</v>
      </c>
      <c r="F2319" s="102" t="s">
        <v>232</v>
      </c>
      <c r="G2319" s="3"/>
      <c r="H2319" s="72" t="str">
        <f>CONCATENATE(A2319," ",B2319," ",C2319," ",D2319," ",E2319," ",F2319)</f>
        <v>Panasonic R134a 60 Hz 115V VSD ENI57</v>
      </c>
      <c r="I2319" s="100"/>
      <c r="J2319" s="101"/>
      <c r="K2319" s="101"/>
      <c r="L2319" s="101"/>
      <c r="M2319" s="101"/>
      <c r="N2319" s="101"/>
      <c r="O2319" s="101"/>
      <c r="P2319" s="101"/>
      <c r="Q2319" s="101"/>
      <c r="R2319" s="101"/>
      <c r="S2319" s="101"/>
      <c r="T2319" s="101"/>
      <c r="U2319" s="101"/>
      <c r="V2319" s="101"/>
      <c r="W2319" s="101"/>
      <c r="X2319" s="101"/>
      <c r="Y2319" s="101"/>
      <c r="Z2319" s="101"/>
      <c r="AA2319" s="101"/>
      <c r="AB2319" s="101"/>
      <c r="AC2319" s="119"/>
      <c r="AD2319" s="119"/>
      <c r="AE2319" s="120"/>
      <c r="AF2319" s="119"/>
      <c r="AG2319" s="119"/>
      <c r="AH2319" s="120"/>
      <c r="AI2319" s="121"/>
      <c r="AJ2319" s="121"/>
      <c r="AK2319" s="121"/>
      <c r="AL2319" s="121"/>
      <c r="AM2319" s="122"/>
      <c r="AN2319" s="121"/>
    </row>
    <row r="2320" spans="1:40">
      <c r="A2320" s="3"/>
      <c r="B2320" s="3"/>
      <c r="C2320" s="3"/>
      <c r="D2320" s="3"/>
      <c r="E2320" s="3"/>
      <c r="F2320" s="3"/>
      <c r="G2320" s="77">
        <v>1200</v>
      </c>
      <c r="H2320" s="3"/>
      <c r="I2320" s="100">
        <v>273.1323214201359</v>
      </c>
      <c r="J2320" s="101">
        <v>11.863555598153077</v>
      </c>
      <c r="K2320" s="101">
        <v>-7.6867060919033874E-3</v>
      </c>
      <c r="L2320" s="101">
        <v>-7.556295657186682E-3</v>
      </c>
      <c r="M2320" s="101">
        <v>-0.25421844659108511</v>
      </c>
      <c r="N2320" s="101">
        <v>-9.8032287166127524E-2</v>
      </c>
      <c r="O2320" s="101">
        <v>-1.8075266552968214E-3</v>
      </c>
      <c r="P2320" s="101">
        <v>-1.1847579003393539E-3</v>
      </c>
      <c r="Q2320" s="101">
        <v>1.7017478306148783E-3</v>
      </c>
      <c r="R2320" s="101">
        <v>9.7273971767401443E-4</v>
      </c>
      <c r="S2320" s="101">
        <v>159.92053674806436</v>
      </c>
      <c r="T2320" s="101">
        <v>6.9789236618652879</v>
      </c>
      <c r="U2320" s="101">
        <v>-5.2248107234118653</v>
      </c>
      <c r="V2320" s="101">
        <v>0.33819402951462746</v>
      </c>
      <c r="W2320" s="101">
        <v>3.6796069553330209E-2</v>
      </c>
      <c r="X2320" s="101">
        <v>0.1389131098277927</v>
      </c>
      <c r="Y2320" s="101">
        <v>5.1638413059971024E-3</v>
      </c>
      <c r="Z2320" s="101">
        <v>5.6191006308466585E-4</v>
      </c>
      <c r="AA2320" s="101">
        <v>1.7039174554592829E-4</v>
      </c>
      <c r="AB2320" s="101">
        <v>-1.0033044338280878E-3</v>
      </c>
      <c r="AC2320" s="119"/>
      <c r="AD2320" s="119"/>
      <c r="AE2320" s="120"/>
      <c r="AF2320" s="119"/>
      <c r="AG2320" s="119"/>
      <c r="AH2320" s="120"/>
      <c r="AI2320" s="121"/>
      <c r="AJ2320" s="121"/>
      <c r="AK2320" s="121"/>
      <c r="AL2320" s="121"/>
      <c r="AM2320" s="122"/>
      <c r="AN2320" s="121"/>
    </row>
    <row r="2321" spans="1:40">
      <c r="A2321" s="3"/>
      <c r="B2321" s="3"/>
      <c r="C2321" s="3"/>
      <c r="D2321" s="3"/>
      <c r="E2321" s="3"/>
      <c r="F2321" s="3"/>
      <c r="G2321" s="77">
        <v>1620</v>
      </c>
      <c r="H2321" s="3"/>
      <c r="I2321" s="100">
        <v>336.97515642261834</v>
      </c>
      <c r="J2321" s="101">
        <v>10.450248685245223</v>
      </c>
      <c r="K2321" s="101">
        <v>-7.6563377966886604E-3</v>
      </c>
      <c r="L2321" s="101">
        <v>-8.5839343485087823E-3</v>
      </c>
      <c r="M2321" s="101">
        <v>-7.8642200360514988E-2</v>
      </c>
      <c r="N2321" s="101">
        <v>-7.3785035873735902E-2</v>
      </c>
      <c r="O2321" s="101">
        <v>-1.8634505241852E-3</v>
      </c>
      <c r="P2321" s="101">
        <v>-6.507278331702377E-4</v>
      </c>
      <c r="Q2321" s="101">
        <v>-2.0674894678995184E-4</v>
      </c>
      <c r="R2321" s="101">
        <v>5.0711376302749287E-4</v>
      </c>
      <c r="S2321" s="101">
        <v>45.180975887256984</v>
      </c>
      <c r="T2321" s="101">
        <v>-0.45189998612562587</v>
      </c>
      <c r="U2321" s="101">
        <v>0.12225239716927085</v>
      </c>
      <c r="V2321" s="101">
        <v>-4.5189491423557875E-2</v>
      </c>
      <c r="W2321" s="101">
        <v>7.9593540792170046E-3</v>
      </c>
      <c r="X2321" s="101">
        <v>1.8502232166618945E-2</v>
      </c>
      <c r="Y2321" s="101">
        <v>-2.040035618326748E-4</v>
      </c>
      <c r="Z2321" s="101">
        <v>6.599223847910886E-4</v>
      </c>
      <c r="AA2321" s="101">
        <v>5.5623925281368984E-4</v>
      </c>
      <c r="AB2321" s="101">
        <v>-8.8613773594308553E-5</v>
      </c>
      <c r="AC2321" s="119"/>
      <c r="AD2321" s="119"/>
      <c r="AE2321" s="120"/>
      <c r="AF2321" s="119"/>
      <c r="AG2321" s="119"/>
      <c r="AH2321" s="120"/>
      <c r="AI2321" s="121"/>
      <c r="AJ2321" s="121"/>
      <c r="AK2321" s="121"/>
      <c r="AL2321" s="121"/>
      <c r="AM2321" s="122"/>
      <c r="AN2321" s="121"/>
    </row>
    <row r="2322" spans="1:40">
      <c r="A2322" s="3"/>
      <c r="B2322" s="3"/>
      <c r="C2322" s="3"/>
      <c r="D2322" s="3"/>
      <c r="E2322" s="3"/>
      <c r="F2322" s="3"/>
      <c r="G2322" s="77">
        <v>3120</v>
      </c>
      <c r="H2322" s="3"/>
      <c r="I2322" s="100">
        <v>581.57061216870261</v>
      </c>
      <c r="J2322" s="101">
        <v>15.302997998473087</v>
      </c>
      <c r="K2322" s="101">
        <v>-7.6434698307247207E-3</v>
      </c>
      <c r="L2322" s="101">
        <v>-8.4567641491650556E-3</v>
      </c>
      <c r="M2322" s="101">
        <v>3.1290924320770151E-2</v>
      </c>
      <c r="N2322" s="101">
        <v>-5.3088575665357123E-2</v>
      </c>
      <c r="O2322" s="101">
        <v>-3.5559432709703085E-3</v>
      </c>
      <c r="P2322" s="101">
        <v>-1.8032708955866548E-3</v>
      </c>
      <c r="Q2322" s="101">
        <v>-2.3687052181295969E-3</v>
      </c>
      <c r="R2322" s="101">
        <v>-2.1711297061838879E-4</v>
      </c>
      <c r="S2322" s="101">
        <v>103.9406973602655</v>
      </c>
      <c r="T2322" s="101">
        <v>-0.21699015396063306</v>
      </c>
      <c r="U2322" s="101">
        <v>0.6474403381380458</v>
      </c>
      <c r="V2322" s="101">
        <v>9.9979830740087969E-2</v>
      </c>
      <c r="W2322" s="101">
        <v>0.1878963445445411</v>
      </c>
      <c r="X2322" s="101">
        <v>5.9814608177885219E-2</v>
      </c>
      <c r="Y2322" s="101">
        <v>2.0022420494602211E-3</v>
      </c>
      <c r="Z2322" s="101">
        <v>9.0459165820868282E-4</v>
      </c>
      <c r="AA2322" s="101">
        <v>-1.0126995444832267E-3</v>
      </c>
      <c r="AB2322" s="101">
        <v>-6.2803585031469863E-4</v>
      </c>
      <c r="AC2322" s="119"/>
      <c r="AD2322" s="119"/>
      <c r="AE2322" s="120"/>
      <c r="AF2322" s="119"/>
      <c r="AG2322" s="119"/>
      <c r="AH2322" s="120"/>
      <c r="AI2322" s="121"/>
      <c r="AJ2322" s="121"/>
      <c r="AK2322" s="121"/>
      <c r="AL2322" s="121"/>
      <c r="AM2322" s="122"/>
      <c r="AN2322" s="121"/>
    </row>
    <row r="2323" spans="1:40">
      <c r="A2323" s="3"/>
      <c r="B2323" s="3"/>
      <c r="C2323" s="3"/>
      <c r="D2323" s="3"/>
      <c r="E2323" s="3"/>
      <c r="F2323" s="3"/>
      <c r="G2323" s="77">
        <v>4320</v>
      </c>
      <c r="H2323" s="3"/>
      <c r="I2323" s="100">
        <v>708.01575797276075</v>
      </c>
      <c r="J2323" s="101">
        <v>18.749470296165075</v>
      </c>
      <c r="K2323" s="101">
        <v>-7.6571496623156834E-3</v>
      </c>
      <c r="L2323" s="101">
        <v>-8.6427431177998216E-3</v>
      </c>
      <c r="M2323" s="101">
        <v>-0.10673465611981667</v>
      </c>
      <c r="N2323" s="101">
        <v>-7.868231646948981E-2</v>
      </c>
      <c r="O2323" s="101">
        <v>-1.2045210157522167E-3</v>
      </c>
      <c r="P2323" s="101">
        <v>6.3393139585147238E-4</v>
      </c>
      <c r="Q2323" s="101">
        <v>8.9501621958921953E-4</v>
      </c>
      <c r="R2323" s="101">
        <v>3.6393756412971044E-4</v>
      </c>
      <c r="S2323" s="101">
        <v>145.55145993526907</v>
      </c>
      <c r="T2323" s="101">
        <v>1.230371276364234</v>
      </c>
      <c r="U2323" s="101">
        <v>0.14357869304825666</v>
      </c>
      <c r="V2323" s="101">
        <v>-7.3447530837548722E-2</v>
      </c>
      <c r="W2323" s="101">
        <v>-0.11075797195840463</v>
      </c>
      <c r="X2323" s="101">
        <v>3.1229986740614925E-2</v>
      </c>
      <c r="Y2323" s="101">
        <v>-5.7944304356399802E-4</v>
      </c>
      <c r="Z2323" s="101">
        <v>-7.5765206769487969E-4</v>
      </c>
      <c r="AA2323" s="101">
        <v>1.9279037286237888E-3</v>
      </c>
      <c r="AB2323" s="101">
        <v>-8.0778443464329052E-5</v>
      </c>
      <c r="AC2323" s="119"/>
      <c r="AD2323" s="119"/>
      <c r="AE2323" s="120"/>
      <c r="AF2323" s="119"/>
      <c r="AG2323" s="119"/>
      <c r="AH2323" s="120"/>
      <c r="AI2323" s="121"/>
      <c r="AJ2323" s="121"/>
      <c r="AK2323" s="121"/>
      <c r="AL2323" s="121"/>
      <c r="AM2323" s="122"/>
      <c r="AN2323" s="121"/>
    </row>
    <row r="2324" spans="1:40">
      <c r="A2324" s="3" t="s">
        <v>118</v>
      </c>
      <c r="B2324" s="3" t="s">
        <v>44</v>
      </c>
      <c r="C2324" s="3" t="s">
        <v>45</v>
      </c>
      <c r="D2324" s="3" t="s">
        <v>695</v>
      </c>
      <c r="E2324" s="3" t="s">
        <v>47</v>
      </c>
      <c r="F2324" s="3" t="s">
        <v>234</v>
      </c>
      <c r="G2324" s="3"/>
      <c r="H2324" s="72" t="str">
        <f>CONCATENATE(A2324," ",B2324," ",C2324," ",D2324," ",E2324," ",F2324)</f>
        <v>Panasonic Isobutane 50 Hz 100V VSD TKA68</v>
      </c>
      <c r="I2324" s="100"/>
      <c r="J2324" s="101"/>
      <c r="K2324" s="101"/>
      <c r="L2324" s="101"/>
      <c r="M2324" s="101"/>
      <c r="N2324" s="101"/>
      <c r="O2324" s="101"/>
      <c r="P2324" s="101"/>
      <c r="Q2324" s="101"/>
      <c r="R2324" s="101"/>
      <c r="S2324" s="101"/>
      <c r="T2324" s="101"/>
      <c r="U2324" s="101"/>
      <c r="V2324" s="101"/>
      <c r="W2324" s="101"/>
      <c r="X2324" s="101"/>
      <c r="Y2324" s="101"/>
      <c r="Z2324" s="101"/>
      <c r="AA2324" s="101"/>
      <c r="AB2324" s="101"/>
      <c r="AC2324" s="119"/>
      <c r="AD2324" s="119"/>
      <c r="AE2324" s="120"/>
      <c r="AF2324" s="119"/>
      <c r="AG2324" s="119"/>
      <c r="AH2324" s="120"/>
      <c r="AI2324" s="121"/>
      <c r="AJ2324" s="121"/>
      <c r="AK2324" s="121"/>
      <c r="AL2324" s="121"/>
      <c r="AM2324" s="122"/>
      <c r="AN2324" s="121"/>
    </row>
    <row r="2325" spans="1:40">
      <c r="A2325" s="3"/>
      <c r="B2325" s="3"/>
      <c r="C2325" s="3"/>
      <c r="D2325" s="3"/>
      <c r="E2325" s="3"/>
      <c r="F2325" s="3"/>
      <c r="G2325" s="3">
        <v>1200</v>
      </c>
      <c r="H2325" s="3"/>
      <c r="I2325" s="100">
        <v>0.51355271140740943</v>
      </c>
      <c r="J2325" s="101">
        <v>-3.9219558471287232</v>
      </c>
      <c r="K2325" s="101">
        <v>7.1603276270488667</v>
      </c>
      <c r="L2325" s="101">
        <v>-0.4934746030339357</v>
      </c>
      <c r="M2325" s="101">
        <v>-0.11772063463418024</v>
      </c>
      <c r="N2325" s="101">
        <v>-0.21101980357011232</v>
      </c>
      <c r="O2325" s="101">
        <v>-8.0579641033905608E-3</v>
      </c>
      <c r="P2325" s="101">
        <v>-5.8212098197325259E-4</v>
      </c>
      <c r="Q2325" s="101">
        <v>7.3992342798790041E-4</v>
      </c>
      <c r="R2325" s="101">
        <v>1.6617350804646179E-3</v>
      </c>
      <c r="S2325" s="101">
        <v>1.8580441295742978E-3</v>
      </c>
      <c r="T2325" s="101">
        <v>-0.25133068915642309</v>
      </c>
      <c r="U2325" s="101">
        <v>1.5210056611016325</v>
      </c>
      <c r="V2325" s="101">
        <v>-4.0498938090640264E-2</v>
      </c>
      <c r="W2325" s="101">
        <v>-1.1943658172745623E-2</v>
      </c>
      <c r="X2325" s="101">
        <v>-2.9028930091888335E-2</v>
      </c>
      <c r="Y2325" s="101">
        <v>-4.9705109546306549E-4</v>
      </c>
      <c r="Z2325" s="101">
        <v>1.7105593858508596E-4</v>
      </c>
      <c r="AA2325" s="101">
        <v>3.602069521060134E-4</v>
      </c>
      <c r="AB2325" s="101">
        <v>2.6140650411418708E-4</v>
      </c>
      <c r="AC2325" s="119">
        <v>2.20928593577333E-3</v>
      </c>
      <c r="AD2325" s="119">
        <v>4.6793634350471125</v>
      </c>
      <c r="AE2325" s="120">
        <v>3.8311970634768808E-2</v>
      </c>
      <c r="AF2325" s="119">
        <v>1.1606865909866593E-5</v>
      </c>
      <c r="AG2325" s="119">
        <v>8.7828212335262692E-3</v>
      </c>
      <c r="AH2325" s="120">
        <v>1.890140279802099E-3</v>
      </c>
      <c r="AI2325" s="121">
        <v>-34.4</v>
      </c>
      <c r="AJ2325" s="121">
        <v>-12.2</v>
      </c>
      <c r="AK2325" s="121">
        <v>37.799999999999997</v>
      </c>
      <c r="AL2325" s="121">
        <v>54.4</v>
      </c>
      <c r="AM2325" s="122">
        <v>42524</v>
      </c>
      <c r="AN2325" s="121" t="s">
        <v>696</v>
      </c>
    </row>
    <row r="2326" spans="1:40">
      <c r="A2326" s="3"/>
      <c r="B2326" s="3"/>
      <c r="C2326" s="3"/>
      <c r="D2326" s="3"/>
      <c r="E2326" s="3"/>
      <c r="F2326" s="3"/>
      <c r="G2326" s="3">
        <v>1620</v>
      </c>
      <c r="H2326" s="3"/>
      <c r="I2326" s="100">
        <v>0.92659053482698261</v>
      </c>
      <c r="J2326" s="101">
        <v>-9.1731453127919647</v>
      </c>
      <c r="K2326" s="101">
        <v>7.4150929696338652</v>
      </c>
      <c r="L2326" s="101">
        <v>-0.71658711435668732</v>
      </c>
      <c r="M2326" s="101">
        <v>-3.6575190708594357E-2</v>
      </c>
      <c r="N2326" s="101">
        <v>-0.19917877630648415</v>
      </c>
      <c r="O2326" s="101">
        <v>-1.1680385680853021E-2</v>
      </c>
      <c r="P2326" s="101">
        <v>-9.2102764752795946E-4</v>
      </c>
      <c r="Q2326" s="101">
        <v>-3.7809845819425364E-4</v>
      </c>
      <c r="R2326" s="101">
        <v>1.3690649675429888E-3</v>
      </c>
      <c r="S2326" s="101">
        <v>-3.3505237859155039E-3</v>
      </c>
      <c r="T2326" s="101">
        <v>-9.1486597086770538E-2</v>
      </c>
      <c r="U2326" s="101">
        <v>2.2267851856425107</v>
      </c>
      <c r="V2326" s="101">
        <v>1.9305189837445012E-3</v>
      </c>
      <c r="W2326" s="101">
        <v>3.0428619560995969E-2</v>
      </c>
      <c r="X2326" s="101">
        <v>-3.3617375143979736E-2</v>
      </c>
      <c r="Y2326" s="101">
        <v>1.0158744826291727E-4</v>
      </c>
      <c r="Z2326" s="101">
        <v>1.9578089619015027E-4</v>
      </c>
      <c r="AA2326" s="101">
        <v>-6.6258883546341655E-5</v>
      </c>
      <c r="AB2326" s="101">
        <v>2.2928812485046663E-4</v>
      </c>
      <c r="AC2326" s="119">
        <v>3.1255454212103157E-3</v>
      </c>
      <c r="AD2326" s="119">
        <v>2.1160421164823902</v>
      </c>
      <c r="AE2326" s="120">
        <v>1.8360051821606004E-2</v>
      </c>
      <c r="AF2326" s="119">
        <v>2.1648215697471084E-5</v>
      </c>
      <c r="AG2326" s="119">
        <v>1.2658240745081529E-2</v>
      </c>
      <c r="AH2326" s="120">
        <v>1.6716941828148781E-3</v>
      </c>
      <c r="AI2326" s="121">
        <v>-34.4</v>
      </c>
      <c r="AJ2326" s="121">
        <v>-12.2</v>
      </c>
      <c r="AK2326" s="121">
        <v>37.799999999999997</v>
      </c>
      <c r="AL2326" s="121">
        <v>54.4</v>
      </c>
      <c r="AM2326" s="122">
        <v>42524</v>
      </c>
      <c r="AN2326" s="121" t="s">
        <v>696</v>
      </c>
    </row>
    <row r="2327" spans="1:40">
      <c r="A2327" s="3"/>
      <c r="B2327" s="3"/>
      <c r="C2327" s="3"/>
      <c r="D2327" s="3"/>
      <c r="E2327" s="3"/>
      <c r="F2327" s="3"/>
      <c r="G2327" s="3">
        <v>3120</v>
      </c>
      <c r="H2327" s="3"/>
      <c r="I2327" s="100">
        <v>1.243593933826842</v>
      </c>
      <c r="J2327" s="101">
        <v>-5.9413043648082038</v>
      </c>
      <c r="K2327" s="101">
        <v>17.242331854609724</v>
      </c>
      <c r="L2327" s="101">
        <v>-0.94363141126635253</v>
      </c>
      <c r="M2327" s="101">
        <v>-0.2375677123551623</v>
      </c>
      <c r="N2327" s="101">
        <v>-0.47337097650154142</v>
      </c>
      <c r="O2327" s="101">
        <v>-1.626108081930704E-2</v>
      </c>
      <c r="P2327" s="101">
        <v>-2.0792417308191586E-3</v>
      </c>
      <c r="Q2327" s="101">
        <v>1.2430897079951479E-3</v>
      </c>
      <c r="R2327" s="101">
        <v>3.6075668399886433E-3</v>
      </c>
      <c r="S2327" s="101">
        <v>0.30585767464143132</v>
      </c>
      <c r="T2327" s="101">
        <v>-7.4650120373455291</v>
      </c>
      <c r="U2327" s="101">
        <v>2.4689210909048467</v>
      </c>
      <c r="V2327" s="101">
        <v>-0.55518748434618559</v>
      </c>
      <c r="W2327" s="101">
        <v>-0.11586631092770776</v>
      </c>
      <c r="X2327" s="101">
        <v>-6.8520915819138245E-2</v>
      </c>
      <c r="Y2327" s="101">
        <v>-8.8826301490786078E-3</v>
      </c>
      <c r="Z2327" s="101">
        <v>-1.0247726367371469E-3</v>
      </c>
      <c r="AA2327" s="101">
        <v>9.8007178898399695E-4</v>
      </c>
      <c r="AB2327" s="101">
        <v>6.3710477425339316E-4</v>
      </c>
      <c r="AC2327" s="119">
        <v>1.8123582698226642E-3</v>
      </c>
      <c r="AD2327" s="119">
        <v>0.18138393813341053</v>
      </c>
      <c r="AE2327" s="120">
        <v>2.7866030988137826E-3</v>
      </c>
      <c r="AF2327" s="119">
        <v>2.7568494937801363E-5</v>
      </c>
      <c r="AG2327" s="119">
        <v>1.3590006092508702E-3</v>
      </c>
      <c r="AH2327" s="120">
        <v>2.5878533348462136E-4</v>
      </c>
      <c r="AI2327" s="121">
        <v>-34.4</v>
      </c>
      <c r="AJ2327" s="121">
        <v>-12.2</v>
      </c>
      <c r="AK2327" s="121">
        <v>37.799999999999997</v>
      </c>
      <c r="AL2327" s="121">
        <v>54.4</v>
      </c>
      <c r="AM2327" s="122">
        <v>42524</v>
      </c>
      <c r="AN2327" s="121" t="s">
        <v>696</v>
      </c>
    </row>
    <row r="2328" spans="1:40">
      <c r="A2328" s="3"/>
      <c r="B2328" s="3"/>
      <c r="C2328" s="3"/>
      <c r="D2328" s="3"/>
      <c r="E2328" s="3"/>
      <c r="F2328" s="3"/>
      <c r="G2328" s="3">
        <v>4320</v>
      </c>
      <c r="H2328" s="3"/>
      <c r="I2328" s="100">
        <v>2.9818125247641496</v>
      </c>
      <c r="J2328" s="101">
        <v>-2.4240543334081646</v>
      </c>
      <c r="K2328" s="101">
        <v>24.831195146542676</v>
      </c>
      <c r="L2328" s="101">
        <v>-0.80993092457027349</v>
      </c>
      <c r="M2328" s="101">
        <v>-0.12536732698785336</v>
      </c>
      <c r="N2328" s="101">
        <v>-0.61231030999399427</v>
      </c>
      <c r="O2328" s="101">
        <v>-1.2681701875039763E-2</v>
      </c>
      <c r="P2328" s="101">
        <v>1.3195652800208825E-3</v>
      </c>
      <c r="Q2328" s="101">
        <v>1.5832654864723001E-3</v>
      </c>
      <c r="R2328" s="101">
        <v>4.5075742973476919E-3</v>
      </c>
      <c r="S2328" s="101">
        <v>0.72860839360049534</v>
      </c>
      <c r="T2328" s="101">
        <v>-15.251939413581409</v>
      </c>
      <c r="U2328" s="101">
        <v>3.0898564736392604</v>
      </c>
      <c r="V2328" s="101">
        <v>-1.0458523423034234</v>
      </c>
      <c r="W2328" s="101">
        <v>-0.15506974509624627</v>
      </c>
      <c r="X2328" s="101">
        <v>-9.3950336452978248E-2</v>
      </c>
      <c r="Y2328" s="101">
        <v>-1.596535697560748E-2</v>
      </c>
      <c r="Z2328" s="101">
        <v>-5.6388372984290133E-4</v>
      </c>
      <c r="AA2328" s="101">
        <v>1.6058500321177774E-3</v>
      </c>
      <c r="AB2328" s="101">
        <v>8.9058299703702369E-4</v>
      </c>
      <c r="AC2328" s="119">
        <v>7.1463850847201013E-4</v>
      </c>
      <c r="AD2328" s="119">
        <v>0.17390306657063317</v>
      </c>
      <c r="AE2328" s="120">
        <v>2.0466258177843366E-3</v>
      </c>
      <c r="AF2328" s="119">
        <v>1.0791971346193834E-4</v>
      </c>
      <c r="AG2328" s="119">
        <v>8.6106462136343355E-3</v>
      </c>
      <c r="AH2328" s="120">
        <v>4.6937662457034225E-4</v>
      </c>
      <c r="AI2328" s="121">
        <v>-34.4</v>
      </c>
      <c r="AJ2328" s="121">
        <v>-12.2</v>
      </c>
      <c r="AK2328" s="121">
        <v>37.799999999999997</v>
      </c>
      <c r="AL2328" s="121">
        <v>54.4</v>
      </c>
      <c r="AM2328" s="122">
        <v>42524</v>
      </c>
      <c r="AN2328" s="121" t="s">
        <v>696</v>
      </c>
    </row>
    <row r="2329" spans="1:40">
      <c r="A2329" s="3" t="s">
        <v>118</v>
      </c>
      <c r="B2329" s="3" t="s">
        <v>44</v>
      </c>
      <c r="C2329" s="3" t="s">
        <v>45</v>
      </c>
      <c r="D2329" s="3" t="s">
        <v>695</v>
      </c>
      <c r="E2329" s="3" t="s">
        <v>47</v>
      </c>
      <c r="F2329" s="3" t="s">
        <v>236</v>
      </c>
      <c r="G2329" s="3"/>
      <c r="H2329" s="72" t="str">
        <f>CONCATENATE(A2329," ",B2329," ",C2329," ",D2329," ",E2329," ",F2329)</f>
        <v>Panasonic Isobutane 50 Hz 100V VSD TKA100</v>
      </c>
      <c r="I2329" s="100"/>
      <c r="J2329" s="101"/>
      <c r="K2329" s="101"/>
      <c r="L2329" s="101"/>
      <c r="M2329" s="101"/>
      <c r="N2329" s="101"/>
      <c r="O2329" s="101"/>
      <c r="P2329" s="101"/>
      <c r="Q2329" s="101"/>
      <c r="R2329" s="101"/>
      <c r="S2329" s="101"/>
      <c r="T2329" s="101"/>
      <c r="U2329" s="101"/>
      <c r="V2329" s="101"/>
      <c r="W2329" s="101"/>
      <c r="X2329" s="101"/>
      <c r="Y2329" s="101"/>
      <c r="Z2329" s="101"/>
      <c r="AA2329" s="101"/>
      <c r="AB2329" s="101"/>
      <c r="AC2329" s="119"/>
      <c r="AD2329" s="119"/>
      <c r="AE2329" s="120"/>
      <c r="AF2329" s="119"/>
      <c r="AG2329" s="119"/>
      <c r="AH2329" s="120"/>
      <c r="AI2329" s="121"/>
      <c r="AJ2329" s="121"/>
      <c r="AK2329" s="121"/>
      <c r="AL2329" s="121"/>
      <c r="AM2329" s="122"/>
      <c r="AN2329" s="121"/>
    </row>
    <row r="2330" spans="1:40">
      <c r="A2330" s="3"/>
      <c r="B2330" s="3"/>
      <c r="C2330" s="3"/>
      <c r="D2330" s="3"/>
      <c r="E2330" s="3"/>
      <c r="F2330" s="3"/>
      <c r="G2330" s="3">
        <v>1200</v>
      </c>
      <c r="H2330" s="3"/>
      <c r="I2330" s="100">
        <v>1.0909160117755106</v>
      </c>
      <c r="J2330" s="101">
        <v>-5.2172828925842341</v>
      </c>
      <c r="K2330" s="101">
        <v>9.9212565457921045</v>
      </c>
      <c r="L2330" s="101">
        <v>-0.67397352756780771</v>
      </c>
      <c r="M2330" s="101">
        <v>-0.13113157082476595</v>
      </c>
      <c r="N2330" s="101">
        <v>-0.26824636274669805</v>
      </c>
      <c r="O2330" s="101">
        <v>-1.1211917747478799E-2</v>
      </c>
      <c r="P2330" s="101">
        <v>-7.689694620325112E-4</v>
      </c>
      <c r="Q2330" s="101">
        <v>6.2904976659598126E-4</v>
      </c>
      <c r="R2330" s="101">
        <v>1.9704175603557773E-3</v>
      </c>
      <c r="S2330" s="101">
        <v>9.5904326050734641E-4</v>
      </c>
      <c r="T2330" s="101">
        <v>-8.8636664894415448E-2</v>
      </c>
      <c r="U2330" s="101">
        <v>2.1466431769637313</v>
      </c>
      <c r="V2330" s="101">
        <v>2.2133994631057058E-2</v>
      </c>
      <c r="W2330" s="101">
        <v>4.8149451153489842E-2</v>
      </c>
      <c r="X2330" s="101">
        <v>-2.0433513601710997E-2</v>
      </c>
      <c r="Y2330" s="101">
        <v>5.0184616078598166E-4</v>
      </c>
      <c r="Z2330" s="101">
        <v>3.4241960352555728E-4</v>
      </c>
      <c r="AA2330" s="101">
        <v>-1.3136860974194046E-4</v>
      </c>
      <c r="AB2330" s="101">
        <v>1.0461880726540382E-4</v>
      </c>
      <c r="AC2330" s="119">
        <v>7.3214123234485316E-4</v>
      </c>
      <c r="AD2330" s="119">
        <v>0.72481896498851761</v>
      </c>
      <c r="AE2330" s="120">
        <v>8.2779474180076779E-3</v>
      </c>
      <c r="AF2330" s="119">
        <v>1.0036831896195949E-5</v>
      </c>
      <c r="AG2330" s="119">
        <v>5.6298475221226692E-3</v>
      </c>
      <c r="AH2330" s="120">
        <v>9.7305186868346105E-4</v>
      </c>
      <c r="AI2330" s="121">
        <v>-34.4</v>
      </c>
      <c r="AJ2330" s="121">
        <v>-12.2</v>
      </c>
      <c r="AK2330" s="121">
        <v>37.799999999999997</v>
      </c>
      <c r="AL2330" s="121">
        <v>54.4</v>
      </c>
      <c r="AM2330" s="122">
        <v>42523</v>
      </c>
      <c r="AN2330" s="121" t="s">
        <v>696</v>
      </c>
    </row>
    <row r="2331" spans="1:40">
      <c r="A2331" s="3"/>
      <c r="B2331" s="3"/>
      <c r="C2331" s="3"/>
      <c r="D2331" s="3"/>
      <c r="E2331" s="3"/>
      <c r="F2331" s="3"/>
      <c r="G2331" s="3">
        <v>1620</v>
      </c>
      <c r="H2331" s="3"/>
      <c r="I2331" s="100">
        <v>1.4664173771824525</v>
      </c>
      <c r="J2331" s="101">
        <v>-22.884313660767866</v>
      </c>
      <c r="K2331" s="101">
        <v>7.0723418446418655</v>
      </c>
      <c r="L2331" s="101">
        <v>-1.5022516776239829</v>
      </c>
      <c r="M2331" s="101">
        <v>-3.6051769185950461E-2</v>
      </c>
      <c r="N2331" s="101">
        <v>-0.19640369095690263</v>
      </c>
      <c r="O2331" s="101">
        <v>-2.325519849636766E-2</v>
      </c>
      <c r="P2331" s="101">
        <v>-3.0657124092966793E-4</v>
      </c>
      <c r="Q2331" s="101">
        <v>-2.4899262956435574E-4</v>
      </c>
      <c r="R2331" s="101">
        <v>1.322585538844764E-3</v>
      </c>
      <c r="S2331" s="101">
        <v>8.2112584014055731E-2</v>
      </c>
      <c r="T2331" s="101">
        <v>-1.4453131163419439</v>
      </c>
      <c r="U2331" s="101">
        <v>2.3507636243793599</v>
      </c>
      <c r="V2331" s="101">
        <v>-1.0473840924136103E-2</v>
      </c>
      <c r="W2331" s="101">
        <v>8.924294149606489E-2</v>
      </c>
      <c r="X2331" s="101">
        <v>-1.1337990622896489E-2</v>
      </c>
      <c r="Y2331" s="101">
        <v>3.2074167799164323E-4</v>
      </c>
      <c r="Z2331" s="101">
        <v>9.0497562811388754E-4</v>
      </c>
      <c r="AA2331" s="101">
        <v>-2.3092671352817118E-4</v>
      </c>
      <c r="AB2331" s="101">
        <v>1.5483824450607323E-5</v>
      </c>
      <c r="AC2331" s="119">
        <v>1.4216489945242802E-3</v>
      </c>
      <c r="AD2331" s="119">
        <v>0.3939164192499503</v>
      </c>
      <c r="AE2331" s="120">
        <v>4.4220311456778898E-3</v>
      </c>
      <c r="AF2331" s="119">
        <v>4.3486776783362022E-5</v>
      </c>
      <c r="AG2331" s="119">
        <v>8.7544292064732614E-3</v>
      </c>
      <c r="AH2331" s="120">
        <v>9.3860566041278502E-4</v>
      </c>
      <c r="AI2331" s="121">
        <v>-34.4</v>
      </c>
      <c r="AJ2331" s="121">
        <v>-12.2</v>
      </c>
      <c r="AK2331" s="121">
        <v>37.799999999999997</v>
      </c>
      <c r="AL2331" s="121">
        <v>54.4</v>
      </c>
      <c r="AM2331" s="122">
        <v>42523</v>
      </c>
      <c r="AN2331" s="121" t="s">
        <v>696</v>
      </c>
    </row>
    <row r="2332" spans="1:40">
      <c r="A2332" s="3"/>
      <c r="B2332" s="3"/>
      <c r="C2332" s="3"/>
      <c r="D2332" s="3"/>
      <c r="E2332" s="3"/>
      <c r="F2332" s="3"/>
      <c r="G2332" s="3">
        <v>3120</v>
      </c>
      <c r="H2332" s="3"/>
      <c r="I2332" s="100">
        <v>-31.255752045071901</v>
      </c>
      <c r="J2332" s="101">
        <v>-23.543543009224102</v>
      </c>
      <c r="K2332" s="101">
        <v>23.65607353404252</v>
      </c>
      <c r="L2332" s="101">
        <v>-2.0756517606291123</v>
      </c>
      <c r="M2332" s="101">
        <v>-0.27191126749475092</v>
      </c>
      <c r="N2332" s="101">
        <v>-0.65637042931110656</v>
      </c>
      <c r="O2332" s="101">
        <v>-3.3746758038594594E-2</v>
      </c>
      <c r="P2332" s="101">
        <v>-2.6128489156400127E-3</v>
      </c>
      <c r="Q2332" s="101">
        <v>7.8793416765448297E-4</v>
      </c>
      <c r="R2332" s="101">
        <v>4.9044888346431777E-3</v>
      </c>
      <c r="S2332" s="101">
        <v>2.0377914930593006E-3</v>
      </c>
      <c r="T2332" s="101">
        <v>0.19096955665511753</v>
      </c>
      <c r="U2332" s="101">
        <v>6.9540090747038761</v>
      </c>
      <c r="V2332" s="101">
        <v>-0.13097641536563509</v>
      </c>
      <c r="W2332" s="101">
        <v>-5.1012479133230669E-2</v>
      </c>
      <c r="X2332" s="101">
        <v>-0.13363797004374042</v>
      </c>
      <c r="Y2332" s="101">
        <v>-1.9031886571865893E-3</v>
      </c>
      <c r="Z2332" s="101">
        <v>9.2468224747760546E-5</v>
      </c>
      <c r="AA2332" s="101">
        <v>9.8771688479754299E-4</v>
      </c>
      <c r="AB2332" s="101">
        <v>1.0727002770023217E-3</v>
      </c>
      <c r="AC2332" s="119">
        <v>1.0438775007539517E-3</v>
      </c>
      <c r="AD2332" s="119">
        <v>0.10917768892514551</v>
      </c>
      <c r="AE2332" s="120">
        <v>1.2478324355895318E-3</v>
      </c>
      <c r="AF2332" s="119">
        <v>2.7670431569302872E-5</v>
      </c>
      <c r="AG2332" s="119">
        <v>1.7244707500838744E-3</v>
      </c>
      <c r="AH2332" s="120">
        <v>2.0670858691334515E-4</v>
      </c>
      <c r="AI2332" s="121">
        <v>-34.4</v>
      </c>
      <c r="AJ2332" s="121">
        <v>-12.2</v>
      </c>
      <c r="AK2332" s="121">
        <v>37.799999999999997</v>
      </c>
      <c r="AL2332" s="121">
        <v>54.4</v>
      </c>
      <c r="AM2332" s="122">
        <v>42523</v>
      </c>
      <c r="AN2332" s="121" t="s">
        <v>696</v>
      </c>
    </row>
    <row r="2333" spans="1:40">
      <c r="A2333" s="3"/>
      <c r="B2333" s="3"/>
      <c r="C2333" s="3"/>
      <c r="D2333" s="3"/>
      <c r="E2333" s="3"/>
      <c r="F2333" s="3"/>
      <c r="G2333" s="3">
        <v>4320</v>
      </c>
      <c r="H2333" s="3"/>
      <c r="I2333" s="100">
        <v>2.2966439416737807</v>
      </c>
      <c r="J2333" s="101">
        <v>-11.558946964167557</v>
      </c>
      <c r="K2333" s="101">
        <v>36.80928688800153</v>
      </c>
      <c r="L2333" s="101">
        <v>-1.7001286455616595</v>
      </c>
      <c r="M2333" s="101">
        <v>-0.15771649507683216</v>
      </c>
      <c r="N2333" s="101">
        <v>-0.90872256518445438</v>
      </c>
      <c r="O2333" s="101">
        <v>-2.8223919199868674E-2</v>
      </c>
      <c r="P2333" s="101">
        <v>-8.225860516672365E-4</v>
      </c>
      <c r="Q2333" s="101">
        <v>-6.981291319014491E-5</v>
      </c>
      <c r="R2333" s="101">
        <v>6.2592337049314946E-3</v>
      </c>
      <c r="S2333" s="101">
        <v>1.5682755775719395E-2</v>
      </c>
      <c r="T2333" s="101">
        <v>-1.1004478279745011</v>
      </c>
      <c r="U2333" s="101">
        <v>11.108372186847108</v>
      </c>
      <c r="V2333" s="101">
        <v>-0.16690497578295846</v>
      </c>
      <c r="W2333" s="101">
        <v>7.3891989788963497E-2</v>
      </c>
      <c r="X2333" s="101">
        <v>-0.19006987565052144</v>
      </c>
      <c r="Y2333" s="101">
        <v>-2.5833970681811377E-3</v>
      </c>
      <c r="Z2333" s="101">
        <v>5.8805475982030668E-4</v>
      </c>
      <c r="AA2333" s="101">
        <v>-6.8629194315171724E-5</v>
      </c>
      <c r="AB2333" s="101">
        <v>1.2604149223517209E-3</v>
      </c>
      <c r="AC2333" s="119">
        <v>4.1637574597128676E-2</v>
      </c>
      <c r="AD2333" s="119">
        <v>14.604462691726191</v>
      </c>
      <c r="AE2333" s="120">
        <v>1.1626756874789498E-2</v>
      </c>
      <c r="AF2333" s="119">
        <v>6.6698024550401009E-4</v>
      </c>
      <c r="AG2333" s="119">
        <v>0.74407932494148876</v>
      </c>
      <c r="AH2333" s="120">
        <v>2.9977360909630513E-3</v>
      </c>
      <c r="AI2333" s="121">
        <v>-34.4</v>
      </c>
      <c r="AJ2333" s="121">
        <v>-12.2</v>
      </c>
      <c r="AK2333" s="121">
        <v>37.799999999999997</v>
      </c>
      <c r="AL2333" s="121">
        <v>54.4</v>
      </c>
      <c r="AM2333" s="122">
        <v>42523</v>
      </c>
      <c r="AN2333" s="121" t="s">
        <v>696</v>
      </c>
    </row>
    <row r="2334" spans="1:40">
      <c r="A2334" s="93" t="s">
        <v>118</v>
      </c>
      <c r="B2334" s="94" t="s">
        <v>44</v>
      </c>
      <c r="C2334" s="93" t="s">
        <v>105</v>
      </c>
      <c r="D2334" s="94" t="s">
        <v>101</v>
      </c>
      <c r="E2334" s="93" t="s">
        <v>47</v>
      </c>
      <c r="F2334" s="94" t="s">
        <v>238</v>
      </c>
      <c r="G2334" s="95"/>
      <c r="H2334" s="94" t="str">
        <f>CONCATENATE(A2334," ",B2334," ",C2334," ",D2334," ",E2334," ",F2334)</f>
        <v>Panasonic Isobutane 60 Hz 115V VSD TKD91 - Fan Cooled</v>
      </c>
      <c r="I2334" s="96"/>
      <c r="J2334" s="96"/>
      <c r="K2334" s="96"/>
      <c r="L2334" s="96"/>
      <c r="M2334" s="96"/>
      <c r="N2334" s="96"/>
      <c r="O2334" s="96"/>
      <c r="P2334" s="96"/>
      <c r="Q2334" s="96"/>
      <c r="R2334" s="96"/>
      <c r="S2334" s="96"/>
      <c r="T2334" s="96"/>
      <c r="U2334" s="96"/>
      <c r="V2334" s="96"/>
      <c r="W2334" s="96"/>
      <c r="X2334" s="96"/>
      <c r="Y2334" s="96"/>
      <c r="Z2334" s="96"/>
      <c r="AA2334" s="96"/>
      <c r="AB2334" s="96"/>
      <c r="AC2334" s="119"/>
      <c r="AD2334" s="119"/>
      <c r="AE2334" s="120"/>
      <c r="AF2334" s="119"/>
      <c r="AG2334" s="119"/>
      <c r="AH2334" s="120"/>
      <c r="AI2334" s="121"/>
      <c r="AJ2334" s="121"/>
      <c r="AK2334" s="121"/>
      <c r="AL2334" s="121"/>
      <c r="AM2334" s="122"/>
      <c r="AN2334" s="121"/>
    </row>
    <row r="2335" spans="1:40">
      <c r="A2335" s="93"/>
      <c r="B2335" s="94"/>
      <c r="C2335" s="93"/>
      <c r="D2335" s="94"/>
      <c r="E2335" s="93"/>
      <c r="F2335" s="94"/>
      <c r="G2335" s="95">
        <v>1620</v>
      </c>
      <c r="H2335" s="94"/>
      <c r="I2335" s="96">
        <v>0.94813221495492039</v>
      </c>
      <c r="J2335" s="96">
        <v>-14.502057930061165</v>
      </c>
      <c r="K2335" s="96">
        <v>10.12552641706686</v>
      </c>
      <c r="L2335" s="96">
        <v>-1.3166428140214566</v>
      </c>
      <c r="M2335" s="96">
        <v>-0.27108166255898586</v>
      </c>
      <c r="N2335" s="96">
        <v>-0.3337712082088693</v>
      </c>
      <c r="O2335" s="96">
        <v>-2.2621102737434506E-2</v>
      </c>
      <c r="P2335" s="96">
        <v>-3.9553637892404256E-3</v>
      </c>
      <c r="Q2335" s="96">
        <v>5.4231583483337748E-4</v>
      </c>
      <c r="R2335" s="96">
        <v>2.5871346311261184E-3</v>
      </c>
      <c r="S2335" s="96">
        <v>0.14391726825209247</v>
      </c>
      <c r="T2335" s="96">
        <v>-4.1538868286957626</v>
      </c>
      <c r="U2335" s="96">
        <v>1.2081145481108686</v>
      </c>
      <c r="V2335" s="96">
        <v>-0.20157042239371198</v>
      </c>
      <c r="W2335" s="96">
        <v>2.0396497317790249E-2</v>
      </c>
      <c r="X2335" s="96">
        <v>-6.8282536845161732E-3</v>
      </c>
      <c r="Y2335" s="96">
        <v>-2.9830921837614177E-3</v>
      </c>
      <c r="Z2335" s="96">
        <v>-1.2208344889220495E-4</v>
      </c>
      <c r="AA2335" s="96">
        <v>3.1994719695216141E-5</v>
      </c>
      <c r="AB2335" s="96">
        <v>6.6610606802655514E-5</v>
      </c>
      <c r="AC2335" s="119">
        <v>7.8417087871915185E-4</v>
      </c>
      <c r="AD2335" s="119">
        <v>0.569107380233563</v>
      </c>
      <c r="AE2335" s="120">
        <v>6.2721083744072736E-3</v>
      </c>
      <c r="AF2335" s="119">
        <v>3.5876020701133117E-6</v>
      </c>
      <c r="AG2335" s="119">
        <v>3.4417183448365898E-4</v>
      </c>
      <c r="AH2335" s="120">
        <v>1.8416775175997261E-4</v>
      </c>
      <c r="AI2335" s="121">
        <v>-34.4</v>
      </c>
      <c r="AJ2335" s="121">
        <v>-12.2</v>
      </c>
      <c r="AK2335" s="121">
        <v>37.799999999999997</v>
      </c>
      <c r="AL2335" s="121">
        <v>54.4</v>
      </c>
      <c r="AM2335" s="122">
        <v>43280</v>
      </c>
      <c r="AN2335" s="121" t="s">
        <v>692</v>
      </c>
    </row>
    <row r="2336" spans="1:40">
      <c r="A2336" s="93"/>
      <c r="B2336" s="94"/>
      <c r="C2336" s="93"/>
      <c r="D2336" s="94"/>
      <c r="E2336" s="93"/>
      <c r="F2336" s="94"/>
      <c r="G2336" s="95">
        <v>3120</v>
      </c>
      <c r="H2336" s="94"/>
      <c r="I2336" s="96">
        <v>1.7101156916655909</v>
      </c>
      <c r="J2336" s="96">
        <v>-10.724428608662681</v>
      </c>
      <c r="K2336" s="96">
        <v>26.922627456041184</v>
      </c>
      <c r="L2336" s="96">
        <v>-1.425226049186366</v>
      </c>
      <c r="M2336" s="96">
        <v>-0.1768379632209825</v>
      </c>
      <c r="N2336" s="96">
        <v>-0.71202574822340303</v>
      </c>
      <c r="O2336" s="96">
        <v>-2.6195436771978879E-2</v>
      </c>
      <c r="P2336" s="96">
        <v>-5.0783543656506246E-3</v>
      </c>
      <c r="Q2336" s="96">
        <v>-1.7688274001336588E-3</v>
      </c>
      <c r="R2336" s="96">
        <v>4.9047577902043742E-3</v>
      </c>
      <c r="S2336" s="96">
        <v>1.1964037748147458</v>
      </c>
      <c r="T2336" s="96">
        <v>2.2908150810247414</v>
      </c>
      <c r="U2336" s="96">
        <v>7.8029276924909921</v>
      </c>
      <c r="V2336" s="96">
        <v>3.0779359275619606E-2</v>
      </c>
      <c r="W2336" s="96">
        <v>2.1439335002635354E-2</v>
      </c>
      <c r="X2336" s="96">
        <v>-0.14458030757727375</v>
      </c>
      <c r="Y2336" s="96">
        <v>-2.9539909136786169E-4</v>
      </c>
      <c r="Z2336" s="96">
        <v>-8.0531218385291757E-4</v>
      </c>
      <c r="AA2336" s="96">
        <v>-2.3043741591886779E-4</v>
      </c>
      <c r="AB2336" s="96">
        <v>1.0393131214547341E-3</v>
      </c>
      <c r="AC2336" s="119">
        <v>1.1617779304314187E-2</v>
      </c>
      <c r="AD2336" s="119">
        <v>11.360507103755308</v>
      </c>
      <c r="AE2336" s="120">
        <v>1.3909784058527538E-2</v>
      </c>
      <c r="AF2336" s="119">
        <v>6.3256402382871814E-4</v>
      </c>
      <c r="AG2336" s="119">
        <v>1.2228211255434345</v>
      </c>
      <c r="AH2336" s="120">
        <v>5.9049812234151068E-3</v>
      </c>
      <c r="AI2336" s="121">
        <v>-34.4</v>
      </c>
      <c r="AJ2336" s="121">
        <v>-12.2</v>
      </c>
      <c r="AK2336" s="121">
        <v>37.799999999999997</v>
      </c>
      <c r="AL2336" s="121">
        <v>54.4</v>
      </c>
      <c r="AM2336" s="122">
        <v>43280</v>
      </c>
      <c r="AN2336" s="121" t="s">
        <v>692</v>
      </c>
    </row>
    <row r="2337" spans="1:40">
      <c r="A2337" s="93"/>
      <c r="B2337" s="94"/>
      <c r="C2337" s="93"/>
      <c r="D2337" s="94"/>
      <c r="E2337" s="93"/>
      <c r="F2337" s="94"/>
      <c r="G2337" s="95">
        <v>4500</v>
      </c>
      <c r="H2337" s="94"/>
      <c r="I2337" s="96">
        <v>6.6477774590039378E-3</v>
      </c>
      <c r="J2337" s="96">
        <v>-0.47830978546548658</v>
      </c>
      <c r="K2337" s="96">
        <v>38.191282608970326</v>
      </c>
      <c r="L2337" s="96">
        <v>-1.2878834576503142</v>
      </c>
      <c r="M2337" s="96">
        <v>-0.3556178810911611</v>
      </c>
      <c r="N2337" s="96">
        <v>-0.95004978952437535</v>
      </c>
      <c r="O2337" s="96">
        <v>-2.5992718834709851E-2</v>
      </c>
      <c r="P2337" s="96">
        <v>-6.4938742069333717E-3</v>
      </c>
      <c r="Q2337" s="96">
        <v>3.9252173378219782E-4</v>
      </c>
      <c r="R2337" s="96">
        <v>6.7161060620051331E-3</v>
      </c>
      <c r="S2337" s="96">
        <v>2.942924367465229E-2</v>
      </c>
      <c r="T2337" s="96">
        <v>-0.68068959815964858</v>
      </c>
      <c r="U2337" s="96">
        <v>4.3156004271699793</v>
      </c>
      <c r="V2337" s="96">
        <v>0.76692619572509413</v>
      </c>
      <c r="W2337" s="96">
        <v>0.81175009440555201</v>
      </c>
      <c r="X2337" s="96">
        <v>0.20757884152641132</v>
      </c>
      <c r="Y2337" s="96">
        <v>1.1993482778625683E-2</v>
      </c>
      <c r="Z2337" s="96">
        <v>1.8132178809516237E-3</v>
      </c>
      <c r="AA2337" s="96">
        <v>-6.681062862175245E-3</v>
      </c>
      <c r="AB2337" s="96">
        <v>-2.9152827482831151E-3</v>
      </c>
      <c r="AC2337" s="119">
        <v>4.0803989903401894E-2</v>
      </c>
      <c r="AD2337" s="119">
        <v>57.199032263912088</v>
      </c>
      <c r="AE2337" s="120">
        <v>2.3333556230936216E-2</v>
      </c>
      <c r="AF2337" s="119">
        <v>2.4371647147655366E-3</v>
      </c>
      <c r="AG2337" s="119">
        <v>0.80892060941583188</v>
      </c>
      <c r="AH2337" s="120">
        <v>3.1259924386678553E-3</v>
      </c>
      <c r="AI2337" s="121">
        <v>-34.4</v>
      </c>
      <c r="AJ2337" s="121">
        <v>-12.2</v>
      </c>
      <c r="AK2337" s="121">
        <v>37.799999999999997</v>
      </c>
      <c r="AL2337" s="121">
        <v>54.4</v>
      </c>
      <c r="AM2337" s="122">
        <v>43280</v>
      </c>
      <c r="AN2337" s="121" t="s">
        <v>692</v>
      </c>
    </row>
    <row r="2338" spans="1:40">
      <c r="A2338" s="93" t="s">
        <v>118</v>
      </c>
      <c r="B2338" s="94" t="s">
        <v>44</v>
      </c>
      <c r="C2338" s="93" t="s">
        <v>105</v>
      </c>
      <c r="D2338" s="94" t="s">
        <v>101</v>
      </c>
      <c r="E2338" s="93" t="s">
        <v>47</v>
      </c>
      <c r="F2338" s="94" t="s">
        <v>240</v>
      </c>
      <c r="G2338" s="95"/>
      <c r="H2338" s="94" t="str">
        <f>CONCATENATE(A2338," ",B2338," ",C2338," ",D2338," ",E2338," ",F2338)</f>
        <v>Panasonic Isobutane 60 Hz 115V VSD TKD91 - Nat Cooled (Est.)</v>
      </c>
      <c r="I2338" s="96"/>
      <c r="J2338" s="96"/>
      <c r="K2338" s="96"/>
      <c r="L2338" s="96"/>
      <c r="M2338" s="96"/>
      <c r="N2338" s="96"/>
      <c r="O2338" s="96"/>
      <c r="P2338" s="96"/>
      <c r="Q2338" s="96"/>
      <c r="R2338" s="96"/>
      <c r="S2338" s="96"/>
      <c r="T2338" s="96"/>
      <c r="U2338" s="96"/>
      <c r="V2338" s="96"/>
      <c r="W2338" s="96"/>
      <c r="X2338" s="96"/>
      <c r="Y2338" s="96"/>
      <c r="Z2338" s="96"/>
      <c r="AA2338" s="96"/>
      <c r="AB2338" s="96"/>
      <c r="AC2338" s="119"/>
      <c r="AD2338" s="119"/>
      <c r="AE2338" s="120"/>
      <c r="AF2338" s="119"/>
      <c r="AG2338" s="119"/>
      <c r="AH2338" s="120"/>
      <c r="AI2338" s="121"/>
      <c r="AJ2338" s="121"/>
      <c r="AK2338" s="121"/>
      <c r="AL2338" s="121"/>
      <c r="AM2338" s="122"/>
      <c r="AN2338" s="121"/>
    </row>
    <row r="2339" spans="1:40">
      <c r="A2339" s="93"/>
      <c r="B2339" s="94"/>
      <c r="C2339" s="93"/>
      <c r="D2339" s="94"/>
      <c r="E2339" s="93"/>
      <c r="F2339" s="94"/>
      <c r="G2339" s="95">
        <v>1620</v>
      </c>
      <c r="H2339" s="94"/>
      <c r="I2339" s="96">
        <v>0.91968824850627273</v>
      </c>
      <c r="J2339" s="96">
        <v>-14.06699619215933</v>
      </c>
      <c r="K2339" s="96">
        <v>9.8217606245548534</v>
      </c>
      <c r="L2339" s="96">
        <v>-1.2771435296008129</v>
      </c>
      <c r="M2339" s="96">
        <v>-0.26294921268221627</v>
      </c>
      <c r="N2339" s="96">
        <v>-0.3237580719626032</v>
      </c>
      <c r="O2339" s="96">
        <v>-2.1942469655311471E-2</v>
      </c>
      <c r="P2339" s="96">
        <v>-3.8367028755632126E-3</v>
      </c>
      <c r="Q2339" s="96">
        <v>5.2604635978837613E-4</v>
      </c>
      <c r="R2339" s="96">
        <v>2.509520592192335E-3</v>
      </c>
      <c r="S2339" s="96">
        <v>0.14391726825209247</v>
      </c>
      <c r="T2339" s="96">
        <v>-4.1538868286957626</v>
      </c>
      <c r="U2339" s="96">
        <v>1.2081145481108686</v>
      </c>
      <c r="V2339" s="96">
        <v>-0.20157042239371198</v>
      </c>
      <c r="W2339" s="96">
        <v>2.0396497317790249E-2</v>
      </c>
      <c r="X2339" s="96">
        <v>-6.8282536845161732E-3</v>
      </c>
      <c r="Y2339" s="96">
        <v>-2.9830921837614177E-3</v>
      </c>
      <c r="Z2339" s="96">
        <v>-1.2208344889220495E-4</v>
      </c>
      <c r="AA2339" s="96">
        <v>3.1994719695216141E-5</v>
      </c>
      <c r="AB2339" s="96">
        <v>6.6610606802655514E-5</v>
      </c>
      <c r="AC2339" s="119">
        <v>7.8417087871915185E-4</v>
      </c>
      <c r="AD2339" s="119">
        <v>0.569107380233563</v>
      </c>
      <c r="AE2339" s="120">
        <v>6.2721083744072736E-3</v>
      </c>
      <c r="AF2339" s="119">
        <v>3.5876020701133117E-6</v>
      </c>
      <c r="AG2339" s="119">
        <v>3.4417183448365898E-4</v>
      </c>
      <c r="AH2339" s="120">
        <v>1.8416775175997261E-4</v>
      </c>
      <c r="AI2339" s="121">
        <v>-34.4</v>
      </c>
      <c r="AJ2339" s="121">
        <v>-12.2</v>
      </c>
      <c r="AK2339" s="121">
        <v>37.799999999999997</v>
      </c>
      <c r="AL2339" s="121">
        <v>54.4</v>
      </c>
      <c r="AM2339" s="122">
        <v>43280</v>
      </c>
      <c r="AN2339" s="121" t="s">
        <v>692</v>
      </c>
    </row>
    <row r="2340" spans="1:40">
      <c r="A2340" s="93"/>
      <c r="B2340" s="94"/>
      <c r="C2340" s="93"/>
      <c r="D2340" s="94"/>
      <c r="E2340" s="93"/>
      <c r="F2340" s="94"/>
      <c r="G2340" s="95">
        <v>3120</v>
      </c>
      <c r="H2340" s="94"/>
      <c r="I2340" s="96">
        <v>1.6588122209156231</v>
      </c>
      <c r="J2340" s="96">
        <v>-10.402695750402801</v>
      </c>
      <c r="K2340" s="96">
        <v>26.114948632359948</v>
      </c>
      <c r="L2340" s="96">
        <v>-1.3824692677107751</v>
      </c>
      <c r="M2340" s="96">
        <v>-0.17153282432435302</v>
      </c>
      <c r="N2340" s="96">
        <v>-0.69066497577670094</v>
      </c>
      <c r="O2340" s="96">
        <v>-2.5409573668819511E-2</v>
      </c>
      <c r="P2340" s="96">
        <v>-4.9260037346811059E-3</v>
      </c>
      <c r="Q2340" s="96">
        <v>-1.715762578129649E-3</v>
      </c>
      <c r="R2340" s="96">
        <v>4.7576150564982425E-3</v>
      </c>
      <c r="S2340" s="96">
        <v>1.1964037748147458</v>
      </c>
      <c r="T2340" s="96">
        <v>2.2908150810247414</v>
      </c>
      <c r="U2340" s="96">
        <v>7.8029276924909921</v>
      </c>
      <c r="V2340" s="96">
        <v>3.0779359275619606E-2</v>
      </c>
      <c r="W2340" s="96">
        <v>2.1439335002635354E-2</v>
      </c>
      <c r="X2340" s="96">
        <v>-0.14458030757727375</v>
      </c>
      <c r="Y2340" s="96">
        <v>-2.9539909136786169E-4</v>
      </c>
      <c r="Z2340" s="96">
        <v>-8.0531218385291757E-4</v>
      </c>
      <c r="AA2340" s="96">
        <v>-2.3043741591886779E-4</v>
      </c>
      <c r="AB2340" s="96">
        <v>1.0393131214547341E-3</v>
      </c>
      <c r="AC2340" s="119">
        <v>1.1617779304314187E-2</v>
      </c>
      <c r="AD2340" s="119">
        <v>11.360507103755308</v>
      </c>
      <c r="AE2340" s="120">
        <v>1.3909784058527538E-2</v>
      </c>
      <c r="AF2340" s="119">
        <v>6.3256402382871814E-4</v>
      </c>
      <c r="AG2340" s="119">
        <v>1.2228211255434345</v>
      </c>
      <c r="AH2340" s="120">
        <v>5.9049812234151068E-3</v>
      </c>
      <c r="AI2340" s="121">
        <v>-34.4</v>
      </c>
      <c r="AJ2340" s="121">
        <v>-12.2</v>
      </c>
      <c r="AK2340" s="121">
        <v>37.799999999999997</v>
      </c>
      <c r="AL2340" s="121">
        <v>54.4</v>
      </c>
      <c r="AM2340" s="122">
        <v>43280</v>
      </c>
      <c r="AN2340" s="121" t="s">
        <v>692</v>
      </c>
    </row>
    <row r="2341" spans="1:40">
      <c r="A2341" s="93"/>
      <c r="B2341" s="94"/>
      <c r="C2341" s="93"/>
      <c r="D2341" s="94"/>
      <c r="E2341" s="93"/>
      <c r="F2341" s="94"/>
      <c r="G2341" s="95">
        <v>4500</v>
      </c>
      <c r="H2341" s="94"/>
      <c r="I2341" s="96">
        <v>6.4483441352338198E-3</v>
      </c>
      <c r="J2341" s="96">
        <v>-0.463960491901522</v>
      </c>
      <c r="K2341" s="96">
        <v>37.045544130701217</v>
      </c>
      <c r="L2341" s="96">
        <v>-1.2492469539208046</v>
      </c>
      <c r="M2341" s="96">
        <v>-0.34494934465842625</v>
      </c>
      <c r="N2341" s="96">
        <v>-0.92154829583864406</v>
      </c>
      <c r="O2341" s="96">
        <v>-2.5212937269668556E-2</v>
      </c>
      <c r="P2341" s="96">
        <v>-6.2990579807253701E-3</v>
      </c>
      <c r="Q2341" s="96">
        <v>3.8074608176873187E-4</v>
      </c>
      <c r="R2341" s="96">
        <v>6.5146228801449789E-3</v>
      </c>
      <c r="S2341" s="96">
        <v>2.942924367465229E-2</v>
      </c>
      <c r="T2341" s="96">
        <v>-0.68068959815964858</v>
      </c>
      <c r="U2341" s="96">
        <v>4.3156004271699793</v>
      </c>
      <c r="V2341" s="96">
        <v>0.76692619572509413</v>
      </c>
      <c r="W2341" s="96">
        <v>0.81175009440555201</v>
      </c>
      <c r="X2341" s="96">
        <v>0.20757884152641132</v>
      </c>
      <c r="Y2341" s="96">
        <v>1.1993482778625683E-2</v>
      </c>
      <c r="Z2341" s="96">
        <v>1.8132178809516237E-3</v>
      </c>
      <c r="AA2341" s="96">
        <v>-6.681062862175245E-3</v>
      </c>
      <c r="AB2341" s="96">
        <v>-2.9152827482831151E-3</v>
      </c>
      <c r="AC2341" s="119">
        <v>4.0803989903401894E-2</v>
      </c>
      <c r="AD2341" s="119">
        <v>57.199032263912088</v>
      </c>
      <c r="AE2341" s="120">
        <v>2.3333556230936216E-2</v>
      </c>
      <c r="AF2341" s="119">
        <v>2.4371647147655366E-3</v>
      </c>
      <c r="AG2341" s="119">
        <v>0.80892060941583188</v>
      </c>
      <c r="AH2341" s="120">
        <v>3.1259924386678553E-3</v>
      </c>
      <c r="AI2341" s="121">
        <v>-34.4</v>
      </c>
      <c r="AJ2341" s="121">
        <v>-12.2</v>
      </c>
      <c r="AK2341" s="121">
        <v>37.799999999999997</v>
      </c>
      <c r="AL2341" s="121">
        <v>54.4</v>
      </c>
      <c r="AM2341" s="122">
        <v>43280</v>
      </c>
      <c r="AN2341" s="121" t="s">
        <v>692</v>
      </c>
    </row>
    <row r="2342" spans="1:40">
      <c r="AC2342" s="119"/>
      <c r="AD2342" s="119"/>
      <c r="AE2342" s="120"/>
      <c r="AF2342" s="119"/>
      <c r="AG2342" s="119"/>
      <c r="AH2342" s="120"/>
      <c r="AI2342" s="121"/>
      <c r="AJ2342" s="121"/>
      <c r="AK2342" s="121"/>
      <c r="AL2342" s="121"/>
      <c r="AM2342" s="122"/>
      <c r="AN2342" s="121"/>
    </row>
    <row r="2343" spans="1:40">
      <c r="AC2343" s="119"/>
      <c r="AD2343" s="119"/>
      <c r="AE2343" s="120"/>
      <c r="AF2343" s="119"/>
      <c r="AG2343" s="119"/>
      <c r="AH2343" s="120"/>
      <c r="AI2343" s="121"/>
      <c r="AJ2343" s="121"/>
      <c r="AK2343" s="121"/>
      <c r="AL2343" s="121"/>
      <c r="AM2343" s="122"/>
      <c r="AN2343" s="121"/>
    </row>
    <row r="2344" spans="1:40">
      <c r="AC2344" s="119"/>
      <c r="AD2344" s="119"/>
      <c r="AE2344" s="120"/>
      <c r="AF2344" s="119"/>
      <c r="AG2344" s="119"/>
      <c r="AH2344" s="120"/>
      <c r="AI2344" s="121"/>
      <c r="AJ2344" s="121"/>
      <c r="AK2344" s="121"/>
      <c r="AL2344" s="121"/>
      <c r="AM2344" s="122"/>
      <c r="AN2344" s="121"/>
    </row>
    <row r="2345" spans="1:40">
      <c r="AC2345" s="119"/>
      <c r="AD2345" s="119"/>
      <c r="AE2345" s="120"/>
      <c r="AF2345" s="119"/>
      <c r="AG2345" s="119"/>
      <c r="AH2345" s="120"/>
      <c r="AI2345" s="121"/>
      <c r="AJ2345" s="121"/>
      <c r="AK2345" s="121"/>
      <c r="AL2345" s="121"/>
      <c r="AM2345" s="122"/>
      <c r="AN2345" s="121"/>
    </row>
    <row r="2346" spans="1:40">
      <c r="AC2346" s="119"/>
      <c r="AD2346" s="119"/>
      <c r="AE2346" s="120"/>
      <c r="AF2346" s="119"/>
      <c r="AG2346" s="119"/>
      <c r="AH2346" s="120"/>
      <c r="AI2346" s="121"/>
      <c r="AJ2346" s="121"/>
      <c r="AK2346" s="121"/>
      <c r="AL2346" s="121"/>
      <c r="AM2346" s="122"/>
      <c r="AN2346" s="121"/>
    </row>
    <row r="2347" spans="1:40">
      <c r="AC2347" s="119"/>
      <c r="AD2347" s="119"/>
      <c r="AE2347" s="120"/>
      <c r="AF2347" s="119"/>
      <c r="AG2347" s="119"/>
      <c r="AH2347" s="120"/>
      <c r="AI2347" s="121"/>
      <c r="AJ2347" s="121"/>
      <c r="AK2347" s="121"/>
      <c r="AL2347" s="121"/>
      <c r="AM2347" s="122"/>
      <c r="AN2347" s="121"/>
    </row>
    <row r="2348" spans="1:40">
      <c r="AC2348" s="119"/>
      <c r="AD2348" s="119"/>
      <c r="AE2348" s="120"/>
      <c r="AF2348" s="119"/>
      <c r="AG2348" s="119"/>
      <c r="AH2348" s="120"/>
      <c r="AI2348" s="121"/>
      <c r="AJ2348" s="121"/>
      <c r="AK2348" s="121"/>
      <c r="AL2348" s="121"/>
      <c r="AM2348" s="122"/>
      <c r="AN2348" s="121"/>
    </row>
    <row r="2349" spans="1:40">
      <c r="AC2349" s="119"/>
      <c r="AD2349" s="119"/>
      <c r="AE2349" s="120"/>
      <c r="AF2349" s="119"/>
      <c r="AG2349" s="119"/>
      <c r="AH2349" s="120"/>
      <c r="AI2349" s="121"/>
      <c r="AJ2349" s="121"/>
      <c r="AK2349" s="121"/>
      <c r="AL2349" s="121"/>
      <c r="AM2349" s="122"/>
      <c r="AN2349" s="121"/>
    </row>
    <row r="2350" spans="1:40">
      <c r="AC2350" s="119"/>
      <c r="AD2350" s="119"/>
      <c r="AE2350" s="120"/>
      <c r="AF2350" s="119"/>
      <c r="AG2350" s="119"/>
      <c r="AH2350" s="120"/>
      <c r="AI2350" s="121"/>
      <c r="AJ2350" s="121"/>
      <c r="AK2350" s="121"/>
      <c r="AL2350" s="121"/>
      <c r="AM2350" s="122"/>
      <c r="AN2350" s="121"/>
    </row>
    <row r="2351" spans="1:40">
      <c r="AC2351" s="119"/>
      <c r="AD2351" s="119"/>
      <c r="AE2351" s="120"/>
      <c r="AF2351" s="119"/>
      <c r="AG2351" s="119"/>
      <c r="AH2351" s="120"/>
      <c r="AI2351" s="121"/>
      <c r="AJ2351" s="121"/>
      <c r="AK2351" s="121"/>
      <c r="AL2351" s="121"/>
      <c r="AM2351" s="122"/>
      <c r="AN2351" s="121"/>
    </row>
    <row r="2352" spans="1:40">
      <c r="AC2352" s="119"/>
      <c r="AD2352" s="119"/>
      <c r="AE2352" s="120"/>
      <c r="AF2352" s="119"/>
      <c r="AG2352" s="119"/>
      <c r="AH2352" s="120"/>
      <c r="AI2352" s="121"/>
      <c r="AJ2352" s="121"/>
      <c r="AK2352" s="121"/>
      <c r="AL2352" s="121"/>
      <c r="AM2352" s="122"/>
      <c r="AN2352" s="121"/>
    </row>
    <row r="2353" spans="29:40">
      <c r="AC2353" s="119"/>
      <c r="AD2353" s="119"/>
      <c r="AE2353" s="120"/>
      <c r="AF2353" s="119"/>
      <c r="AG2353" s="119"/>
      <c r="AH2353" s="120"/>
      <c r="AI2353" s="121"/>
      <c r="AJ2353" s="121"/>
      <c r="AK2353" s="121"/>
      <c r="AL2353" s="121"/>
      <c r="AM2353" s="122"/>
      <c r="AN2353" s="121"/>
    </row>
    <row r="2354" spans="29:40">
      <c r="AC2354" s="119"/>
      <c r="AD2354" s="119"/>
      <c r="AE2354" s="120"/>
      <c r="AF2354" s="119"/>
      <c r="AG2354" s="119"/>
      <c r="AH2354" s="120"/>
      <c r="AI2354" s="121"/>
      <c r="AJ2354" s="121"/>
      <c r="AK2354" s="121"/>
      <c r="AL2354" s="121"/>
      <c r="AM2354" s="122"/>
      <c r="AN2354" s="121"/>
    </row>
    <row r="2355" spans="29:40">
      <c r="AC2355" s="119"/>
      <c r="AD2355" s="119"/>
      <c r="AE2355" s="120"/>
      <c r="AF2355" s="119"/>
      <c r="AG2355" s="119"/>
      <c r="AH2355" s="120"/>
      <c r="AI2355" s="121"/>
      <c r="AJ2355" s="121"/>
      <c r="AK2355" s="121"/>
      <c r="AL2355" s="121"/>
      <c r="AM2355" s="122"/>
      <c r="AN2355" s="121"/>
    </row>
    <row r="2356" spans="29:40">
      <c r="AC2356" s="119"/>
      <c r="AD2356" s="119"/>
      <c r="AE2356" s="120"/>
      <c r="AF2356" s="119"/>
      <c r="AG2356" s="119"/>
      <c r="AH2356" s="120"/>
      <c r="AI2356" s="121"/>
      <c r="AJ2356" s="121"/>
      <c r="AK2356" s="121"/>
      <c r="AL2356" s="121"/>
      <c r="AM2356" s="122"/>
      <c r="AN2356" s="121"/>
    </row>
    <row r="2357" spans="29:40">
      <c r="AC2357" s="119"/>
      <c r="AD2357" s="119"/>
      <c r="AE2357" s="120"/>
      <c r="AF2357" s="119"/>
      <c r="AG2357" s="119"/>
      <c r="AH2357" s="120"/>
      <c r="AI2357" s="121"/>
      <c r="AJ2357" s="121"/>
      <c r="AK2357" s="121"/>
      <c r="AL2357" s="121"/>
      <c r="AM2357" s="122"/>
      <c r="AN2357" s="121"/>
    </row>
    <row r="2358" spans="29:40">
      <c r="AC2358" s="119"/>
      <c r="AD2358" s="119"/>
      <c r="AE2358" s="120"/>
      <c r="AF2358" s="119"/>
      <c r="AG2358" s="119"/>
      <c r="AH2358" s="120"/>
      <c r="AI2358" s="121"/>
      <c r="AJ2358" s="121"/>
      <c r="AK2358" s="121"/>
      <c r="AL2358" s="121"/>
      <c r="AM2358" s="122"/>
      <c r="AN2358" s="121"/>
    </row>
    <row r="2359" spans="29:40">
      <c r="AC2359" s="119"/>
      <c r="AD2359" s="119"/>
      <c r="AE2359" s="120"/>
      <c r="AF2359" s="119"/>
      <c r="AG2359" s="119"/>
      <c r="AH2359" s="120"/>
      <c r="AI2359" s="121"/>
      <c r="AJ2359" s="121"/>
      <c r="AK2359" s="121"/>
      <c r="AL2359" s="121"/>
      <c r="AM2359" s="122"/>
      <c r="AN2359" s="121"/>
    </row>
    <row r="2360" spans="29:40">
      <c r="AC2360" s="119"/>
      <c r="AD2360" s="119"/>
      <c r="AE2360" s="120"/>
      <c r="AF2360" s="119"/>
      <c r="AG2360" s="119"/>
      <c r="AH2360" s="120"/>
      <c r="AI2360" s="121"/>
      <c r="AJ2360" s="121"/>
      <c r="AK2360" s="121"/>
      <c r="AL2360" s="121"/>
      <c r="AM2360" s="122"/>
      <c r="AN2360" s="121"/>
    </row>
    <row r="2361" spans="29:40">
      <c r="AC2361" s="119"/>
      <c r="AD2361" s="119"/>
      <c r="AE2361" s="120"/>
      <c r="AF2361" s="119"/>
      <c r="AG2361" s="119"/>
      <c r="AH2361" s="120"/>
      <c r="AI2361" s="121"/>
      <c r="AJ2361" s="121"/>
      <c r="AK2361" s="121"/>
      <c r="AL2361" s="121"/>
      <c r="AM2361" s="122"/>
      <c r="AN2361" s="121"/>
    </row>
    <row r="2362" spans="29:40">
      <c r="AC2362" s="119"/>
      <c r="AD2362" s="119"/>
      <c r="AE2362" s="120"/>
      <c r="AF2362" s="119"/>
      <c r="AG2362" s="119"/>
      <c r="AH2362" s="120"/>
      <c r="AI2362" s="121"/>
      <c r="AJ2362" s="121"/>
      <c r="AK2362" s="121"/>
      <c r="AL2362" s="121"/>
      <c r="AM2362" s="122"/>
      <c r="AN2362" s="121"/>
    </row>
    <row r="2363" spans="29:40">
      <c r="AC2363" s="119"/>
      <c r="AD2363" s="119"/>
      <c r="AE2363" s="120"/>
      <c r="AF2363" s="119"/>
      <c r="AG2363" s="119"/>
      <c r="AH2363" s="120"/>
      <c r="AI2363" s="121"/>
      <c r="AJ2363" s="121"/>
      <c r="AK2363" s="121"/>
      <c r="AL2363" s="121"/>
      <c r="AM2363" s="122"/>
      <c r="AN2363" s="121"/>
    </row>
    <row r="2364" spans="29:40">
      <c r="AC2364" s="119"/>
      <c r="AD2364" s="119"/>
      <c r="AE2364" s="120"/>
      <c r="AF2364" s="119"/>
      <c r="AG2364" s="119"/>
      <c r="AH2364" s="120"/>
      <c r="AI2364" s="121"/>
      <c r="AJ2364" s="121"/>
      <c r="AK2364" s="121"/>
      <c r="AL2364" s="121"/>
      <c r="AM2364" s="122"/>
      <c r="AN2364" s="121"/>
    </row>
    <row r="2365" spans="29:40">
      <c r="AC2365" s="119"/>
      <c r="AD2365" s="119"/>
      <c r="AE2365" s="120"/>
      <c r="AF2365" s="119"/>
      <c r="AG2365" s="119"/>
      <c r="AH2365" s="120"/>
      <c r="AI2365" s="121"/>
      <c r="AJ2365" s="121"/>
      <c r="AK2365" s="121"/>
      <c r="AL2365" s="121"/>
      <c r="AM2365" s="122"/>
      <c r="AN2365" s="121"/>
    </row>
    <row r="2366" spans="29:40">
      <c r="AC2366" s="119"/>
      <c r="AD2366" s="119"/>
      <c r="AE2366" s="120"/>
      <c r="AF2366" s="119"/>
      <c r="AG2366" s="119"/>
      <c r="AH2366" s="120"/>
      <c r="AI2366" s="121"/>
      <c r="AJ2366" s="121"/>
      <c r="AK2366" s="121"/>
      <c r="AL2366" s="121"/>
      <c r="AM2366" s="122"/>
      <c r="AN2366" s="121"/>
    </row>
    <row r="2367" spans="29:40">
      <c r="AC2367" s="119"/>
      <c r="AD2367" s="119"/>
      <c r="AE2367" s="120"/>
      <c r="AF2367" s="119"/>
      <c r="AG2367" s="119"/>
      <c r="AH2367" s="120"/>
      <c r="AI2367" s="121"/>
      <c r="AJ2367" s="121"/>
      <c r="AK2367" s="121"/>
      <c r="AL2367" s="121"/>
      <c r="AM2367" s="122"/>
      <c r="AN2367" s="121"/>
    </row>
    <row r="2368" spans="29:40">
      <c r="AC2368" s="119"/>
      <c r="AD2368" s="119"/>
      <c r="AE2368" s="120"/>
      <c r="AF2368" s="119"/>
      <c r="AG2368" s="119"/>
      <c r="AH2368" s="120"/>
      <c r="AI2368" s="121"/>
      <c r="AJ2368" s="121"/>
      <c r="AK2368" s="121"/>
      <c r="AL2368" s="121"/>
      <c r="AM2368" s="122"/>
      <c r="AN2368" s="121"/>
    </row>
    <row r="2369" spans="29:40">
      <c r="AC2369" s="119"/>
      <c r="AD2369" s="119"/>
      <c r="AE2369" s="120"/>
      <c r="AF2369" s="119"/>
      <c r="AG2369" s="119"/>
      <c r="AH2369" s="120"/>
      <c r="AI2369" s="121"/>
      <c r="AJ2369" s="121"/>
      <c r="AK2369" s="121"/>
      <c r="AL2369" s="121"/>
      <c r="AM2369" s="122"/>
      <c r="AN2369" s="121"/>
    </row>
    <row r="2370" spans="29:40">
      <c r="AC2370" s="119"/>
      <c r="AD2370" s="119"/>
      <c r="AE2370" s="120"/>
      <c r="AF2370" s="119"/>
      <c r="AG2370" s="119"/>
      <c r="AH2370" s="120"/>
      <c r="AI2370" s="121"/>
      <c r="AJ2370" s="121"/>
      <c r="AK2370" s="121"/>
      <c r="AL2370" s="121"/>
      <c r="AM2370" s="122"/>
      <c r="AN2370" s="121"/>
    </row>
    <row r="2371" spans="29:40">
      <c r="AC2371" s="119"/>
      <c r="AD2371" s="119"/>
      <c r="AE2371" s="120"/>
      <c r="AF2371" s="119"/>
      <c r="AG2371" s="119"/>
      <c r="AH2371" s="120"/>
      <c r="AI2371" s="121"/>
      <c r="AJ2371" s="121"/>
      <c r="AK2371" s="121"/>
      <c r="AL2371" s="121"/>
      <c r="AM2371" s="122"/>
      <c r="AN2371" s="121"/>
    </row>
    <row r="2372" spans="29:40">
      <c r="AC2372" s="119"/>
      <c r="AD2372" s="119"/>
      <c r="AE2372" s="120"/>
      <c r="AF2372" s="119"/>
      <c r="AG2372" s="119"/>
      <c r="AH2372" s="120"/>
      <c r="AI2372" s="121"/>
      <c r="AJ2372" s="121"/>
      <c r="AK2372" s="121"/>
      <c r="AL2372" s="121"/>
      <c r="AM2372" s="122"/>
      <c r="AN2372" s="121"/>
    </row>
    <row r="2373" spans="29:40">
      <c r="AC2373" s="119"/>
      <c r="AD2373" s="119"/>
      <c r="AE2373" s="120"/>
      <c r="AF2373" s="119"/>
      <c r="AG2373" s="119"/>
      <c r="AH2373" s="120"/>
      <c r="AI2373" s="121"/>
      <c r="AJ2373" s="121"/>
      <c r="AK2373" s="121"/>
      <c r="AL2373" s="121"/>
      <c r="AM2373" s="122"/>
      <c r="AN2373" s="121"/>
    </row>
    <row r="2374" spans="29:40">
      <c r="AC2374" s="119"/>
      <c r="AD2374" s="119"/>
      <c r="AE2374" s="120"/>
      <c r="AF2374" s="119"/>
      <c r="AG2374" s="119"/>
      <c r="AH2374" s="120"/>
      <c r="AI2374" s="121"/>
      <c r="AJ2374" s="121"/>
      <c r="AK2374" s="121"/>
      <c r="AL2374" s="121"/>
      <c r="AM2374" s="122"/>
      <c r="AN2374" s="121"/>
    </row>
    <row r="2375" spans="29:40">
      <c r="AC2375" s="119"/>
      <c r="AD2375" s="119"/>
      <c r="AE2375" s="120"/>
      <c r="AF2375" s="119"/>
      <c r="AG2375" s="119"/>
      <c r="AH2375" s="120"/>
      <c r="AI2375" s="121"/>
      <c r="AJ2375" s="121"/>
      <c r="AK2375" s="121"/>
      <c r="AL2375" s="121"/>
      <c r="AM2375" s="122"/>
      <c r="AN2375" s="121"/>
    </row>
    <row r="2376" spans="29:40">
      <c r="AC2376" s="119"/>
      <c r="AD2376" s="119"/>
      <c r="AE2376" s="120"/>
      <c r="AF2376" s="119"/>
      <c r="AG2376" s="119"/>
      <c r="AH2376" s="120"/>
      <c r="AI2376" s="121"/>
      <c r="AJ2376" s="121"/>
      <c r="AK2376" s="121"/>
      <c r="AL2376" s="121"/>
      <c r="AM2376" s="122"/>
      <c r="AN2376" s="121"/>
    </row>
    <row r="2377" spans="29:40">
      <c r="AC2377" s="119"/>
      <c r="AD2377" s="119"/>
      <c r="AE2377" s="120"/>
      <c r="AF2377" s="119"/>
      <c r="AG2377" s="119"/>
      <c r="AH2377" s="120"/>
      <c r="AI2377" s="121"/>
      <c r="AJ2377" s="121"/>
      <c r="AK2377" s="121"/>
      <c r="AL2377" s="121"/>
      <c r="AM2377" s="122"/>
      <c r="AN2377" s="121"/>
    </row>
    <row r="2378" spans="29:40">
      <c r="AC2378" s="119"/>
      <c r="AD2378" s="119"/>
      <c r="AE2378" s="120"/>
      <c r="AF2378" s="119"/>
      <c r="AG2378" s="119"/>
      <c r="AH2378" s="120"/>
      <c r="AI2378" s="121"/>
      <c r="AJ2378" s="121"/>
      <c r="AK2378" s="121"/>
      <c r="AL2378" s="121"/>
      <c r="AM2378" s="122"/>
      <c r="AN2378" s="121"/>
    </row>
    <row r="2379" spans="29:40">
      <c r="AC2379" s="119"/>
      <c r="AD2379" s="119"/>
      <c r="AE2379" s="120"/>
      <c r="AF2379" s="119"/>
      <c r="AG2379" s="119"/>
      <c r="AH2379" s="120"/>
      <c r="AI2379" s="121"/>
      <c r="AJ2379" s="121"/>
      <c r="AK2379" s="121"/>
      <c r="AL2379" s="121"/>
      <c r="AM2379" s="122"/>
      <c r="AN2379" s="121"/>
    </row>
    <row r="2380" spans="29:40">
      <c r="AC2380" s="119"/>
      <c r="AD2380" s="119"/>
      <c r="AE2380" s="120"/>
      <c r="AF2380" s="119"/>
      <c r="AG2380" s="119"/>
      <c r="AH2380" s="120"/>
      <c r="AI2380" s="121"/>
      <c r="AJ2380" s="121"/>
      <c r="AK2380" s="121"/>
      <c r="AL2380" s="121"/>
      <c r="AM2380" s="122"/>
      <c r="AN2380" s="121"/>
    </row>
    <row r="2381" spans="29:40">
      <c r="AC2381" s="119"/>
      <c r="AD2381" s="119"/>
      <c r="AE2381" s="120"/>
      <c r="AF2381" s="119"/>
      <c r="AG2381" s="119"/>
      <c r="AH2381" s="120"/>
      <c r="AI2381" s="121"/>
      <c r="AJ2381" s="121"/>
      <c r="AK2381" s="121"/>
      <c r="AL2381" s="121"/>
      <c r="AM2381" s="122"/>
      <c r="AN2381" s="121"/>
    </row>
    <row r="2382" spans="29:40">
      <c r="AC2382" s="119"/>
      <c r="AD2382" s="119"/>
      <c r="AE2382" s="120"/>
      <c r="AF2382" s="119"/>
      <c r="AG2382" s="119"/>
      <c r="AH2382" s="120"/>
      <c r="AI2382" s="121"/>
      <c r="AJ2382" s="121"/>
      <c r="AK2382" s="121"/>
      <c r="AL2382" s="121"/>
      <c r="AM2382" s="122"/>
      <c r="AN2382" s="121"/>
    </row>
    <row r="2383" spans="29:40">
      <c r="AC2383" s="119"/>
      <c r="AD2383" s="119"/>
      <c r="AE2383" s="120"/>
      <c r="AF2383" s="119"/>
      <c r="AG2383" s="119"/>
      <c r="AH2383" s="120"/>
      <c r="AI2383" s="121"/>
      <c r="AJ2383" s="121"/>
      <c r="AK2383" s="121"/>
      <c r="AL2383" s="121"/>
      <c r="AM2383" s="122"/>
      <c r="AN2383" s="121"/>
    </row>
    <row r="2384" spans="29:40">
      <c r="AC2384" s="119"/>
      <c r="AD2384" s="119"/>
      <c r="AE2384" s="120"/>
      <c r="AF2384" s="119"/>
      <c r="AG2384" s="119"/>
      <c r="AH2384" s="120"/>
      <c r="AI2384" s="121"/>
      <c r="AJ2384" s="121"/>
      <c r="AK2384" s="121"/>
      <c r="AL2384" s="121"/>
      <c r="AM2384" s="122"/>
      <c r="AN2384" s="121"/>
    </row>
    <row r="2385" spans="29:40">
      <c r="AC2385" s="119"/>
      <c r="AD2385" s="119"/>
      <c r="AE2385" s="120"/>
      <c r="AF2385" s="119"/>
      <c r="AG2385" s="119"/>
      <c r="AH2385" s="120"/>
      <c r="AI2385" s="121"/>
      <c r="AJ2385" s="121"/>
      <c r="AK2385" s="121"/>
      <c r="AL2385" s="121"/>
      <c r="AM2385" s="122"/>
      <c r="AN2385" s="121"/>
    </row>
    <row r="2386" spans="29:40">
      <c r="AC2386" s="119"/>
      <c r="AD2386" s="119"/>
      <c r="AE2386" s="120"/>
      <c r="AF2386" s="119"/>
      <c r="AG2386" s="119"/>
      <c r="AH2386" s="120"/>
      <c r="AI2386" s="121"/>
      <c r="AJ2386" s="121"/>
      <c r="AK2386" s="121"/>
      <c r="AL2386" s="121"/>
      <c r="AM2386" s="122"/>
      <c r="AN2386" s="121"/>
    </row>
    <row r="2387" spans="29:40">
      <c r="AC2387" s="119"/>
      <c r="AD2387" s="119"/>
      <c r="AE2387" s="120"/>
      <c r="AF2387" s="119"/>
      <c r="AG2387" s="119"/>
      <c r="AH2387" s="120"/>
      <c r="AI2387" s="121"/>
      <c r="AJ2387" s="121"/>
      <c r="AK2387" s="121"/>
      <c r="AL2387" s="121"/>
      <c r="AM2387" s="122"/>
      <c r="AN2387" s="121"/>
    </row>
    <row r="2388" spans="29:40">
      <c r="AC2388" s="119"/>
      <c r="AD2388" s="119"/>
      <c r="AE2388" s="120"/>
      <c r="AF2388" s="119"/>
      <c r="AG2388" s="119"/>
      <c r="AH2388" s="120"/>
      <c r="AI2388" s="121"/>
      <c r="AJ2388" s="121"/>
      <c r="AK2388" s="121"/>
      <c r="AL2388" s="121"/>
      <c r="AM2388" s="122"/>
      <c r="AN2388" s="121"/>
    </row>
    <row r="2389" spans="29:40">
      <c r="AC2389" s="119"/>
      <c r="AD2389" s="119"/>
      <c r="AE2389" s="120"/>
      <c r="AF2389" s="119"/>
      <c r="AG2389" s="119"/>
      <c r="AH2389" s="120"/>
      <c r="AI2389" s="121"/>
      <c r="AJ2389" s="121"/>
      <c r="AK2389" s="121"/>
      <c r="AL2389" s="121"/>
      <c r="AM2389" s="122"/>
      <c r="AN2389" s="121"/>
    </row>
    <row r="2390" spans="29:40">
      <c r="AC2390" s="119"/>
      <c r="AD2390" s="119"/>
      <c r="AE2390" s="120"/>
      <c r="AF2390" s="119"/>
      <c r="AG2390" s="119"/>
      <c r="AH2390" s="120"/>
      <c r="AI2390" s="121"/>
      <c r="AJ2390" s="121"/>
      <c r="AK2390" s="121"/>
      <c r="AL2390" s="121"/>
      <c r="AM2390" s="122"/>
      <c r="AN2390" s="121"/>
    </row>
    <row r="2391" spans="29:40">
      <c r="AC2391" s="119"/>
      <c r="AD2391" s="119"/>
      <c r="AE2391" s="120"/>
      <c r="AF2391" s="119"/>
      <c r="AG2391" s="119"/>
      <c r="AH2391" s="120"/>
      <c r="AI2391" s="121"/>
      <c r="AJ2391" s="121"/>
      <c r="AK2391" s="121"/>
      <c r="AL2391" s="121"/>
      <c r="AM2391" s="122"/>
      <c r="AN2391" s="121"/>
    </row>
    <row r="2392" spans="29:40">
      <c r="AC2392" s="119"/>
      <c r="AD2392" s="119"/>
      <c r="AE2392" s="120"/>
      <c r="AF2392" s="119"/>
      <c r="AG2392" s="119"/>
      <c r="AH2392" s="120"/>
      <c r="AI2392" s="121"/>
      <c r="AJ2392" s="121"/>
      <c r="AK2392" s="121"/>
      <c r="AL2392" s="121"/>
      <c r="AM2392" s="122"/>
      <c r="AN2392" s="121"/>
    </row>
    <row r="2393" spans="29:40">
      <c r="AC2393" s="119"/>
      <c r="AD2393" s="119"/>
      <c r="AE2393" s="120"/>
      <c r="AF2393" s="119"/>
      <c r="AG2393" s="119"/>
      <c r="AH2393" s="120"/>
      <c r="AI2393" s="121"/>
      <c r="AJ2393" s="121"/>
      <c r="AK2393" s="121"/>
      <c r="AL2393" s="121"/>
      <c r="AM2393" s="122"/>
      <c r="AN2393" s="121"/>
    </row>
    <row r="2394" spans="29:40">
      <c r="AC2394" s="119"/>
      <c r="AD2394" s="119"/>
      <c r="AE2394" s="120"/>
      <c r="AF2394" s="119"/>
      <c r="AG2394" s="119"/>
      <c r="AH2394" s="120"/>
      <c r="AI2394" s="121"/>
      <c r="AJ2394" s="121"/>
      <c r="AK2394" s="121"/>
      <c r="AL2394" s="121"/>
      <c r="AM2394" s="122"/>
      <c r="AN2394" s="121"/>
    </row>
    <row r="2395" spans="29:40">
      <c r="AC2395" s="119"/>
      <c r="AD2395" s="119"/>
      <c r="AE2395" s="120"/>
      <c r="AF2395" s="119"/>
      <c r="AG2395" s="119"/>
      <c r="AH2395" s="120"/>
      <c r="AI2395" s="121"/>
      <c r="AJ2395" s="121"/>
      <c r="AK2395" s="121"/>
      <c r="AL2395" s="121"/>
      <c r="AM2395" s="122"/>
      <c r="AN2395" s="121"/>
    </row>
    <row r="2396" spans="29:40">
      <c r="AC2396" s="119"/>
      <c r="AD2396" s="119"/>
      <c r="AE2396" s="120"/>
      <c r="AF2396" s="119"/>
      <c r="AG2396" s="119"/>
      <c r="AH2396" s="120"/>
      <c r="AI2396" s="121"/>
      <c r="AJ2396" s="121"/>
      <c r="AK2396" s="121"/>
      <c r="AL2396" s="121"/>
      <c r="AM2396" s="122"/>
      <c r="AN2396" s="121"/>
    </row>
    <row r="2397" spans="29:40">
      <c r="AC2397" s="119"/>
      <c r="AD2397" s="119"/>
      <c r="AE2397" s="120"/>
      <c r="AF2397" s="119"/>
      <c r="AG2397" s="119"/>
      <c r="AH2397" s="120"/>
      <c r="AI2397" s="121"/>
      <c r="AJ2397" s="121"/>
      <c r="AK2397" s="121"/>
      <c r="AL2397" s="121"/>
      <c r="AM2397" s="122"/>
      <c r="AN2397" s="121"/>
    </row>
    <row r="2398" spans="29:40">
      <c r="AC2398" s="119"/>
      <c r="AD2398" s="119"/>
      <c r="AE2398" s="120"/>
      <c r="AF2398" s="119"/>
      <c r="AG2398" s="119"/>
      <c r="AH2398" s="120"/>
      <c r="AI2398" s="121"/>
      <c r="AJ2398" s="121"/>
      <c r="AK2398" s="121"/>
      <c r="AL2398" s="121"/>
      <c r="AM2398" s="122"/>
      <c r="AN2398" s="121"/>
    </row>
    <row r="2399" spans="29:40">
      <c r="AC2399" s="119"/>
      <c r="AD2399" s="119"/>
      <c r="AE2399" s="120"/>
      <c r="AF2399" s="119"/>
      <c r="AG2399" s="119"/>
      <c r="AH2399" s="120"/>
      <c r="AI2399" s="121"/>
      <c r="AJ2399" s="121"/>
      <c r="AK2399" s="121"/>
      <c r="AL2399" s="121"/>
      <c r="AM2399" s="122"/>
      <c r="AN2399" s="121"/>
    </row>
    <row r="2400" spans="29:40">
      <c r="AC2400" s="119"/>
      <c r="AD2400" s="119"/>
      <c r="AE2400" s="120"/>
      <c r="AF2400" s="119"/>
      <c r="AG2400" s="119"/>
      <c r="AH2400" s="120"/>
      <c r="AI2400" s="121"/>
      <c r="AJ2400" s="121"/>
      <c r="AK2400" s="121"/>
      <c r="AL2400" s="121"/>
      <c r="AM2400" s="122"/>
      <c r="AN2400" s="121"/>
    </row>
    <row r="2401" spans="29:40">
      <c r="AC2401" s="119"/>
      <c r="AD2401" s="119"/>
      <c r="AE2401" s="120"/>
      <c r="AF2401" s="119"/>
      <c r="AG2401" s="119"/>
      <c r="AH2401" s="120"/>
      <c r="AI2401" s="121"/>
      <c r="AJ2401" s="121"/>
      <c r="AK2401" s="121"/>
      <c r="AL2401" s="121"/>
      <c r="AM2401" s="122"/>
      <c r="AN2401" s="121"/>
    </row>
    <row r="2402" spans="29:40">
      <c r="AC2402" s="119"/>
      <c r="AD2402" s="119"/>
      <c r="AE2402" s="120"/>
      <c r="AF2402" s="119"/>
      <c r="AG2402" s="119"/>
      <c r="AH2402" s="120"/>
      <c r="AI2402" s="121"/>
      <c r="AJ2402" s="121"/>
      <c r="AK2402" s="121"/>
      <c r="AL2402" s="121"/>
      <c r="AM2402" s="122"/>
      <c r="AN2402" s="121"/>
    </row>
    <row r="2403" spans="29:40">
      <c r="AC2403" s="119"/>
      <c r="AD2403" s="119"/>
      <c r="AE2403" s="120"/>
      <c r="AF2403" s="119"/>
      <c r="AG2403" s="119"/>
      <c r="AH2403" s="120"/>
      <c r="AI2403" s="121"/>
      <c r="AJ2403" s="121"/>
      <c r="AK2403" s="121"/>
      <c r="AL2403" s="121"/>
      <c r="AM2403" s="122"/>
      <c r="AN2403" s="121"/>
    </row>
    <row r="2404" spans="29:40">
      <c r="AC2404" s="119"/>
      <c r="AD2404" s="119"/>
      <c r="AE2404" s="120"/>
      <c r="AF2404" s="119"/>
      <c r="AG2404" s="119"/>
      <c r="AH2404" s="120"/>
      <c r="AI2404" s="121"/>
      <c r="AJ2404" s="121"/>
      <c r="AK2404" s="121"/>
      <c r="AL2404" s="121"/>
      <c r="AM2404" s="122"/>
      <c r="AN2404" s="121"/>
    </row>
    <row r="2405" spans="29:40">
      <c r="AC2405" s="119"/>
      <c r="AD2405" s="119"/>
      <c r="AE2405" s="120"/>
      <c r="AF2405" s="119"/>
      <c r="AG2405" s="119"/>
      <c r="AH2405" s="120"/>
      <c r="AI2405" s="121"/>
      <c r="AJ2405" s="121"/>
      <c r="AK2405" s="121"/>
      <c r="AL2405" s="121"/>
      <c r="AM2405" s="122"/>
      <c r="AN2405" s="121"/>
    </row>
    <row r="2406" spans="29:40">
      <c r="AC2406" s="119"/>
      <c r="AD2406" s="119"/>
      <c r="AE2406" s="120"/>
      <c r="AF2406" s="119"/>
      <c r="AG2406" s="119"/>
      <c r="AH2406" s="120"/>
      <c r="AI2406" s="121"/>
      <c r="AJ2406" s="121"/>
      <c r="AK2406" s="121"/>
      <c r="AL2406" s="121"/>
      <c r="AM2406" s="122"/>
      <c r="AN2406" s="121"/>
    </row>
    <row r="2407" spans="29:40">
      <c r="AC2407" s="119"/>
      <c r="AD2407" s="119"/>
      <c r="AE2407" s="120"/>
      <c r="AF2407" s="119"/>
      <c r="AG2407" s="119"/>
      <c r="AH2407" s="120"/>
      <c r="AI2407" s="121"/>
      <c r="AJ2407" s="121"/>
      <c r="AK2407" s="121"/>
      <c r="AL2407" s="121"/>
      <c r="AM2407" s="122"/>
      <c r="AN2407" s="121"/>
    </row>
    <row r="2408" spans="29:40">
      <c r="AC2408" s="119"/>
      <c r="AD2408" s="119"/>
      <c r="AE2408" s="120"/>
      <c r="AF2408" s="119"/>
      <c r="AG2408" s="119"/>
      <c r="AH2408" s="120"/>
      <c r="AI2408" s="121"/>
      <c r="AJ2408" s="121"/>
      <c r="AK2408" s="121"/>
      <c r="AL2408" s="121"/>
      <c r="AM2408" s="122"/>
      <c r="AN2408" s="121"/>
    </row>
    <row r="2409" spans="29:40">
      <c r="AC2409" s="119"/>
      <c r="AD2409" s="119"/>
      <c r="AE2409" s="120"/>
      <c r="AF2409" s="119"/>
      <c r="AG2409" s="119"/>
      <c r="AH2409" s="120"/>
      <c r="AI2409" s="121"/>
      <c r="AJ2409" s="121"/>
      <c r="AK2409" s="121"/>
      <c r="AL2409" s="121"/>
      <c r="AM2409" s="122"/>
      <c r="AN2409" s="121"/>
    </row>
    <row r="2410" spans="29:40">
      <c r="AC2410" s="119"/>
      <c r="AD2410" s="119"/>
      <c r="AE2410" s="120"/>
      <c r="AF2410" s="119"/>
      <c r="AG2410" s="119"/>
      <c r="AH2410" s="120"/>
      <c r="AI2410" s="121"/>
      <c r="AJ2410" s="121"/>
      <c r="AK2410" s="121"/>
      <c r="AL2410" s="121"/>
      <c r="AM2410" s="122"/>
      <c r="AN2410" s="121"/>
    </row>
    <row r="2411" spans="29:40">
      <c r="AC2411" s="119"/>
      <c r="AD2411" s="119"/>
      <c r="AE2411" s="120"/>
      <c r="AF2411" s="119"/>
      <c r="AG2411" s="119"/>
      <c r="AH2411" s="120"/>
      <c r="AI2411" s="121"/>
      <c r="AJ2411" s="121"/>
      <c r="AK2411" s="121"/>
      <c r="AL2411" s="121"/>
      <c r="AM2411" s="122"/>
      <c r="AN2411" s="121"/>
    </row>
    <row r="2412" spans="29:40">
      <c r="AC2412" s="119"/>
      <c r="AD2412" s="119"/>
      <c r="AE2412" s="120"/>
      <c r="AF2412" s="119"/>
      <c r="AG2412" s="119"/>
      <c r="AH2412" s="120"/>
      <c r="AI2412" s="121"/>
      <c r="AJ2412" s="121"/>
      <c r="AK2412" s="121"/>
      <c r="AL2412" s="121"/>
      <c r="AM2412" s="122"/>
      <c r="AN2412" s="121"/>
    </row>
    <row r="2413" spans="29:40">
      <c r="AC2413" s="119"/>
      <c r="AD2413" s="119"/>
      <c r="AE2413" s="120"/>
      <c r="AF2413" s="119"/>
      <c r="AG2413" s="119"/>
      <c r="AH2413" s="120"/>
      <c r="AI2413" s="121"/>
      <c r="AJ2413" s="121"/>
      <c r="AK2413" s="121"/>
      <c r="AL2413" s="121"/>
      <c r="AM2413" s="122"/>
      <c r="AN2413" s="121"/>
    </row>
    <row r="2414" spans="29:40">
      <c r="AC2414" s="119"/>
      <c r="AD2414" s="119"/>
      <c r="AE2414" s="120"/>
      <c r="AF2414" s="119"/>
      <c r="AG2414" s="119"/>
      <c r="AH2414" s="120"/>
      <c r="AI2414" s="121"/>
      <c r="AJ2414" s="121"/>
      <c r="AK2414" s="121"/>
      <c r="AL2414" s="121"/>
      <c r="AM2414" s="122"/>
      <c r="AN2414" s="121"/>
    </row>
    <row r="2415" spans="29:40">
      <c r="AC2415" s="119"/>
      <c r="AD2415" s="119"/>
      <c r="AE2415" s="120"/>
      <c r="AF2415" s="119"/>
      <c r="AG2415" s="119"/>
      <c r="AH2415" s="120"/>
      <c r="AI2415" s="121"/>
      <c r="AJ2415" s="121"/>
      <c r="AK2415" s="121"/>
      <c r="AL2415" s="121"/>
      <c r="AM2415" s="122"/>
      <c r="AN2415" s="121"/>
    </row>
    <row r="2416" spans="29:40">
      <c r="AC2416" s="119"/>
      <c r="AD2416" s="119"/>
      <c r="AE2416" s="120"/>
      <c r="AF2416" s="119"/>
      <c r="AG2416" s="119"/>
      <c r="AH2416" s="120"/>
      <c r="AI2416" s="121"/>
      <c r="AJ2416" s="121"/>
      <c r="AK2416" s="121"/>
      <c r="AL2416" s="121"/>
      <c r="AM2416" s="122"/>
      <c r="AN2416" s="121"/>
    </row>
    <row r="2417" spans="29:40">
      <c r="AC2417" s="119"/>
      <c r="AD2417" s="119"/>
      <c r="AE2417" s="120"/>
      <c r="AF2417" s="119"/>
      <c r="AG2417" s="119"/>
      <c r="AH2417" s="120"/>
      <c r="AI2417" s="121"/>
      <c r="AJ2417" s="121"/>
      <c r="AK2417" s="121"/>
      <c r="AL2417" s="121"/>
      <c r="AM2417" s="122"/>
      <c r="AN2417" s="121"/>
    </row>
    <row r="2418" spans="29:40">
      <c r="AC2418" s="119"/>
      <c r="AD2418" s="119"/>
      <c r="AE2418" s="120"/>
      <c r="AF2418" s="119"/>
      <c r="AG2418" s="119"/>
      <c r="AH2418" s="120"/>
      <c r="AI2418" s="121"/>
      <c r="AJ2418" s="121"/>
      <c r="AK2418" s="121"/>
      <c r="AL2418" s="121"/>
      <c r="AM2418" s="122"/>
      <c r="AN2418" s="121"/>
    </row>
    <row r="2419" spans="29:40">
      <c r="AC2419" s="119"/>
      <c r="AD2419" s="119"/>
      <c r="AE2419" s="120"/>
      <c r="AF2419" s="119"/>
      <c r="AG2419" s="119"/>
      <c r="AH2419" s="120"/>
      <c r="AI2419" s="121"/>
      <c r="AJ2419" s="121"/>
      <c r="AK2419" s="121"/>
      <c r="AL2419" s="121"/>
      <c r="AM2419" s="122"/>
      <c r="AN2419" s="121"/>
    </row>
    <row r="2420" spans="29:40">
      <c r="AC2420" s="119"/>
      <c r="AD2420" s="119"/>
      <c r="AE2420" s="120"/>
      <c r="AF2420" s="119"/>
      <c r="AG2420" s="119"/>
      <c r="AH2420" s="120"/>
      <c r="AI2420" s="121"/>
      <c r="AJ2420" s="121"/>
      <c r="AK2420" s="121"/>
      <c r="AL2420" s="121"/>
      <c r="AM2420" s="122"/>
      <c r="AN2420" s="121"/>
    </row>
    <row r="2421" spans="29:40">
      <c r="AC2421" s="119"/>
      <c r="AD2421" s="119"/>
      <c r="AE2421" s="120"/>
      <c r="AF2421" s="119"/>
      <c r="AG2421" s="119"/>
      <c r="AH2421" s="120"/>
      <c r="AI2421" s="121"/>
      <c r="AJ2421" s="121"/>
      <c r="AK2421" s="121"/>
      <c r="AL2421" s="121"/>
      <c r="AM2421" s="122"/>
      <c r="AN2421" s="121"/>
    </row>
    <row r="2422" spans="29:40">
      <c r="AC2422" s="119"/>
      <c r="AD2422" s="119"/>
      <c r="AE2422" s="120"/>
      <c r="AF2422" s="119"/>
      <c r="AG2422" s="119"/>
      <c r="AH2422" s="120"/>
      <c r="AI2422" s="121"/>
      <c r="AJ2422" s="121"/>
      <c r="AK2422" s="121"/>
      <c r="AL2422" s="121"/>
      <c r="AM2422" s="122"/>
      <c r="AN2422" s="121"/>
    </row>
    <row r="2423" spans="29:40">
      <c r="AC2423" s="119"/>
      <c r="AD2423" s="119"/>
      <c r="AE2423" s="120"/>
      <c r="AF2423" s="119"/>
      <c r="AG2423" s="119"/>
      <c r="AH2423" s="120"/>
      <c r="AI2423" s="121"/>
      <c r="AJ2423" s="121"/>
      <c r="AK2423" s="121"/>
      <c r="AL2423" s="121"/>
      <c r="AM2423" s="122"/>
      <c r="AN2423" s="121"/>
    </row>
    <row r="2424" spans="29:40">
      <c r="AC2424" s="119"/>
      <c r="AD2424" s="119"/>
      <c r="AE2424" s="120"/>
      <c r="AF2424" s="119"/>
      <c r="AG2424" s="119"/>
      <c r="AH2424" s="120"/>
      <c r="AI2424" s="121"/>
      <c r="AJ2424" s="121"/>
      <c r="AK2424" s="121"/>
      <c r="AL2424" s="121"/>
      <c r="AM2424" s="122"/>
      <c r="AN2424" s="121"/>
    </row>
    <row r="2425" spans="29:40">
      <c r="AC2425" s="119"/>
      <c r="AD2425" s="119"/>
      <c r="AE2425" s="120"/>
      <c r="AF2425" s="119"/>
      <c r="AG2425" s="119"/>
      <c r="AH2425" s="120"/>
      <c r="AI2425" s="121"/>
      <c r="AJ2425" s="121"/>
      <c r="AK2425" s="121"/>
      <c r="AL2425" s="121"/>
      <c r="AM2425" s="122"/>
      <c r="AN2425" s="121"/>
    </row>
    <row r="2426" spans="29:40">
      <c r="AC2426" s="119"/>
      <c r="AD2426" s="119"/>
      <c r="AE2426" s="120"/>
      <c r="AF2426" s="119"/>
      <c r="AG2426" s="119"/>
      <c r="AH2426" s="120"/>
      <c r="AI2426" s="121"/>
      <c r="AJ2426" s="121"/>
      <c r="AK2426" s="121"/>
      <c r="AL2426" s="121"/>
      <c r="AM2426" s="122"/>
      <c r="AN2426" s="121"/>
    </row>
    <row r="2427" spans="29:40">
      <c r="AC2427" s="119"/>
      <c r="AD2427" s="119"/>
      <c r="AE2427" s="120"/>
      <c r="AF2427" s="119"/>
      <c r="AG2427" s="119"/>
      <c r="AH2427" s="120"/>
      <c r="AI2427" s="121"/>
      <c r="AJ2427" s="121"/>
      <c r="AK2427" s="121"/>
      <c r="AL2427" s="121"/>
      <c r="AM2427" s="122"/>
      <c r="AN2427" s="121"/>
    </row>
    <row r="2428" spans="29:40">
      <c r="AC2428" s="119"/>
      <c r="AD2428" s="119"/>
      <c r="AE2428" s="120"/>
      <c r="AF2428" s="119"/>
      <c r="AG2428" s="119"/>
      <c r="AH2428" s="120"/>
      <c r="AI2428" s="121"/>
      <c r="AJ2428" s="121"/>
      <c r="AK2428" s="121"/>
      <c r="AL2428" s="121"/>
      <c r="AM2428" s="122"/>
      <c r="AN2428" s="121"/>
    </row>
    <row r="2429" spans="29:40">
      <c r="AC2429" s="119"/>
      <c r="AD2429" s="119"/>
      <c r="AE2429" s="120"/>
      <c r="AF2429" s="119"/>
      <c r="AG2429" s="119"/>
      <c r="AH2429" s="120"/>
      <c r="AI2429" s="121"/>
      <c r="AJ2429" s="121"/>
      <c r="AK2429" s="121"/>
      <c r="AL2429" s="121"/>
      <c r="AM2429" s="122"/>
      <c r="AN2429" s="121"/>
    </row>
    <row r="2430" spans="29:40">
      <c r="AC2430" s="119"/>
      <c r="AD2430" s="119"/>
      <c r="AE2430" s="120"/>
      <c r="AF2430" s="119"/>
      <c r="AG2430" s="119"/>
      <c r="AH2430" s="120"/>
      <c r="AI2430" s="121"/>
      <c r="AJ2430" s="121"/>
      <c r="AK2430" s="121"/>
      <c r="AL2430" s="121"/>
      <c r="AM2430" s="122"/>
      <c r="AN2430" s="121"/>
    </row>
    <row r="2431" spans="29:40">
      <c r="AC2431" s="119"/>
      <c r="AD2431" s="119"/>
      <c r="AE2431" s="120"/>
      <c r="AF2431" s="119"/>
      <c r="AG2431" s="119"/>
      <c r="AH2431" s="120"/>
      <c r="AI2431" s="121"/>
      <c r="AJ2431" s="121"/>
      <c r="AK2431" s="121"/>
      <c r="AL2431" s="121"/>
      <c r="AM2431" s="122"/>
      <c r="AN2431" s="121"/>
    </row>
    <row r="2432" spans="29:40">
      <c r="AC2432" s="119"/>
      <c r="AD2432" s="119"/>
      <c r="AE2432" s="120"/>
      <c r="AF2432" s="119"/>
      <c r="AG2432" s="119"/>
      <c r="AH2432" s="120"/>
      <c r="AI2432" s="121"/>
      <c r="AJ2432" s="121"/>
      <c r="AK2432" s="121"/>
      <c r="AL2432" s="121"/>
      <c r="AM2432" s="122"/>
      <c r="AN2432" s="121"/>
    </row>
    <row r="2433" spans="29:40">
      <c r="AC2433" s="119"/>
      <c r="AD2433" s="119"/>
      <c r="AE2433" s="120"/>
      <c r="AF2433" s="119"/>
      <c r="AG2433" s="119"/>
      <c r="AH2433" s="120"/>
      <c r="AI2433" s="121"/>
      <c r="AJ2433" s="121"/>
      <c r="AK2433" s="121"/>
      <c r="AL2433" s="121"/>
      <c r="AM2433" s="122"/>
      <c r="AN2433" s="121"/>
    </row>
    <row r="2434" spans="29:40">
      <c r="AC2434" s="119"/>
      <c r="AD2434" s="119"/>
      <c r="AE2434" s="120"/>
      <c r="AF2434" s="119"/>
      <c r="AG2434" s="119"/>
      <c r="AH2434" s="120"/>
      <c r="AI2434" s="121"/>
      <c r="AJ2434" s="121"/>
      <c r="AK2434" s="121"/>
      <c r="AL2434" s="121"/>
      <c r="AM2434" s="122"/>
      <c r="AN2434" s="121"/>
    </row>
    <row r="2435" spans="29:40">
      <c r="AC2435" s="119"/>
      <c r="AD2435" s="119"/>
      <c r="AE2435" s="120"/>
      <c r="AF2435" s="119"/>
      <c r="AG2435" s="119"/>
      <c r="AH2435" s="120"/>
      <c r="AI2435" s="121"/>
      <c r="AJ2435" s="121"/>
      <c r="AK2435" s="121"/>
      <c r="AL2435" s="121"/>
      <c r="AM2435" s="122"/>
      <c r="AN2435" s="121"/>
    </row>
    <row r="2436" spans="29:40">
      <c r="AC2436" s="119"/>
      <c r="AD2436" s="119"/>
      <c r="AE2436" s="120"/>
      <c r="AF2436" s="119"/>
      <c r="AG2436" s="119"/>
      <c r="AH2436" s="120"/>
      <c r="AI2436" s="121"/>
      <c r="AJ2436" s="121"/>
      <c r="AK2436" s="121"/>
      <c r="AL2436" s="121"/>
      <c r="AM2436" s="122"/>
      <c r="AN2436" s="121"/>
    </row>
    <row r="2437" spans="29:40">
      <c r="AC2437" s="119"/>
      <c r="AD2437" s="119"/>
      <c r="AE2437" s="120"/>
      <c r="AF2437" s="119"/>
      <c r="AG2437" s="119"/>
      <c r="AH2437" s="120"/>
      <c r="AI2437" s="121"/>
      <c r="AJ2437" s="121"/>
      <c r="AK2437" s="121"/>
      <c r="AL2437" s="121"/>
      <c r="AM2437" s="122"/>
      <c r="AN2437" s="121"/>
    </row>
    <row r="2438" spans="29:40">
      <c r="AC2438" s="119"/>
      <c r="AD2438" s="119"/>
      <c r="AE2438" s="120"/>
      <c r="AF2438" s="119"/>
      <c r="AG2438" s="119"/>
      <c r="AH2438" s="120"/>
      <c r="AI2438" s="121"/>
      <c r="AJ2438" s="121"/>
      <c r="AK2438" s="121"/>
      <c r="AL2438" s="121"/>
      <c r="AM2438" s="122"/>
      <c r="AN2438" s="121"/>
    </row>
    <row r="2439" spans="29:40">
      <c r="AC2439" s="119"/>
      <c r="AD2439" s="119"/>
      <c r="AE2439" s="120"/>
      <c r="AF2439" s="119"/>
      <c r="AG2439" s="119"/>
      <c r="AH2439" s="120"/>
      <c r="AI2439" s="121"/>
      <c r="AJ2439" s="121"/>
      <c r="AK2439" s="121"/>
      <c r="AL2439" s="121"/>
      <c r="AM2439" s="122"/>
      <c r="AN2439" s="121"/>
    </row>
    <row r="2440" spans="29:40">
      <c r="AC2440" s="119"/>
      <c r="AD2440" s="119"/>
      <c r="AE2440" s="120"/>
      <c r="AF2440" s="119"/>
      <c r="AG2440" s="119"/>
      <c r="AH2440" s="120"/>
      <c r="AI2440" s="121"/>
      <c r="AJ2440" s="121"/>
      <c r="AK2440" s="121"/>
      <c r="AL2440" s="121"/>
      <c r="AM2440" s="122"/>
      <c r="AN2440" s="121"/>
    </row>
    <row r="2441" spans="29:40">
      <c r="AC2441" s="119"/>
      <c r="AD2441" s="119"/>
      <c r="AE2441" s="120"/>
      <c r="AF2441" s="119"/>
      <c r="AG2441" s="119"/>
      <c r="AH2441" s="120"/>
      <c r="AI2441" s="121"/>
      <c r="AJ2441" s="121"/>
      <c r="AK2441" s="121"/>
      <c r="AL2441" s="121"/>
      <c r="AM2441" s="122"/>
      <c r="AN2441" s="121"/>
    </row>
    <row r="2442" spans="29:40">
      <c r="AC2442" s="119"/>
      <c r="AD2442" s="119"/>
      <c r="AE2442" s="120"/>
      <c r="AF2442" s="119"/>
      <c r="AG2442" s="119"/>
      <c r="AH2442" s="120"/>
      <c r="AI2442" s="121"/>
      <c r="AJ2442" s="121"/>
      <c r="AK2442" s="121"/>
      <c r="AL2442" s="121"/>
      <c r="AM2442" s="122"/>
      <c r="AN2442" s="121"/>
    </row>
    <row r="2443" spans="29:40">
      <c r="AC2443" s="119"/>
      <c r="AD2443" s="119"/>
      <c r="AE2443" s="120"/>
      <c r="AF2443" s="119"/>
      <c r="AG2443" s="119"/>
      <c r="AH2443" s="120"/>
      <c r="AI2443" s="121"/>
      <c r="AJ2443" s="121"/>
      <c r="AK2443" s="121"/>
      <c r="AL2443" s="121"/>
      <c r="AM2443" s="122"/>
      <c r="AN2443" s="121"/>
    </row>
    <row r="2444" spans="29:40">
      <c r="AC2444" s="119"/>
      <c r="AD2444" s="119"/>
      <c r="AE2444" s="120"/>
      <c r="AF2444" s="119"/>
      <c r="AG2444" s="119"/>
      <c r="AH2444" s="120"/>
      <c r="AI2444" s="121"/>
      <c r="AJ2444" s="121"/>
      <c r="AK2444" s="121"/>
      <c r="AL2444" s="121"/>
      <c r="AM2444" s="122"/>
      <c r="AN2444" s="121"/>
    </row>
    <row r="2445" spans="29:40">
      <c r="AC2445" s="119"/>
      <c r="AD2445" s="119"/>
      <c r="AE2445" s="120"/>
      <c r="AF2445" s="119"/>
      <c r="AG2445" s="119"/>
      <c r="AH2445" s="120"/>
      <c r="AI2445" s="121"/>
      <c r="AJ2445" s="121"/>
      <c r="AK2445" s="121"/>
      <c r="AL2445" s="121"/>
      <c r="AM2445" s="122"/>
      <c r="AN2445" s="121"/>
    </row>
    <row r="2446" spans="29:40">
      <c r="AC2446" s="119"/>
      <c r="AD2446" s="119"/>
      <c r="AE2446" s="120"/>
      <c r="AF2446" s="119"/>
      <c r="AG2446" s="119"/>
      <c r="AH2446" s="120"/>
      <c r="AI2446" s="121"/>
      <c r="AJ2446" s="121"/>
      <c r="AK2446" s="121"/>
      <c r="AL2446" s="121"/>
      <c r="AM2446" s="122"/>
      <c r="AN2446" s="121"/>
    </row>
    <row r="2447" spans="29:40">
      <c r="AC2447" s="119"/>
      <c r="AD2447" s="119"/>
      <c r="AE2447" s="120"/>
      <c r="AF2447" s="119"/>
      <c r="AG2447" s="119"/>
      <c r="AH2447" s="120"/>
      <c r="AI2447" s="121"/>
      <c r="AJ2447" s="121"/>
      <c r="AK2447" s="121"/>
      <c r="AL2447" s="121"/>
      <c r="AM2447" s="122"/>
      <c r="AN2447" s="121"/>
    </row>
    <row r="2448" spans="29:40">
      <c r="AC2448" s="119"/>
      <c r="AD2448" s="119"/>
      <c r="AE2448" s="120"/>
      <c r="AF2448" s="119"/>
      <c r="AG2448" s="119"/>
      <c r="AH2448" s="120"/>
      <c r="AI2448" s="121"/>
      <c r="AJ2448" s="121"/>
      <c r="AK2448" s="121"/>
      <c r="AL2448" s="121"/>
      <c r="AM2448" s="122"/>
      <c r="AN2448" s="121"/>
    </row>
    <row r="2449" spans="29:40">
      <c r="AC2449" s="119"/>
      <c r="AD2449" s="119"/>
      <c r="AE2449" s="120"/>
      <c r="AF2449" s="119"/>
      <c r="AG2449" s="119"/>
      <c r="AH2449" s="120"/>
      <c r="AI2449" s="121"/>
      <c r="AJ2449" s="121"/>
      <c r="AK2449" s="121"/>
      <c r="AL2449" s="121"/>
      <c r="AM2449" s="122"/>
      <c r="AN2449" s="121"/>
    </row>
    <row r="2450" spans="29:40">
      <c r="AC2450" s="119"/>
      <c r="AD2450" s="119"/>
      <c r="AE2450" s="120"/>
      <c r="AF2450" s="119"/>
      <c r="AG2450" s="119"/>
      <c r="AH2450" s="120"/>
      <c r="AI2450" s="121"/>
      <c r="AJ2450" s="121"/>
      <c r="AK2450" s="121"/>
      <c r="AL2450" s="121"/>
      <c r="AM2450" s="122"/>
      <c r="AN2450" s="121"/>
    </row>
    <row r="2451" spans="29:40">
      <c r="AC2451" s="119"/>
      <c r="AD2451" s="119"/>
      <c r="AE2451" s="120"/>
      <c r="AF2451" s="119"/>
      <c r="AG2451" s="119"/>
      <c r="AH2451" s="120"/>
      <c r="AI2451" s="121"/>
      <c r="AJ2451" s="121"/>
      <c r="AK2451" s="121"/>
      <c r="AL2451" s="121"/>
      <c r="AM2451" s="122"/>
      <c r="AN2451" s="121"/>
    </row>
    <row r="2452" spans="29:40">
      <c r="AC2452" s="119"/>
      <c r="AD2452" s="119"/>
      <c r="AE2452" s="120"/>
      <c r="AF2452" s="119"/>
      <c r="AG2452" s="119"/>
      <c r="AH2452" s="120"/>
      <c r="AI2452" s="121"/>
      <c r="AJ2452" s="121"/>
      <c r="AK2452" s="121"/>
      <c r="AL2452" s="121"/>
      <c r="AM2452" s="122"/>
      <c r="AN2452" s="121"/>
    </row>
    <row r="2453" spans="29:40">
      <c r="AC2453" s="119"/>
      <c r="AD2453" s="119"/>
      <c r="AE2453" s="120"/>
      <c r="AF2453" s="119"/>
      <c r="AG2453" s="119"/>
      <c r="AH2453" s="120"/>
      <c r="AI2453" s="121"/>
      <c r="AJ2453" s="121"/>
      <c r="AK2453" s="121"/>
      <c r="AL2453" s="121"/>
      <c r="AM2453" s="122"/>
      <c r="AN2453" s="121"/>
    </row>
    <row r="2454" spans="29:40">
      <c r="AC2454" s="119"/>
      <c r="AD2454" s="119"/>
      <c r="AE2454" s="120"/>
      <c r="AF2454" s="119"/>
      <c r="AG2454" s="119"/>
      <c r="AH2454" s="120"/>
      <c r="AI2454" s="121"/>
      <c r="AJ2454" s="121"/>
      <c r="AK2454" s="121"/>
      <c r="AL2454" s="121"/>
      <c r="AM2454" s="122"/>
      <c r="AN2454" s="121"/>
    </row>
    <row r="2455" spans="29:40">
      <c r="AC2455" s="119"/>
      <c r="AD2455" s="119"/>
      <c r="AE2455" s="120"/>
      <c r="AF2455" s="119"/>
      <c r="AG2455" s="119"/>
      <c r="AH2455" s="120"/>
      <c r="AI2455" s="121"/>
      <c r="AJ2455" s="121"/>
      <c r="AK2455" s="121"/>
      <c r="AL2455" s="121"/>
      <c r="AM2455" s="122"/>
      <c r="AN2455" s="121"/>
    </row>
    <row r="2456" spans="29:40">
      <c r="AC2456" s="119"/>
      <c r="AD2456" s="119"/>
      <c r="AE2456" s="120"/>
      <c r="AF2456" s="119"/>
      <c r="AG2456" s="119"/>
      <c r="AH2456" s="120"/>
      <c r="AI2456" s="121"/>
      <c r="AJ2456" s="121"/>
      <c r="AK2456" s="121"/>
      <c r="AL2456" s="121"/>
      <c r="AM2456" s="122"/>
      <c r="AN2456" s="121"/>
    </row>
    <row r="2457" spans="29:40">
      <c r="AC2457" s="119"/>
      <c r="AD2457" s="119"/>
      <c r="AE2457" s="120"/>
      <c r="AF2457" s="119"/>
      <c r="AG2457" s="119"/>
      <c r="AH2457" s="120"/>
      <c r="AI2457" s="121"/>
      <c r="AJ2457" s="121"/>
      <c r="AK2457" s="121"/>
      <c r="AL2457" s="121"/>
      <c r="AM2457" s="122"/>
      <c r="AN2457" s="121"/>
    </row>
    <row r="2458" spans="29:40">
      <c r="AC2458" s="119"/>
      <c r="AD2458" s="119"/>
      <c r="AE2458" s="120"/>
      <c r="AF2458" s="119"/>
      <c r="AG2458" s="119"/>
      <c r="AH2458" s="120"/>
      <c r="AI2458" s="121"/>
      <c r="AJ2458" s="121"/>
      <c r="AK2458" s="121"/>
      <c r="AL2458" s="121"/>
      <c r="AM2458" s="122"/>
      <c r="AN2458" s="121"/>
    </row>
    <row r="2459" spans="29:40">
      <c r="AC2459" s="119"/>
      <c r="AD2459" s="119"/>
      <c r="AE2459" s="120"/>
      <c r="AF2459" s="119"/>
      <c r="AG2459" s="119"/>
      <c r="AH2459" s="120"/>
      <c r="AI2459" s="121"/>
      <c r="AJ2459" s="121"/>
      <c r="AK2459" s="121"/>
      <c r="AL2459" s="121"/>
      <c r="AM2459" s="122"/>
      <c r="AN2459" s="121"/>
    </row>
    <row r="2460" spans="29:40">
      <c r="AC2460" s="119"/>
      <c r="AD2460" s="119"/>
      <c r="AE2460" s="120"/>
      <c r="AF2460" s="119"/>
      <c r="AG2460" s="119"/>
      <c r="AH2460" s="120"/>
      <c r="AI2460" s="121"/>
      <c r="AJ2460" s="121"/>
      <c r="AK2460" s="121"/>
      <c r="AL2460" s="121"/>
      <c r="AM2460" s="122"/>
      <c r="AN2460" s="121"/>
    </row>
    <row r="2461" spans="29:40">
      <c r="AC2461" s="119"/>
      <c r="AD2461" s="119"/>
      <c r="AE2461" s="120"/>
      <c r="AF2461" s="119"/>
      <c r="AG2461" s="119"/>
      <c r="AH2461" s="120"/>
      <c r="AI2461" s="121"/>
      <c r="AJ2461" s="121"/>
      <c r="AK2461" s="121"/>
      <c r="AL2461" s="121"/>
      <c r="AM2461" s="122"/>
      <c r="AN2461" s="121"/>
    </row>
    <row r="2462" spans="29:40">
      <c r="AC2462" s="119"/>
      <c r="AD2462" s="119"/>
      <c r="AE2462" s="120"/>
      <c r="AF2462" s="119"/>
      <c r="AG2462" s="119"/>
      <c r="AH2462" s="120"/>
      <c r="AI2462" s="121"/>
      <c r="AJ2462" s="121"/>
      <c r="AK2462" s="121"/>
      <c r="AL2462" s="121"/>
      <c r="AM2462" s="122"/>
      <c r="AN2462" s="121"/>
    </row>
    <row r="2463" spans="29:40">
      <c r="AC2463" s="119"/>
      <c r="AD2463" s="119"/>
      <c r="AE2463" s="120"/>
      <c r="AF2463" s="119"/>
      <c r="AG2463" s="119"/>
      <c r="AH2463" s="120"/>
      <c r="AI2463" s="121"/>
      <c r="AJ2463" s="121"/>
      <c r="AK2463" s="121"/>
      <c r="AL2463" s="121"/>
      <c r="AM2463" s="122"/>
      <c r="AN2463" s="121"/>
    </row>
    <row r="2464" spans="29:40">
      <c r="AC2464" s="119"/>
      <c r="AD2464" s="119"/>
      <c r="AE2464" s="120"/>
      <c r="AF2464" s="119"/>
      <c r="AG2464" s="119"/>
      <c r="AH2464" s="120"/>
      <c r="AI2464" s="121"/>
      <c r="AJ2464" s="121"/>
      <c r="AK2464" s="121"/>
      <c r="AL2464" s="121"/>
      <c r="AM2464" s="122"/>
      <c r="AN2464" s="121"/>
    </row>
    <row r="2465" spans="29:40">
      <c r="AC2465" s="119"/>
      <c r="AD2465" s="119"/>
      <c r="AE2465" s="120"/>
      <c r="AF2465" s="119"/>
      <c r="AG2465" s="119"/>
      <c r="AH2465" s="120"/>
      <c r="AI2465" s="121"/>
      <c r="AJ2465" s="121"/>
      <c r="AK2465" s="121"/>
      <c r="AL2465" s="121"/>
      <c r="AM2465" s="122"/>
      <c r="AN2465" s="121"/>
    </row>
    <row r="2466" spans="29:40">
      <c r="AC2466" s="119"/>
      <c r="AD2466" s="119"/>
      <c r="AE2466" s="120"/>
      <c r="AF2466" s="119"/>
      <c r="AG2466" s="119"/>
      <c r="AH2466" s="120"/>
      <c r="AI2466" s="121"/>
      <c r="AJ2466" s="121"/>
      <c r="AK2466" s="121"/>
      <c r="AL2466" s="121"/>
      <c r="AM2466" s="122"/>
      <c r="AN2466" s="121"/>
    </row>
    <row r="2467" spans="29:40">
      <c r="AC2467" s="119"/>
      <c r="AD2467" s="119"/>
      <c r="AE2467" s="120"/>
      <c r="AF2467" s="119"/>
      <c r="AG2467" s="119"/>
      <c r="AH2467" s="120"/>
      <c r="AI2467" s="121"/>
      <c r="AJ2467" s="121"/>
      <c r="AK2467" s="121"/>
      <c r="AL2467" s="121"/>
      <c r="AM2467" s="122"/>
      <c r="AN2467" s="121"/>
    </row>
    <row r="2468" spans="29:40">
      <c r="AC2468" s="119"/>
      <c r="AD2468" s="119"/>
      <c r="AE2468" s="120"/>
      <c r="AF2468" s="119"/>
      <c r="AG2468" s="119"/>
      <c r="AH2468" s="120"/>
      <c r="AI2468" s="121"/>
      <c r="AJ2468" s="121"/>
      <c r="AK2468" s="121"/>
      <c r="AL2468" s="121"/>
      <c r="AM2468" s="122"/>
      <c r="AN2468" s="121"/>
    </row>
    <row r="2469" spans="29:40">
      <c r="AC2469" s="119"/>
      <c r="AD2469" s="119"/>
      <c r="AE2469" s="120"/>
      <c r="AF2469" s="119"/>
      <c r="AG2469" s="119"/>
      <c r="AH2469" s="120"/>
      <c r="AI2469" s="121"/>
      <c r="AJ2469" s="121"/>
      <c r="AK2469" s="121"/>
      <c r="AL2469" s="121"/>
      <c r="AM2469" s="122"/>
      <c r="AN2469" s="121"/>
    </row>
    <row r="2470" spans="29:40">
      <c r="AC2470" s="119"/>
      <c r="AD2470" s="119"/>
      <c r="AE2470" s="120"/>
      <c r="AF2470" s="119"/>
      <c r="AG2470" s="119"/>
      <c r="AH2470" s="120"/>
      <c r="AI2470" s="121"/>
      <c r="AJ2470" s="121"/>
      <c r="AK2470" s="121"/>
      <c r="AL2470" s="121"/>
      <c r="AM2470" s="122"/>
      <c r="AN2470" s="121"/>
    </row>
    <row r="2471" spans="29:40">
      <c r="AC2471" s="119"/>
      <c r="AD2471" s="119"/>
      <c r="AE2471" s="120"/>
      <c r="AF2471" s="119"/>
      <c r="AG2471" s="119"/>
      <c r="AH2471" s="120"/>
      <c r="AI2471" s="121"/>
      <c r="AJ2471" s="121"/>
      <c r="AK2471" s="121"/>
      <c r="AL2471" s="121"/>
      <c r="AM2471" s="122"/>
      <c r="AN2471" s="121"/>
    </row>
    <row r="2472" spans="29:40">
      <c r="AC2472" s="119"/>
      <c r="AD2472" s="119"/>
      <c r="AE2472" s="120"/>
      <c r="AF2472" s="119"/>
      <c r="AG2472" s="119"/>
      <c r="AH2472" s="120"/>
      <c r="AI2472" s="121"/>
      <c r="AJ2472" s="121"/>
      <c r="AK2472" s="121"/>
      <c r="AL2472" s="121"/>
      <c r="AM2472" s="122"/>
      <c r="AN2472" s="121"/>
    </row>
    <row r="2473" spans="29:40">
      <c r="AC2473" s="119"/>
      <c r="AD2473" s="119"/>
      <c r="AE2473" s="120"/>
      <c r="AF2473" s="119"/>
      <c r="AG2473" s="119"/>
      <c r="AH2473" s="120"/>
      <c r="AI2473" s="121"/>
      <c r="AJ2473" s="121"/>
      <c r="AK2473" s="121"/>
      <c r="AL2473" s="121"/>
      <c r="AM2473" s="122"/>
      <c r="AN2473" s="121"/>
    </row>
    <row r="2474" spans="29:40">
      <c r="AC2474" s="119"/>
      <c r="AD2474" s="119"/>
      <c r="AE2474" s="120"/>
      <c r="AF2474" s="119"/>
      <c r="AG2474" s="119"/>
      <c r="AH2474" s="120"/>
      <c r="AI2474" s="121"/>
      <c r="AJ2474" s="121"/>
      <c r="AK2474" s="121"/>
      <c r="AL2474" s="121"/>
      <c r="AM2474" s="122"/>
      <c r="AN2474" s="121"/>
    </row>
    <row r="2475" spans="29:40">
      <c r="AC2475" s="119"/>
      <c r="AD2475" s="119"/>
      <c r="AE2475" s="120"/>
      <c r="AF2475" s="119"/>
      <c r="AG2475" s="119"/>
      <c r="AH2475" s="120"/>
      <c r="AI2475" s="121"/>
      <c r="AJ2475" s="121"/>
      <c r="AK2475" s="121"/>
      <c r="AL2475" s="121"/>
      <c r="AM2475" s="122"/>
      <c r="AN2475" s="121"/>
    </row>
    <row r="2476" spans="29:40">
      <c r="AC2476" s="119"/>
      <c r="AD2476" s="119"/>
      <c r="AE2476" s="120"/>
      <c r="AF2476" s="119"/>
      <c r="AG2476" s="119"/>
      <c r="AH2476" s="120"/>
      <c r="AI2476" s="121"/>
      <c r="AJ2476" s="121"/>
      <c r="AK2476" s="121"/>
      <c r="AL2476" s="121"/>
      <c r="AM2476" s="122"/>
      <c r="AN2476" s="121"/>
    </row>
    <row r="2477" spans="29:40">
      <c r="AC2477" s="119"/>
      <c r="AD2477" s="119"/>
      <c r="AE2477" s="120"/>
      <c r="AF2477" s="119"/>
      <c r="AG2477" s="119"/>
      <c r="AH2477" s="120"/>
      <c r="AI2477" s="121"/>
      <c r="AJ2477" s="121"/>
      <c r="AK2477" s="121"/>
      <c r="AL2477" s="121"/>
      <c r="AM2477" s="122"/>
      <c r="AN2477" s="121"/>
    </row>
    <row r="2478" spans="29:40">
      <c r="AC2478" s="119"/>
      <c r="AD2478" s="119"/>
      <c r="AE2478" s="120"/>
      <c r="AF2478" s="119"/>
      <c r="AG2478" s="119"/>
      <c r="AH2478" s="120"/>
      <c r="AI2478" s="121"/>
      <c r="AJ2478" s="121"/>
      <c r="AK2478" s="121"/>
      <c r="AL2478" s="121"/>
      <c r="AM2478" s="122"/>
      <c r="AN2478" s="121"/>
    </row>
    <row r="2479" spans="29:40">
      <c r="AC2479" s="119"/>
      <c r="AD2479" s="119"/>
      <c r="AE2479" s="120"/>
      <c r="AF2479" s="119"/>
      <c r="AG2479" s="119"/>
      <c r="AH2479" s="120"/>
      <c r="AI2479" s="121"/>
      <c r="AJ2479" s="121"/>
      <c r="AK2479" s="121"/>
      <c r="AL2479" s="121"/>
      <c r="AM2479" s="122"/>
      <c r="AN2479" s="121"/>
    </row>
    <row r="2480" spans="29:40">
      <c r="AC2480" s="119"/>
      <c r="AD2480" s="119"/>
      <c r="AE2480" s="120"/>
      <c r="AF2480" s="119"/>
      <c r="AG2480" s="119"/>
      <c r="AH2480" s="120"/>
      <c r="AI2480" s="121"/>
      <c r="AJ2480" s="121"/>
      <c r="AK2480" s="121"/>
      <c r="AL2480" s="121"/>
      <c r="AM2480" s="122"/>
      <c r="AN2480" s="121"/>
    </row>
    <row r="2481" spans="29:40">
      <c r="AC2481" s="119"/>
      <c r="AD2481" s="119"/>
      <c r="AE2481" s="120"/>
      <c r="AF2481" s="119"/>
      <c r="AG2481" s="119"/>
      <c r="AH2481" s="120"/>
      <c r="AI2481" s="121"/>
      <c r="AJ2481" s="121"/>
      <c r="AK2481" s="121"/>
      <c r="AL2481" s="121"/>
      <c r="AM2481" s="122"/>
      <c r="AN2481" s="121"/>
    </row>
    <row r="2482" spans="29:40">
      <c r="AC2482" s="119"/>
      <c r="AD2482" s="119"/>
      <c r="AE2482" s="120"/>
      <c r="AF2482" s="119"/>
      <c r="AG2482" s="119"/>
      <c r="AH2482" s="120"/>
      <c r="AI2482" s="121"/>
      <c r="AJ2482" s="121"/>
      <c r="AK2482" s="121"/>
      <c r="AL2482" s="121"/>
      <c r="AM2482" s="122"/>
      <c r="AN2482" s="121"/>
    </row>
    <row r="2483" spans="29:40">
      <c r="AC2483" s="119"/>
      <c r="AD2483" s="119"/>
      <c r="AE2483" s="120"/>
      <c r="AF2483" s="119"/>
      <c r="AG2483" s="119"/>
      <c r="AH2483" s="120"/>
      <c r="AI2483" s="121"/>
      <c r="AJ2483" s="121"/>
      <c r="AK2483" s="121"/>
      <c r="AL2483" s="121"/>
      <c r="AM2483" s="122"/>
      <c r="AN2483" s="121"/>
    </row>
    <row r="2484" spans="29:40">
      <c r="AC2484" s="119"/>
      <c r="AD2484" s="119"/>
      <c r="AE2484" s="120"/>
      <c r="AF2484" s="119"/>
      <c r="AG2484" s="119"/>
      <c r="AH2484" s="120"/>
      <c r="AI2484" s="121"/>
      <c r="AJ2484" s="121"/>
      <c r="AK2484" s="121"/>
      <c r="AL2484" s="121"/>
      <c r="AM2484" s="122"/>
      <c r="AN2484" s="121"/>
    </row>
    <row r="2485" spans="29:40">
      <c r="AC2485" s="119"/>
      <c r="AD2485" s="119"/>
      <c r="AE2485" s="120"/>
      <c r="AF2485" s="119"/>
      <c r="AG2485" s="119"/>
      <c r="AH2485" s="120"/>
      <c r="AI2485" s="121"/>
      <c r="AJ2485" s="121"/>
      <c r="AK2485" s="121"/>
      <c r="AL2485" s="121"/>
      <c r="AM2485" s="122"/>
      <c r="AN2485" s="121"/>
    </row>
    <row r="2486" spans="29:40">
      <c r="AC2486" s="119"/>
      <c r="AD2486" s="119"/>
      <c r="AE2486" s="120"/>
      <c r="AF2486" s="119"/>
      <c r="AG2486" s="119"/>
      <c r="AH2486" s="120"/>
      <c r="AI2486" s="121"/>
      <c r="AJ2486" s="121"/>
      <c r="AK2486" s="121"/>
      <c r="AL2486" s="121"/>
      <c r="AM2486" s="122"/>
      <c r="AN2486" s="121"/>
    </row>
    <row r="2487" spans="29:40">
      <c r="AC2487" s="119"/>
      <c r="AD2487" s="119"/>
      <c r="AE2487" s="120"/>
      <c r="AF2487" s="119"/>
      <c r="AG2487" s="119"/>
      <c r="AH2487" s="120"/>
      <c r="AI2487" s="121"/>
      <c r="AJ2487" s="121"/>
      <c r="AK2487" s="121"/>
      <c r="AL2487" s="121"/>
      <c r="AM2487" s="122"/>
      <c r="AN2487" s="121"/>
    </row>
    <row r="2488" spans="29:40">
      <c r="AC2488" s="119"/>
      <c r="AD2488" s="119"/>
      <c r="AE2488" s="120"/>
      <c r="AF2488" s="119"/>
      <c r="AG2488" s="119"/>
      <c r="AH2488" s="120"/>
      <c r="AI2488" s="121"/>
      <c r="AJ2488" s="121"/>
      <c r="AK2488" s="121"/>
      <c r="AL2488" s="121"/>
      <c r="AM2488" s="122"/>
      <c r="AN2488" s="121"/>
    </row>
    <row r="2489" spans="29:40">
      <c r="AC2489" s="119"/>
      <c r="AD2489" s="119"/>
      <c r="AE2489" s="120"/>
      <c r="AF2489" s="119"/>
      <c r="AG2489" s="119"/>
      <c r="AH2489" s="120"/>
      <c r="AI2489" s="121"/>
      <c r="AJ2489" s="121"/>
      <c r="AK2489" s="121"/>
      <c r="AL2489" s="121"/>
      <c r="AM2489" s="122"/>
      <c r="AN2489" s="121"/>
    </row>
    <row r="2490" spans="29:40">
      <c r="AC2490" s="119"/>
      <c r="AD2490" s="119"/>
      <c r="AE2490" s="120"/>
      <c r="AF2490" s="119"/>
      <c r="AG2490" s="119"/>
      <c r="AH2490" s="120"/>
      <c r="AI2490" s="121"/>
      <c r="AJ2490" s="121"/>
      <c r="AK2490" s="121"/>
      <c r="AL2490" s="121"/>
      <c r="AM2490" s="122"/>
      <c r="AN2490" s="121"/>
    </row>
    <row r="2491" spans="29:40">
      <c r="AC2491" s="119"/>
      <c r="AD2491" s="119"/>
      <c r="AE2491" s="120"/>
      <c r="AF2491" s="119"/>
      <c r="AG2491" s="119"/>
      <c r="AH2491" s="120"/>
      <c r="AI2491" s="121"/>
      <c r="AJ2491" s="121"/>
      <c r="AK2491" s="121"/>
      <c r="AL2491" s="121"/>
      <c r="AM2491" s="122"/>
      <c r="AN2491" s="121"/>
    </row>
    <row r="2492" spans="29:40">
      <c r="AC2492" s="119"/>
      <c r="AD2492" s="119"/>
      <c r="AE2492" s="120"/>
      <c r="AF2492" s="119"/>
      <c r="AG2492" s="119"/>
      <c r="AH2492" s="120"/>
      <c r="AI2492" s="121"/>
      <c r="AJ2492" s="121"/>
      <c r="AK2492" s="121"/>
      <c r="AL2492" s="121"/>
      <c r="AM2492" s="122"/>
      <c r="AN2492" s="121"/>
    </row>
    <row r="2493" spans="29:40">
      <c r="AC2493" s="119"/>
      <c r="AD2493" s="119"/>
      <c r="AE2493" s="120"/>
      <c r="AF2493" s="119"/>
      <c r="AG2493" s="119"/>
      <c r="AH2493" s="120"/>
      <c r="AI2493" s="121"/>
      <c r="AJ2493" s="121"/>
      <c r="AK2493" s="121"/>
      <c r="AL2493" s="121"/>
      <c r="AM2493" s="122"/>
      <c r="AN2493" s="121"/>
    </row>
    <row r="2494" spans="29:40">
      <c r="AC2494" s="119"/>
      <c r="AD2494" s="119"/>
      <c r="AE2494" s="120"/>
      <c r="AF2494" s="119"/>
      <c r="AG2494" s="119"/>
      <c r="AH2494" s="120"/>
      <c r="AI2494" s="121"/>
      <c r="AJ2494" s="121"/>
      <c r="AK2494" s="121"/>
      <c r="AL2494" s="121"/>
      <c r="AM2494" s="122"/>
      <c r="AN2494" s="121"/>
    </row>
    <row r="2495" spans="29:40">
      <c r="AC2495" s="119"/>
      <c r="AD2495" s="119"/>
      <c r="AE2495" s="120"/>
      <c r="AF2495" s="119"/>
      <c r="AG2495" s="119"/>
      <c r="AH2495" s="120"/>
      <c r="AI2495" s="121"/>
      <c r="AJ2495" s="121"/>
      <c r="AK2495" s="121"/>
      <c r="AL2495" s="121"/>
      <c r="AM2495" s="122"/>
      <c r="AN2495" s="121"/>
    </row>
    <row r="2496" spans="29:40">
      <c r="AC2496" s="119"/>
      <c r="AD2496" s="119"/>
      <c r="AE2496" s="120"/>
      <c r="AF2496" s="119"/>
      <c r="AG2496" s="119"/>
      <c r="AH2496" s="120"/>
      <c r="AI2496" s="121"/>
      <c r="AJ2496" s="121"/>
      <c r="AK2496" s="121"/>
      <c r="AL2496" s="121"/>
      <c r="AM2496" s="122"/>
      <c r="AN2496" s="121"/>
    </row>
    <row r="2497" spans="29:40">
      <c r="AC2497" s="119"/>
      <c r="AD2497" s="119"/>
      <c r="AE2497" s="120"/>
      <c r="AF2497" s="119"/>
      <c r="AG2497" s="119"/>
      <c r="AH2497" s="120"/>
      <c r="AI2497" s="121"/>
      <c r="AJ2497" s="121"/>
      <c r="AK2497" s="121"/>
      <c r="AL2497" s="121"/>
      <c r="AM2497" s="122"/>
      <c r="AN2497" s="121"/>
    </row>
    <row r="2498" spans="29:40">
      <c r="AC2498" s="119"/>
      <c r="AD2498" s="119"/>
      <c r="AE2498" s="120"/>
      <c r="AF2498" s="119"/>
      <c r="AG2498" s="119"/>
      <c r="AH2498" s="120"/>
      <c r="AI2498" s="121"/>
      <c r="AJ2498" s="121"/>
      <c r="AK2498" s="121"/>
      <c r="AL2498" s="121"/>
      <c r="AM2498" s="122"/>
      <c r="AN2498" s="121"/>
    </row>
    <row r="2499" spans="29:40">
      <c r="AC2499" s="119"/>
      <c r="AD2499" s="119"/>
      <c r="AE2499" s="120"/>
      <c r="AF2499" s="119"/>
      <c r="AG2499" s="119"/>
      <c r="AH2499" s="120"/>
      <c r="AI2499" s="121"/>
      <c r="AJ2499" s="121"/>
      <c r="AK2499" s="121"/>
      <c r="AL2499" s="121"/>
      <c r="AM2499" s="122"/>
      <c r="AN2499" s="121"/>
    </row>
    <row r="2500" spans="29:40">
      <c r="AC2500" s="119"/>
      <c r="AD2500" s="119"/>
      <c r="AE2500" s="120"/>
      <c r="AF2500" s="119"/>
      <c r="AG2500" s="119"/>
      <c r="AH2500" s="120"/>
      <c r="AI2500" s="121"/>
      <c r="AJ2500" s="121"/>
      <c r="AK2500" s="121"/>
      <c r="AL2500" s="121"/>
      <c r="AM2500" s="122"/>
      <c r="AN2500" s="121"/>
    </row>
    <row r="2501" spans="29:40">
      <c r="AC2501" s="119"/>
      <c r="AD2501" s="119"/>
      <c r="AE2501" s="120"/>
      <c r="AF2501" s="119"/>
      <c r="AG2501" s="119"/>
      <c r="AH2501" s="120"/>
      <c r="AI2501" s="121"/>
      <c r="AJ2501" s="121"/>
      <c r="AK2501" s="121"/>
      <c r="AL2501" s="121"/>
      <c r="AM2501" s="122"/>
      <c r="AN2501" s="121"/>
    </row>
    <row r="2502" spans="29:40">
      <c r="AC2502" s="119"/>
      <c r="AD2502" s="119"/>
      <c r="AE2502" s="120"/>
      <c r="AF2502" s="119"/>
      <c r="AG2502" s="119"/>
      <c r="AH2502" s="120"/>
      <c r="AI2502" s="121"/>
      <c r="AJ2502" s="121"/>
      <c r="AK2502" s="121"/>
      <c r="AL2502" s="121"/>
      <c r="AM2502" s="122"/>
      <c r="AN2502" s="121"/>
    </row>
    <row r="2503" spans="29:40">
      <c r="AC2503" s="119"/>
      <c r="AD2503" s="119"/>
      <c r="AE2503" s="120"/>
      <c r="AF2503" s="119"/>
      <c r="AG2503" s="119"/>
      <c r="AH2503" s="120"/>
      <c r="AI2503" s="121"/>
      <c r="AJ2503" s="121"/>
      <c r="AK2503" s="121"/>
      <c r="AL2503" s="121"/>
      <c r="AM2503" s="122"/>
      <c r="AN2503" s="121"/>
    </row>
    <row r="2504" spans="29:40">
      <c r="AC2504" s="119"/>
      <c r="AD2504" s="119"/>
      <c r="AE2504" s="120"/>
      <c r="AF2504" s="119"/>
      <c r="AG2504" s="119"/>
      <c r="AH2504" s="120"/>
      <c r="AI2504" s="121"/>
      <c r="AJ2504" s="121"/>
      <c r="AK2504" s="121"/>
      <c r="AL2504" s="121"/>
      <c r="AM2504" s="122"/>
      <c r="AN2504" s="121"/>
    </row>
    <row r="2505" spans="29:40">
      <c r="AC2505" s="119"/>
      <c r="AD2505" s="119"/>
      <c r="AE2505" s="120"/>
      <c r="AF2505" s="119"/>
      <c r="AG2505" s="119"/>
      <c r="AH2505" s="120"/>
      <c r="AI2505" s="121"/>
      <c r="AJ2505" s="121"/>
      <c r="AK2505" s="121"/>
      <c r="AL2505" s="121"/>
      <c r="AM2505" s="122"/>
      <c r="AN2505" s="121"/>
    </row>
    <row r="2506" spans="29:40">
      <c r="AC2506" s="119"/>
      <c r="AD2506" s="119"/>
      <c r="AE2506" s="120"/>
      <c r="AF2506" s="119"/>
      <c r="AG2506" s="119"/>
      <c r="AH2506" s="120"/>
      <c r="AI2506" s="121"/>
      <c r="AJ2506" s="121"/>
      <c r="AK2506" s="121"/>
      <c r="AL2506" s="121"/>
      <c r="AM2506" s="122"/>
      <c r="AN2506" s="121"/>
    </row>
    <row r="2507" spans="29:40">
      <c r="AC2507" s="119"/>
      <c r="AD2507" s="119"/>
      <c r="AE2507" s="120"/>
      <c r="AF2507" s="119"/>
      <c r="AG2507" s="119"/>
      <c r="AH2507" s="120"/>
      <c r="AI2507" s="121"/>
      <c r="AJ2507" s="121"/>
      <c r="AK2507" s="121"/>
      <c r="AL2507" s="121"/>
      <c r="AM2507" s="122"/>
      <c r="AN2507" s="121"/>
    </row>
    <row r="2508" spans="29:40">
      <c r="AC2508" s="119"/>
      <c r="AD2508" s="119"/>
      <c r="AE2508" s="120"/>
      <c r="AF2508" s="119"/>
      <c r="AG2508" s="119"/>
      <c r="AH2508" s="120"/>
      <c r="AI2508" s="121"/>
      <c r="AJ2508" s="121"/>
      <c r="AK2508" s="121"/>
      <c r="AL2508" s="121"/>
      <c r="AM2508" s="122"/>
      <c r="AN2508" s="121"/>
    </row>
    <row r="2509" spans="29:40">
      <c r="AC2509" s="119"/>
      <c r="AD2509" s="119"/>
      <c r="AE2509" s="120"/>
      <c r="AF2509" s="119"/>
      <c r="AG2509" s="119"/>
      <c r="AH2509" s="120"/>
      <c r="AI2509" s="121"/>
      <c r="AJ2509" s="121"/>
      <c r="AK2509" s="121"/>
      <c r="AL2509" s="121"/>
      <c r="AM2509" s="122"/>
      <c r="AN2509" s="121"/>
    </row>
    <row r="2510" spans="29:40">
      <c r="AC2510" s="119"/>
      <c r="AD2510" s="119"/>
      <c r="AE2510" s="120"/>
      <c r="AF2510" s="119"/>
      <c r="AG2510" s="119"/>
      <c r="AH2510" s="120"/>
      <c r="AI2510" s="121"/>
      <c r="AJ2510" s="121"/>
      <c r="AK2510" s="121"/>
      <c r="AL2510" s="121"/>
      <c r="AM2510" s="122"/>
      <c r="AN2510" s="121"/>
    </row>
    <row r="2511" spans="29:40">
      <c r="AC2511" s="119"/>
      <c r="AD2511" s="119"/>
      <c r="AE2511" s="120"/>
      <c r="AF2511" s="119"/>
      <c r="AG2511" s="119"/>
      <c r="AH2511" s="120"/>
      <c r="AI2511" s="121"/>
      <c r="AJ2511" s="121"/>
      <c r="AK2511" s="121"/>
      <c r="AL2511" s="121"/>
      <c r="AM2511" s="122"/>
      <c r="AN2511" s="121"/>
    </row>
    <row r="2512" spans="29:40">
      <c r="AC2512" s="119"/>
      <c r="AD2512" s="119"/>
      <c r="AE2512" s="120"/>
      <c r="AF2512" s="119"/>
      <c r="AG2512" s="119"/>
      <c r="AH2512" s="120"/>
      <c r="AI2512" s="121"/>
      <c r="AJ2512" s="121"/>
      <c r="AK2512" s="121"/>
      <c r="AL2512" s="121"/>
      <c r="AM2512" s="122"/>
      <c r="AN2512" s="121"/>
    </row>
    <row r="2513" spans="29:40">
      <c r="AC2513" s="119"/>
      <c r="AD2513" s="119"/>
      <c r="AE2513" s="120"/>
      <c r="AF2513" s="119"/>
      <c r="AG2513" s="119"/>
      <c r="AH2513" s="120"/>
      <c r="AI2513" s="121"/>
      <c r="AJ2513" s="121"/>
      <c r="AK2513" s="121"/>
      <c r="AL2513" s="121"/>
      <c r="AM2513" s="122"/>
      <c r="AN2513" s="121"/>
    </row>
    <row r="2514" spans="29:40">
      <c r="AC2514" s="119"/>
      <c r="AD2514" s="119"/>
      <c r="AE2514" s="120"/>
      <c r="AF2514" s="119"/>
      <c r="AG2514" s="119"/>
      <c r="AH2514" s="120"/>
      <c r="AI2514" s="121"/>
      <c r="AJ2514" s="121"/>
      <c r="AK2514" s="121"/>
      <c r="AL2514" s="121"/>
      <c r="AM2514" s="122"/>
      <c r="AN2514" s="121"/>
    </row>
    <row r="2515" spans="29:40">
      <c r="AC2515" s="119"/>
      <c r="AD2515" s="119"/>
      <c r="AE2515" s="120"/>
      <c r="AF2515" s="119"/>
      <c r="AG2515" s="119"/>
      <c r="AH2515" s="120"/>
      <c r="AI2515" s="121"/>
      <c r="AJ2515" s="121"/>
      <c r="AK2515" s="121"/>
      <c r="AL2515" s="121"/>
      <c r="AM2515" s="122"/>
      <c r="AN2515" s="121"/>
    </row>
    <row r="2516" spans="29:40">
      <c r="AC2516" s="119"/>
      <c r="AD2516" s="119"/>
      <c r="AE2516" s="120"/>
      <c r="AF2516" s="119"/>
      <c r="AG2516" s="119"/>
      <c r="AH2516" s="120"/>
      <c r="AI2516" s="121"/>
      <c r="AJ2516" s="121"/>
      <c r="AK2516" s="121"/>
      <c r="AL2516" s="121"/>
      <c r="AM2516" s="122"/>
      <c r="AN2516" s="121"/>
    </row>
    <row r="2517" spans="29:40">
      <c r="AC2517" s="119"/>
      <c r="AD2517" s="119"/>
      <c r="AE2517" s="120"/>
      <c r="AF2517" s="119"/>
      <c r="AG2517" s="119"/>
      <c r="AH2517" s="120"/>
      <c r="AI2517" s="121"/>
      <c r="AJ2517" s="121"/>
      <c r="AK2517" s="121"/>
      <c r="AL2517" s="121"/>
      <c r="AM2517" s="122"/>
      <c r="AN2517" s="121"/>
    </row>
    <row r="2518" spans="29:40">
      <c r="AC2518" s="119"/>
      <c r="AD2518" s="119"/>
      <c r="AE2518" s="120"/>
      <c r="AF2518" s="119"/>
      <c r="AG2518" s="119"/>
      <c r="AH2518" s="120"/>
      <c r="AI2518" s="121"/>
      <c r="AJ2518" s="121"/>
      <c r="AK2518" s="121"/>
      <c r="AL2518" s="121"/>
      <c r="AM2518" s="122"/>
      <c r="AN2518" s="121"/>
    </row>
    <row r="2519" spans="29:40">
      <c r="AC2519" s="119"/>
      <c r="AD2519" s="119"/>
      <c r="AE2519" s="120"/>
      <c r="AF2519" s="119"/>
      <c r="AG2519" s="119"/>
      <c r="AH2519" s="120"/>
      <c r="AI2519" s="121"/>
      <c r="AJ2519" s="121"/>
      <c r="AK2519" s="121"/>
      <c r="AL2519" s="121"/>
      <c r="AM2519" s="122"/>
      <c r="AN2519" s="121"/>
    </row>
    <row r="2520" spans="29:40">
      <c r="AC2520" s="119"/>
      <c r="AD2520" s="119"/>
      <c r="AE2520" s="120"/>
      <c r="AF2520" s="119"/>
      <c r="AG2520" s="119"/>
      <c r="AH2520" s="120"/>
      <c r="AI2520" s="121"/>
      <c r="AJ2520" s="121"/>
      <c r="AK2520" s="121"/>
      <c r="AL2520" s="121"/>
      <c r="AM2520" s="122"/>
      <c r="AN2520" s="121"/>
    </row>
    <row r="2521" spans="29:40">
      <c r="AC2521" s="119"/>
      <c r="AD2521" s="119"/>
      <c r="AE2521" s="120"/>
      <c r="AF2521" s="119"/>
      <c r="AG2521" s="119"/>
      <c r="AH2521" s="120"/>
      <c r="AI2521" s="121"/>
      <c r="AJ2521" s="121"/>
      <c r="AK2521" s="121"/>
      <c r="AL2521" s="121"/>
      <c r="AM2521" s="122"/>
      <c r="AN2521" s="121"/>
    </row>
    <row r="2522" spans="29:40">
      <c r="AC2522" s="119"/>
      <c r="AD2522" s="119"/>
      <c r="AE2522" s="120"/>
      <c r="AF2522" s="119"/>
      <c r="AG2522" s="119"/>
      <c r="AH2522" s="120"/>
      <c r="AI2522" s="121"/>
      <c r="AJ2522" s="121"/>
      <c r="AK2522" s="121"/>
      <c r="AL2522" s="121"/>
      <c r="AM2522" s="122"/>
      <c r="AN2522" s="121"/>
    </row>
    <row r="2523" spans="29:40">
      <c r="AC2523" s="119"/>
      <c r="AD2523" s="119"/>
      <c r="AE2523" s="120"/>
      <c r="AF2523" s="119"/>
      <c r="AG2523" s="119"/>
      <c r="AH2523" s="120"/>
      <c r="AI2523" s="121"/>
      <c r="AJ2523" s="121"/>
      <c r="AK2523" s="121"/>
      <c r="AL2523" s="121"/>
      <c r="AM2523" s="122"/>
      <c r="AN2523" s="121"/>
    </row>
    <row r="2524" spans="29:40">
      <c r="AC2524" s="119"/>
      <c r="AD2524" s="119"/>
      <c r="AE2524" s="120"/>
      <c r="AF2524" s="119"/>
      <c r="AG2524" s="119"/>
      <c r="AH2524" s="120"/>
      <c r="AI2524" s="121"/>
      <c r="AJ2524" s="121"/>
      <c r="AK2524" s="121"/>
      <c r="AL2524" s="121"/>
      <c r="AM2524" s="122"/>
      <c r="AN2524" s="121"/>
    </row>
    <row r="2525" spans="29:40">
      <c r="AC2525" s="119"/>
      <c r="AD2525" s="119"/>
      <c r="AE2525" s="120"/>
      <c r="AF2525" s="119"/>
      <c r="AG2525" s="119"/>
      <c r="AH2525" s="120"/>
      <c r="AI2525" s="121"/>
      <c r="AJ2525" s="121"/>
      <c r="AK2525" s="121"/>
      <c r="AL2525" s="121"/>
      <c r="AM2525" s="122"/>
      <c r="AN2525" s="121"/>
    </row>
    <row r="2526" spans="29:40">
      <c r="AC2526" s="119"/>
      <c r="AD2526" s="119"/>
      <c r="AE2526" s="120"/>
      <c r="AF2526" s="119"/>
      <c r="AG2526" s="119"/>
      <c r="AH2526" s="120"/>
      <c r="AI2526" s="121"/>
      <c r="AJ2526" s="121"/>
      <c r="AK2526" s="121"/>
      <c r="AL2526" s="121"/>
      <c r="AM2526" s="122"/>
      <c r="AN2526" s="121"/>
    </row>
    <row r="2527" spans="29:40">
      <c r="AC2527" s="119"/>
      <c r="AD2527" s="119"/>
      <c r="AE2527" s="120"/>
      <c r="AF2527" s="119"/>
      <c r="AG2527" s="119"/>
      <c r="AH2527" s="120"/>
      <c r="AI2527" s="121"/>
      <c r="AJ2527" s="121"/>
      <c r="AK2527" s="121"/>
      <c r="AL2527" s="121"/>
      <c r="AM2527" s="122"/>
      <c r="AN2527" s="121"/>
    </row>
    <row r="2528" spans="29:40">
      <c r="AC2528" s="119"/>
      <c r="AD2528" s="119"/>
      <c r="AE2528" s="120"/>
      <c r="AF2528" s="119"/>
      <c r="AG2528" s="119"/>
      <c r="AH2528" s="120"/>
      <c r="AI2528" s="121"/>
      <c r="AJ2528" s="121"/>
      <c r="AK2528" s="121"/>
      <c r="AL2528" s="121"/>
      <c r="AM2528" s="122"/>
      <c r="AN2528" s="121"/>
    </row>
    <row r="2529" spans="29:40">
      <c r="AC2529" s="119"/>
      <c r="AD2529" s="119"/>
      <c r="AE2529" s="120"/>
      <c r="AF2529" s="119"/>
      <c r="AG2529" s="119"/>
      <c r="AH2529" s="120"/>
      <c r="AI2529" s="121"/>
      <c r="AJ2529" s="121"/>
      <c r="AK2529" s="121"/>
      <c r="AL2529" s="121"/>
      <c r="AM2529" s="122"/>
      <c r="AN2529" s="121"/>
    </row>
    <row r="2530" spans="29:40">
      <c r="AC2530" s="119"/>
      <c r="AD2530" s="119"/>
      <c r="AE2530" s="120"/>
      <c r="AF2530" s="119"/>
      <c r="AG2530" s="119"/>
      <c r="AH2530" s="120"/>
      <c r="AI2530" s="121"/>
      <c r="AJ2530" s="121"/>
      <c r="AK2530" s="121"/>
      <c r="AL2530" s="121"/>
      <c r="AM2530" s="122"/>
      <c r="AN2530" s="121"/>
    </row>
    <row r="2531" spans="29:40">
      <c r="AC2531" s="119"/>
      <c r="AD2531" s="119"/>
      <c r="AE2531" s="120"/>
      <c r="AF2531" s="119"/>
      <c r="AG2531" s="119"/>
      <c r="AH2531" s="120"/>
      <c r="AI2531" s="121"/>
      <c r="AJ2531" s="121"/>
      <c r="AK2531" s="121"/>
      <c r="AL2531" s="121"/>
      <c r="AM2531" s="122"/>
      <c r="AN2531" s="121"/>
    </row>
    <row r="2532" spans="29:40">
      <c r="AC2532" s="119"/>
      <c r="AD2532" s="119"/>
      <c r="AE2532" s="120"/>
      <c r="AF2532" s="119"/>
      <c r="AG2532" s="119"/>
      <c r="AH2532" s="120"/>
      <c r="AI2532" s="121"/>
      <c r="AJ2532" s="121"/>
      <c r="AK2532" s="121"/>
      <c r="AL2532" s="121"/>
      <c r="AM2532" s="122"/>
      <c r="AN2532" s="121"/>
    </row>
    <row r="2533" spans="29:40">
      <c r="AC2533" s="119"/>
      <c r="AD2533" s="119"/>
      <c r="AE2533" s="120"/>
      <c r="AF2533" s="119"/>
      <c r="AG2533" s="119"/>
      <c r="AH2533" s="120"/>
      <c r="AI2533" s="121"/>
      <c r="AJ2533" s="121"/>
      <c r="AK2533" s="121"/>
      <c r="AL2533" s="121"/>
      <c r="AM2533" s="122"/>
      <c r="AN2533" s="121"/>
    </row>
    <row r="2534" spans="29:40">
      <c r="AC2534" s="119"/>
      <c r="AD2534" s="119"/>
      <c r="AE2534" s="120"/>
      <c r="AF2534" s="119"/>
      <c r="AG2534" s="119"/>
      <c r="AH2534" s="120"/>
      <c r="AI2534" s="121"/>
      <c r="AJ2534" s="121"/>
      <c r="AK2534" s="121"/>
      <c r="AL2534" s="121"/>
      <c r="AM2534" s="122"/>
      <c r="AN2534" s="121"/>
    </row>
    <row r="2535" spans="29:40">
      <c r="AC2535" s="119"/>
      <c r="AD2535" s="119"/>
      <c r="AE2535" s="120"/>
      <c r="AF2535" s="119"/>
      <c r="AG2535" s="119"/>
      <c r="AH2535" s="120"/>
      <c r="AI2535" s="121"/>
      <c r="AJ2535" s="121"/>
      <c r="AK2535" s="121"/>
      <c r="AL2535" s="121"/>
      <c r="AM2535" s="122"/>
      <c r="AN2535" s="121"/>
    </row>
    <row r="2536" spans="29:40">
      <c r="AC2536" s="119"/>
      <c r="AD2536" s="119"/>
      <c r="AE2536" s="120"/>
      <c r="AF2536" s="119"/>
      <c r="AG2536" s="119"/>
      <c r="AH2536" s="120"/>
      <c r="AI2536" s="121"/>
      <c r="AJ2536" s="121"/>
      <c r="AK2536" s="121"/>
      <c r="AL2536" s="121"/>
      <c r="AM2536" s="122"/>
      <c r="AN2536" s="121"/>
    </row>
    <row r="2537" spans="29:40">
      <c r="AC2537" s="119"/>
      <c r="AD2537" s="119"/>
      <c r="AE2537" s="120"/>
      <c r="AF2537" s="119"/>
      <c r="AG2537" s="119"/>
      <c r="AH2537" s="120"/>
      <c r="AI2537" s="121"/>
      <c r="AJ2537" s="121"/>
      <c r="AK2537" s="121"/>
      <c r="AL2537" s="121"/>
      <c r="AM2537" s="122"/>
      <c r="AN2537" s="121"/>
    </row>
    <row r="2538" spans="29:40">
      <c r="AC2538" s="119"/>
      <c r="AD2538" s="119"/>
      <c r="AE2538" s="120"/>
      <c r="AF2538" s="119"/>
      <c r="AG2538" s="119"/>
      <c r="AH2538" s="120"/>
      <c r="AI2538" s="121"/>
      <c r="AJ2538" s="121"/>
      <c r="AK2538" s="121"/>
      <c r="AL2538" s="121"/>
      <c r="AM2538" s="122"/>
      <c r="AN2538" s="121"/>
    </row>
    <row r="2539" spans="29:40">
      <c r="AC2539" s="119"/>
      <c r="AD2539" s="119"/>
      <c r="AE2539" s="120"/>
      <c r="AF2539" s="119"/>
      <c r="AG2539" s="119"/>
      <c r="AH2539" s="120"/>
      <c r="AI2539" s="121"/>
      <c r="AJ2539" s="121"/>
      <c r="AK2539" s="121"/>
      <c r="AL2539" s="121"/>
      <c r="AM2539" s="122"/>
      <c r="AN2539" s="121"/>
    </row>
    <row r="2540" spans="29:40">
      <c r="AC2540" s="119"/>
      <c r="AD2540" s="119"/>
      <c r="AE2540" s="120"/>
      <c r="AF2540" s="119"/>
      <c r="AG2540" s="119"/>
      <c r="AH2540" s="120"/>
      <c r="AI2540" s="121"/>
      <c r="AJ2540" s="121"/>
      <c r="AK2540" s="121"/>
      <c r="AL2540" s="121"/>
      <c r="AM2540" s="122"/>
      <c r="AN2540" s="121"/>
    </row>
    <row r="2541" spans="29:40">
      <c r="AC2541" s="119"/>
      <c r="AD2541" s="119"/>
      <c r="AE2541" s="120"/>
      <c r="AF2541" s="119"/>
      <c r="AG2541" s="119"/>
      <c r="AH2541" s="120"/>
      <c r="AI2541" s="121"/>
      <c r="AJ2541" s="121"/>
      <c r="AK2541" s="121"/>
      <c r="AL2541" s="121"/>
      <c r="AM2541" s="122"/>
      <c r="AN2541" s="121"/>
    </row>
    <row r="2542" spans="29:40">
      <c r="AC2542" s="119"/>
      <c r="AD2542" s="119"/>
      <c r="AE2542" s="120"/>
      <c r="AF2542" s="119"/>
      <c r="AG2542" s="119"/>
      <c r="AH2542" s="120"/>
      <c r="AI2542" s="121"/>
      <c r="AJ2542" s="121"/>
      <c r="AK2542" s="121"/>
      <c r="AL2542" s="121"/>
      <c r="AM2542" s="122"/>
      <c r="AN2542" s="121"/>
    </row>
    <row r="2543" spans="29:40">
      <c r="AC2543" s="119"/>
      <c r="AD2543" s="119"/>
      <c r="AE2543" s="120"/>
      <c r="AF2543" s="119"/>
      <c r="AG2543" s="119"/>
      <c r="AH2543" s="120"/>
      <c r="AI2543" s="121"/>
      <c r="AJ2543" s="121"/>
      <c r="AK2543" s="121"/>
      <c r="AL2543" s="121"/>
      <c r="AM2543" s="122"/>
      <c r="AN2543" s="121"/>
    </row>
    <row r="2544" spans="29:40">
      <c r="AC2544" s="119"/>
      <c r="AD2544" s="119"/>
      <c r="AE2544" s="120"/>
      <c r="AF2544" s="119"/>
      <c r="AG2544" s="119"/>
      <c r="AH2544" s="120"/>
      <c r="AI2544" s="121"/>
      <c r="AJ2544" s="121"/>
      <c r="AK2544" s="121"/>
      <c r="AL2544" s="121"/>
      <c r="AM2544" s="122"/>
      <c r="AN2544" s="121"/>
    </row>
    <row r="2545" spans="29:40">
      <c r="AC2545" s="119"/>
      <c r="AD2545" s="119"/>
      <c r="AE2545" s="120"/>
      <c r="AF2545" s="119"/>
      <c r="AG2545" s="119"/>
      <c r="AH2545" s="120"/>
      <c r="AI2545" s="121"/>
      <c r="AJ2545" s="121"/>
      <c r="AK2545" s="121"/>
      <c r="AL2545" s="121"/>
      <c r="AM2545" s="122"/>
      <c r="AN2545" s="121"/>
    </row>
    <row r="2546" spans="29:40">
      <c r="AC2546" s="119"/>
      <c r="AD2546" s="119"/>
      <c r="AE2546" s="120"/>
      <c r="AF2546" s="119"/>
      <c r="AG2546" s="119"/>
      <c r="AH2546" s="120"/>
      <c r="AI2546" s="121"/>
      <c r="AJ2546" s="121"/>
      <c r="AK2546" s="121"/>
      <c r="AL2546" s="121"/>
      <c r="AM2546" s="122"/>
      <c r="AN2546" s="121"/>
    </row>
    <row r="2547" spans="29:40">
      <c r="AC2547" s="119"/>
      <c r="AD2547" s="119"/>
      <c r="AE2547" s="120"/>
      <c r="AF2547" s="119"/>
      <c r="AG2547" s="119"/>
      <c r="AH2547" s="120"/>
      <c r="AI2547" s="121"/>
      <c r="AJ2547" s="121"/>
      <c r="AK2547" s="121"/>
      <c r="AL2547" s="121"/>
      <c r="AM2547" s="122"/>
      <c r="AN2547" s="121"/>
    </row>
    <row r="2548" spans="29:40">
      <c r="AC2548" s="119"/>
      <c r="AD2548" s="119"/>
      <c r="AE2548" s="120"/>
      <c r="AF2548" s="119"/>
      <c r="AG2548" s="119"/>
      <c r="AH2548" s="120"/>
      <c r="AI2548" s="121"/>
      <c r="AJ2548" s="121"/>
      <c r="AK2548" s="121"/>
      <c r="AL2548" s="121"/>
      <c r="AM2548" s="122"/>
      <c r="AN2548" s="121"/>
    </row>
    <row r="2549" spans="29:40">
      <c r="AC2549" s="119"/>
      <c r="AD2549" s="119"/>
      <c r="AE2549" s="120"/>
      <c r="AF2549" s="119"/>
      <c r="AG2549" s="119"/>
      <c r="AH2549" s="120"/>
      <c r="AI2549" s="121"/>
      <c r="AJ2549" s="121"/>
      <c r="AK2549" s="121"/>
      <c r="AL2549" s="121"/>
      <c r="AM2549" s="122"/>
      <c r="AN2549" s="121"/>
    </row>
    <row r="2550" spans="29:40">
      <c r="AC2550" s="119"/>
      <c r="AD2550" s="119"/>
      <c r="AE2550" s="120"/>
      <c r="AF2550" s="119"/>
      <c r="AG2550" s="119"/>
      <c r="AH2550" s="120"/>
      <c r="AI2550" s="121"/>
      <c r="AJ2550" s="121"/>
      <c r="AK2550" s="121"/>
      <c r="AL2550" s="121"/>
      <c r="AM2550" s="122"/>
      <c r="AN2550" s="121"/>
    </row>
    <row r="2551" spans="29:40">
      <c r="AC2551" s="119"/>
      <c r="AD2551" s="119"/>
      <c r="AE2551" s="120"/>
      <c r="AF2551" s="119"/>
      <c r="AG2551" s="119"/>
      <c r="AH2551" s="120"/>
      <c r="AI2551" s="121"/>
      <c r="AJ2551" s="121"/>
      <c r="AK2551" s="121"/>
      <c r="AL2551" s="121"/>
      <c r="AM2551" s="122"/>
      <c r="AN2551" s="121"/>
    </row>
    <row r="2552" spans="29:40">
      <c r="AC2552" s="119"/>
      <c r="AD2552" s="119"/>
      <c r="AE2552" s="120"/>
      <c r="AF2552" s="119"/>
      <c r="AG2552" s="119"/>
      <c r="AH2552" s="120"/>
      <c r="AI2552" s="121"/>
      <c r="AJ2552" s="121"/>
      <c r="AK2552" s="121"/>
      <c r="AL2552" s="121"/>
      <c r="AM2552" s="122"/>
      <c r="AN2552" s="121"/>
    </row>
    <row r="2553" spans="29:40">
      <c r="AC2553" s="119"/>
      <c r="AD2553" s="119"/>
      <c r="AE2553" s="120"/>
      <c r="AF2553" s="119"/>
      <c r="AG2553" s="119"/>
      <c r="AH2553" s="120"/>
      <c r="AI2553" s="121"/>
      <c r="AJ2553" s="121"/>
      <c r="AK2553" s="121"/>
      <c r="AL2553" s="121"/>
      <c r="AM2553" s="122"/>
      <c r="AN2553" s="121"/>
    </row>
    <row r="2554" spans="29:40">
      <c r="AC2554" s="119"/>
      <c r="AD2554" s="119"/>
      <c r="AE2554" s="120"/>
      <c r="AF2554" s="119"/>
      <c r="AG2554" s="119"/>
      <c r="AH2554" s="120"/>
      <c r="AI2554" s="121"/>
      <c r="AJ2554" s="121"/>
      <c r="AK2554" s="121"/>
      <c r="AL2554" s="121"/>
      <c r="AM2554" s="122"/>
      <c r="AN2554" s="121"/>
    </row>
    <row r="2555" spans="29:40">
      <c r="AC2555" s="119"/>
      <c r="AD2555" s="119"/>
      <c r="AE2555" s="120"/>
      <c r="AF2555" s="119"/>
      <c r="AG2555" s="119"/>
      <c r="AH2555" s="120"/>
      <c r="AI2555" s="121"/>
      <c r="AJ2555" s="121"/>
      <c r="AK2555" s="121"/>
      <c r="AL2555" s="121"/>
      <c r="AM2555" s="122"/>
      <c r="AN2555" s="121"/>
    </row>
    <row r="2556" spans="29:40">
      <c r="AC2556" s="119"/>
      <c r="AD2556" s="119"/>
      <c r="AE2556" s="120"/>
      <c r="AF2556" s="119"/>
      <c r="AG2556" s="119"/>
      <c r="AH2556" s="120"/>
      <c r="AI2556" s="121"/>
      <c r="AJ2556" s="121"/>
      <c r="AK2556" s="121"/>
      <c r="AL2556" s="121"/>
      <c r="AM2556" s="122"/>
      <c r="AN2556" s="121"/>
    </row>
    <row r="2557" spans="29:40">
      <c r="AC2557" s="119"/>
      <c r="AD2557" s="119"/>
      <c r="AE2557" s="120"/>
      <c r="AF2557" s="119"/>
      <c r="AG2557" s="119"/>
      <c r="AH2557" s="120"/>
      <c r="AI2557" s="121"/>
      <c r="AJ2557" s="121"/>
      <c r="AK2557" s="121"/>
      <c r="AL2557" s="121"/>
      <c r="AM2557" s="122"/>
      <c r="AN2557" s="121"/>
    </row>
    <row r="2558" spans="29:40">
      <c r="AC2558" s="119"/>
      <c r="AD2558" s="119"/>
      <c r="AE2558" s="120"/>
      <c r="AF2558" s="119"/>
      <c r="AG2558" s="119"/>
      <c r="AH2558" s="120"/>
      <c r="AI2558" s="121"/>
      <c r="AJ2558" s="121"/>
      <c r="AK2558" s="121"/>
      <c r="AL2558" s="121"/>
      <c r="AM2558" s="122"/>
      <c r="AN2558" s="121"/>
    </row>
    <row r="2559" spans="29:40">
      <c r="AC2559" s="119"/>
      <c r="AD2559" s="119"/>
      <c r="AE2559" s="120"/>
      <c r="AF2559" s="119"/>
      <c r="AG2559" s="119"/>
      <c r="AH2559" s="120"/>
      <c r="AI2559" s="121"/>
      <c r="AJ2559" s="121"/>
      <c r="AK2559" s="121"/>
      <c r="AL2559" s="121"/>
      <c r="AM2559" s="122"/>
      <c r="AN2559" s="121"/>
    </row>
    <row r="2560" spans="29:40">
      <c r="AC2560" s="119"/>
      <c r="AD2560" s="119"/>
      <c r="AE2560" s="120"/>
      <c r="AF2560" s="119"/>
      <c r="AG2560" s="119"/>
      <c r="AH2560" s="120"/>
      <c r="AI2560" s="121"/>
      <c r="AJ2560" s="121"/>
      <c r="AK2560" s="121"/>
      <c r="AL2560" s="121"/>
      <c r="AM2560" s="122"/>
      <c r="AN2560" s="121"/>
    </row>
    <row r="2561" spans="29:40">
      <c r="AC2561" s="119"/>
      <c r="AD2561" s="119"/>
      <c r="AE2561" s="120"/>
      <c r="AF2561" s="119"/>
      <c r="AG2561" s="119"/>
      <c r="AH2561" s="120"/>
      <c r="AI2561" s="121"/>
      <c r="AJ2561" s="121"/>
      <c r="AK2561" s="121"/>
      <c r="AL2561" s="121"/>
      <c r="AM2561" s="122"/>
      <c r="AN2561" s="121"/>
    </row>
    <row r="2562" spans="29:40">
      <c r="AC2562" s="119"/>
      <c r="AD2562" s="119"/>
      <c r="AE2562" s="120"/>
      <c r="AF2562" s="119"/>
      <c r="AG2562" s="119"/>
      <c r="AH2562" s="120"/>
      <c r="AI2562" s="121"/>
      <c r="AJ2562" s="121"/>
      <c r="AK2562" s="121"/>
      <c r="AL2562" s="121"/>
      <c r="AM2562" s="122"/>
      <c r="AN2562" s="121"/>
    </row>
    <row r="2563" spans="29:40">
      <c r="AC2563" s="119"/>
      <c r="AD2563" s="119"/>
      <c r="AE2563" s="120"/>
      <c r="AF2563" s="119"/>
      <c r="AG2563" s="119"/>
      <c r="AH2563" s="120"/>
      <c r="AI2563" s="121"/>
      <c r="AJ2563" s="121"/>
      <c r="AK2563" s="121"/>
      <c r="AL2563" s="121"/>
      <c r="AM2563" s="122"/>
      <c r="AN2563" s="121"/>
    </row>
    <row r="2564" spans="29:40">
      <c r="AC2564" s="119"/>
      <c r="AD2564" s="119"/>
      <c r="AE2564" s="120"/>
      <c r="AF2564" s="119"/>
      <c r="AG2564" s="119"/>
      <c r="AH2564" s="120"/>
      <c r="AI2564" s="121"/>
      <c r="AJ2564" s="121"/>
      <c r="AK2564" s="121"/>
      <c r="AL2564" s="121"/>
      <c r="AM2564" s="122"/>
      <c r="AN2564" s="121"/>
    </row>
    <row r="2565" spans="29:40">
      <c r="AC2565" s="119"/>
      <c r="AD2565" s="119"/>
      <c r="AE2565" s="120"/>
      <c r="AF2565" s="119"/>
      <c r="AG2565" s="119"/>
      <c r="AH2565" s="120"/>
      <c r="AI2565" s="121"/>
      <c r="AJ2565" s="121"/>
      <c r="AK2565" s="121"/>
      <c r="AL2565" s="121"/>
      <c r="AM2565" s="122"/>
      <c r="AN2565" s="121"/>
    </row>
    <row r="2566" spans="29:40">
      <c r="AC2566" s="119"/>
      <c r="AD2566" s="119"/>
      <c r="AE2566" s="120"/>
      <c r="AF2566" s="119"/>
      <c r="AG2566" s="119"/>
      <c r="AH2566" s="120"/>
      <c r="AI2566" s="121"/>
      <c r="AJ2566" s="121"/>
      <c r="AK2566" s="121"/>
      <c r="AL2566" s="121"/>
      <c r="AM2566" s="122"/>
      <c r="AN2566" s="121"/>
    </row>
    <row r="2567" spans="29:40">
      <c r="AC2567" s="119"/>
      <c r="AD2567" s="119"/>
      <c r="AE2567" s="120"/>
      <c r="AF2567" s="119"/>
      <c r="AG2567" s="119"/>
      <c r="AH2567" s="120"/>
      <c r="AI2567" s="121"/>
      <c r="AJ2567" s="121"/>
      <c r="AK2567" s="121"/>
      <c r="AL2567" s="121"/>
      <c r="AM2567" s="122"/>
      <c r="AN2567" s="121"/>
    </row>
    <row r="2568" spans="29:40">
      <c r="AC2568" s="119"/>
      <c r="AD2568" s="119"/>
      <c r="AE2568" s="120"/>
      <c r="AF2568" s="119"/>
      <c r="AG2568" s="119"/>
      <c r="AH2568" s="120"/>
      <c r="AI2568" s="121"/>
      <c r="AJ2568" s="121"/>
      <c r="AK2568" s="121"/>
      <c r="AL2568" s="121"/>
      <c r="AM2568" s="122"/>
      <c r="AN2568" s="121"/>
    </row>
    <row r="2569" spans="29:40">
      <c r="AC2569" s="119"/>
      <c r="AD2569" s="119"/>
      <c r="AE2569" s="120"/>
      <c r="AF2569" s="119"/>
      <c r="AG2569" s="119"/>
      <c r="AH2569" s="120"/>
      <c r="AI2569" s="121"/>
      <c r="AJ2569" s="121"/>
      <c r="AK2569" s="121"/>
      <c r="AL2569" s="121"/>
      <c r="AM2569" s="122"/>
      <c r="AN2569" s="121"/>
    </row>
    <row r="2570" spans="29:40">
      <c r="AC2570" s="119"/>
      <c r="AD2570" s="119"/>
      <c r="AE2570" s="120"/>
      <c r="AF2570" s="119"/>
      <c r="AG2570" s="119"/>
      <c r="AH2570" s="120"/>
      <c r="AI2570" s="121"/>
      <c r="AJ2570" s="121"/>
      <c r="AK2570" s="121"/>
      <c r="AL2570" s="121"/>
      <c r="AM2570" s="122"/>
      <c r="AN2570" s="121"/>
    </row>
    <row r="2571" spans="29:40">
      <c r="AC2571" s="119"/>
      <c r="AD2571" s="119"/>
      <c r="AE2571" s="120"/>
      <c r="AF2571" s="119"/>
      <c r="AG2571" s="119"/>
      <c r="AH2571" s="120"/>
      <c r="AI2571" s="121"/>
      <c r="AJ2571" s="121"/>
      <c r="AK2571" s="121"/>
      <c r="AL2571" s="121"/>
      <c r="AM2571" s="122"/>
      <c r="AN2571" s="121"/>
    </row>
    <row r="2572" spans="29:40">
      <c r="AC2572" s="119"/>
      <c r="AD2572" s="119"/>
      <c r="AE2572" s="120"/>
      <c r="AF2572" s="119"/>
      <c r="AG2572" s="119"/>
      <c r="AH2572" s="120"/>
      <c r="AI2572" s="121"/>
      <c r="AJ2572" s="121"/>
      <c r="AK2572" s="121"/>
      <c r="AL2572" s="121"/>
      <c r="AM2572" s="122"/>
      <c r="AN2572" s="121"/>
    </row>
    <row r="2573" spans="29:40">
      <c r="AC2573" s="119"/>
      <c r="AD2573" s="119"/>
      <c r="AE2573" s="120"/>
      <c r="AF2573" s="119"/>
      <c r="AG2573" s="119"/>
      <c r="AH2573" s="120"/>
      <c r="AI2573" s="121"/>
      <c r="AJ2573" s="121"/>
      <c r="AK2573" s="121"/>
      <c r="AL2573" s="121"/>
      <c r="AM2573" s="122"/>
      <c r="AN2573" s="121"/>
    </row>
    <row r="2574" spans="29:40">
      <c r="AC2574" s="119"/>
      <c r="AD2574" s="119"/>
      <c r="AE2574" s="120"/>
      <c r="AF2574" s="119"/>
      <c r="AG2574" s="119"/>
      <c r="AH2574" s="120"/>
      <c r="AI2574" s="121"/>
      <c r="AJ2574" s="121"/>
      <c r="AK2574" s="121"/>
      <c r="AL2574" s="121"/>
      <c r="AM2574" s="122"/>
      <c r="AN2574" s="121"/>
    </row>
    <row r="2575" spans="29:40">
      <c r="AC2575" s="119"/>
      <c r="AD2575" s="119"/>
      <c r="AE2575" s="120"/>
      <c r="AF2575" s="119"/>
      <c r="AG2575" s="119"/>
      <c r="AH2575" s="120"/>
      <c r="AI2575" s="121"/>
      <c r="AJ2575" s="121"/>
      <c r="AK2575" s="121"/>
      <c r="AL2575" s="121"/>
      <c r="AM2575" s="122"/>
      <c r="AN2575" s="121"/>
    </row>
    <row r="2576" spans="29:40">
      <c r="AC2576" s="119"/>
      <c r="AD2576" s="119"/>
      <c r="AE2576" s="120"/>
      <c r="AF2576" s="119"/>
      <c r="AG2576" s="119"/>
      <c r="AH2576" s="120"/>
      <c r="AI2576" s="121"/>
      <c r="AJ2576" s="121"/>
      <c r="AK2576" s="121"/>
      <c r="AL2576" s="121"/>
      <c r="AM2576" s="122"/>
      <c r="AN2576" s="121"/>
    </row>
    <row r="2577" spans="29:40">
      <c r="AC2577" s="119"/>
      <c r="AD2577" s="119"/>
      <c r="AE2577" s="120"/>
      <c r="AF2577" s="119"/>
      <c r="AG2577" s="119"/>
      <c r="AH2577" s="120"/>
      <c r="AI2577" s="121"/>
      <c r="AJ2577" s="121"/>
      <c r="AK2577" s="121"/>
      <c r="AL2577" s="121"/>
      <c r="AM2577" s="122"/>
      <c r="AN2577" s="121"/>
    </row>
    <row r="2578" spans="29:40">
      <c r="AC2578" s="119"/>
      <c r="AD2578" s="119"/>
      <c r="AE2578" s="120"/>
      <c r="AF2578" s="119"/>
      <c r="AG2578" s="119"/>
      <c r="AH2578" s="120"/>
      <c r="AI2578" s="121"/>
      <c r="AJ2578" s="121"/>
      <c r="AK2578" s="121"/>
      <c r="AL2578" s="121"/>
      <c r="AM2578" s="122"/>
      <c r="AN2578" s="121"/>
    </row>
    <row r="2579" spans="29:40">
      <c r="AC2579" s="119"/>
      <c r="AD2579" s="119"/>
      <c r="AE2579" s="120"/>
      <c r="AF2579" s="119"/>
      <c r="AG2579" s="119"/>
      <c r="AH2579" s="120"/>
      <c r="AI2579" s="121"/>
      <c r="AJ2579" s="121"/>
      <c r="AK2579" s="121"/>
      <c r="AL2579" s="121"/>
      <c r="AM2579" s="122"/>
      <c r="AN2579" s="121"/>
    </row>
    <row r="2580" spans="29:40">
      <c r="AC2580" s="119"/>
      <c r="AD2580" s="119"/>
      <c r="AE2580" s="120"/>
      <c r="AF2580" s="119"/>
      <c r="AG2580" s="119"/>
      <c r="AH2580" s="120"/>
      <c r="AI2580" s="121"/>
      <c r="AJ2580" s="121"/>
      <c r="AK2580" s="121"/>
      <c r="AL2580" s="121"/>
      <c r="AM2580" s="122"/>
      <c r="AN2580" s="121"/>
    </row>
    <row r="2581" spans="29:40">
      <c r="AC2581" s="119"/>
      <c r="AD2581" s="119"/>
      <c r="AE2581" s="120"/>
      <c r="AF2581" s="119"/>
      <c r="AG2581" s="119"/>
      <c r="AH2581" s="120"/>
      <c r="AI2581" s="121"/>
      <c r="AJ2581" s="121"/>
      <c r="AK2581" s="121"/>
      <c r="AL2581" s="121"/>
      <c r="AM2581" s="122"/>
      <c r="AN2581" s="121"/>
    </row>
    <row r="2582" spans="29:40">
      <c r="AC2582" s="119"/>
      <c r="AD2582" s="119"/>
      <c r="AE2582" s="120"/>
      <c r="AF2582" s="119"/>
      <c r="AG2582" s="119"/>
      <c r="AH2582" s="120"/>
      <c r="AI2582" s="121"/>
      <c r="AJ2582" s="121"/>
      <c r="AK2582" s="121"/>
      <c r="AL2582" s="121"/>
      <c r="AM2582" s="122"/>
      <c r="AN2582" s="121"/>
    </row>
    <row r="2583" spans="29:40">
      <c r="AC2583" s="119"/>
      <c r="AD2583" s="119"/>
      <c r="AE2583" s="120"/>
      <c r="AF2583" s="119"/>
      <c r="AG2583" s="119"/>
      <c r="AH2583" s="120"/>
      <c r="AI2583" s="121"/>
      <c r="AJ2583" s="121"/>
      <c r="AK2583" s="121"/>
      <c r="AL2583" s="121"/>
      <c r="AM2583" s="122"/>
      <c r="AN2583" s="121"/>
    </row>
    <row r="2584" spans="29:40">
      <c r="AC2584" s="119"/>
      <c r="AD2584" s="119"/>
      <c r="AE2584" s="120"/>
      <c r="AF2584" s="119"/>
      <c r="AG2584" s="119"/>
      <c r="AH2584" s="120"/>
      <c r="AI2584" s="121"/>
      <c r="AJ2584" s="121"/>
      <c r="AK2584" s="121"/>
      <c r="AL2584" s="121"/>
      <c r="AM2584" s="122"/>
      <c r="AN2584" s="121"/>
    </row>
    <row r="2585" spans="29:40">
      <c r="AC2585" s="119"/>
      <c r="AD2585" s="119"/>
      <c r="AE2585" s="120"/>
      <c r="AF2585" s="119"/>
      <c r="AG2585" s="119"/>
      <c r="AH2585" s="120"/>
      <c r="AI2585" s="121"/>
      <c r="AJ2585" s="121"/>
      <c r="AK2585" s="121"/>
      <c r="AL2585" s="121"/>
      <c r="AM2585" s="122"/>
      <c r="AN2585" s="121"/>
    </row>
    <row r="2586" spans="29:40">
      <c r="AC2586" s="119"/>
      <c r="AD2586" s="119"/>
      <c r="AE2586" s="120"/>
      <c r="AF2586" s="119"/>
      <c r="AG2586" s="119"/>
      <c r="AH2586" s="120"/>
      <c r="AI2586" s="121"/>
      <c r="AJ2586" s="121"/>
      <c r="AK2586" s="121"/>
      <c r="AL2586" s="121"/>
      <c r="AM2586" s="122"/>
      <c r="AN2586" s="121"/>
    </row>
    <row r="2587" spans="29:40">
      <c r="AC2587" s="119"/>
      <c r="AD2587" s="119"/>
      <c r="AE2587" s="120"/>
      <c r="AF2587" s="119"/>
      <c r="AG2587" s="119"/>
      <c r="AH2587" s="120"/>
      <c r="AI2587" s="121"/>
      <c r="AJ2587" s="121"/>
      <c r="AK2587" s="121"/>
      <c r="AL2587" s="121"/>
      <c r="AM2587" s="122"/>
      <c r="AN2587" s="121"/>
    </row>
    <row r="2588" spans="29:40">
      <c r="AC2588" s="119"/>
      <c r="AD2588" s="119"/>
      <c r="AE2588" s="120"/>
      <c r="AF2588" s="119"/>
      <c r="AG2588" s="119"/>
      <c r="AH2588" s="120"/>
      <c r="AI2588" s="121"/>
      <c r="AJ2588" s="121"/>
      <c r="AK2588" s="121"/>
      <c r="AL2588" s="121"/>
      <c r="AM2588" s="122"/>
      <c r="AN2588" s="121"/>
    </row>
    <row r="2589" spans="29:40">
      <c r="AC2589" s="119"/>
      <c r="AD2589" s="119"/>
      <c r="AE2589" s="120"/>
      <c r="AF2589" s="119"/>
      <c r="AG2589" s="119"/>
      <c r="AH2589" s="120"/>
      <c r="AI2589" s="121"/>
      <c r="AJ2589" s="121"/>
      <c r="AK2589" s="121"/>
      <c r="AL2589" s="121"/>
      <c r="AM2589" s="122"/>
      <c r="AN2589" s="121"/>
    </row>
    <row r="2590" spans="29:40">
      <c r="AC2590" s="119"/>
      <c r="AD2590" s="119"/>
      <c r="AE2590" s="120"/>
      <c r="AF2590" s="119"/>
      <c r="AG2590" s="119"/>
      <c r="AH2590" s="120"/>
      <c r="AI2590" s="121"/>
      <c r="AJ2590" s="121"/>
      <c r="AK2590" s="121"/>
      <c r="AL2590" s="121"/>
      <c r="AM2590" s="122"/>
      <c r="AN2590" s="121"/>
    </row>
    <row r="2591" spans="29:40">
      <c r="AC2591" s="119"/>
      <c r="AD2591" s="119"/>
      <c r="AE2591" s="120"/>
      <c r="AF2591" s="119"/>
      <c r="AG2591" s="119"/>
      <c r="AH2591" s="120"/>
      <c r="AI2591" s="121"/>
      <c r="AJ2591" s="121"/>
      <c r="AK2591" s="121"/>
      <c r="AL2591" s="121"/>
      <c r="AM2591" s="122"/>
      <c r="AN2591" s="121"/>
    </row>
    <row r="2592" spans="29:40">
      <c r="AC2592" s="119"/>
      <c r="AD2592" s="119"/>
      <c r="AE2592" s="120"/>
      <c r="AF2592" s="119"/>
      <c r="AG2592" s="119"/>
      <c r="AH2592" s="120"/>
      <c r="AI2592" s="121"/>
      <c r="AJ2592" s="121"/>
      <c r="AK2592" s="121"/>
      <c r="AL2592" s="121"/>
      <c r="AM2592" s="122"/>
      <c r="AN2592" s="121"/>
    </row>
    <row r="2593" spans="29:40">
      <c r="AC2593" s="119"/>
      <c r="AD2593" s="119"/>
      <c r="AE2593" s="120"/>
      <c r="AF2593" s="119"/>
      <c r="AG2593" s="119"/>
      <c r="AH2593" s="120"/>
      <c r="AI2593" s="121"/>
      <c r="AJ2593" s="121"/>
      <c r="AK2593" s="121"/>
      <c r="AL2593" s="121"/>
      <c r="AM2593" s="122"/>
      <c r="AN2593" s="121"/>
    </row>
    <row r="2594" spans="29:40">
      <c r="AC2594" s="119"/>
      <c r="AD2594" s="119"/>
      <c r="AE2594" s="120"/>
      <c r="AF2594" s="119"/>
      <c r="AG2594" s="119"/>
      <c r="AH2594" s="120"/>
      <c r="AI2594" s="121"/>
      <c r="AJ2594" s="121"/>
      <c r="AK2594" s="121"/>
      <c r="AL2594" s="121"/>
      <c r="AM2594" s="122"/>
      <c r="AN2594" s="121"/>
    </row>
    <row r="2595" spans="29:40">
      <c r="AC2595" s="119"/>
      <c r="AD2595" s="119"/>
      <c r="AE2595" s="120"/>
      <c r="AF2595" s="119"/>
      <c r="AG2595" s="119"/>
      <c r="AH2595" s="120"/>
      <c r="AI2595" s="121"/>
      <c r="AJ2595" s="121"/>
      <c r="AK2595" s="121"/>
      <c r="AL2595" s="121"/>
      <c r="AM2595" s="122"/>
      <c r="AN2595" s="121"/>
    </row>
    <row r="2596" spans="29:40">
      <c r="AC2596" s="119"/>
      <c r="AD2596" s="119"/>
      <c r="AE2596" s="120"/>
      <c r="AF2596" s="119"/>
      <c r="AG2596" s="119"/>
      <c r="AH2596" s="120"/>
      <c r="AI2596" s="121"/>
      <c r="AJ2596" s="121"/>
      <c r="AK2596" s="121"/>
      <c r="AL2596" s="121"/>
      <c r="AM2596" s="122"/>
      <c r="AN2596" s="121"/>
    </row>
    <row r="2597" spans="29:40">
      <c r="AC2597" s="119"/>
      <c r="AD2597" s="119"/>
      <c r="AE2597" s="120"/>
      <c r="AF2597" s="119"/>
      <c r="AG2597" s="119"/>
      <c r="AH2597" s="120"/>
      <c r="AI2597" s="121"/>
      <c r="AJ2597" s="121"/>
      <c r="AK2597" s="121"/>
      <c r="AL2597" s="121"/>
      <c r="AM2597" s="122"/>
      <c r="AN2597" s="121"/>
    </row>
    <row r="2598" spans="29:40">
      <c r="AC2598" s="119"/>
      <c r="AD2598" s="119"/>
      <c r="AE2598" s="120"/>
      <c r="AF2598" s="119"/>
      <c r="AG2598" s="119"/>
      <c r="AH2598" s="120"/>
      <c r="AI2598" s="121"/>
      <c r="AJ2598" s="121"/>
      <c r="AK2598" s="121"/>
      <c r="AL2598" s="121"/>
      <c r="AM2598" s="122"/>
      <c r="AN2598" s="121"/>
    </row>
    <row r="2599" spans="29:40">
      <c r="AC2599" s="119"/>
      <c r="AD2599" s="119"/>
      <c r="AE2599" s="120"/>
      <c r="AF2599" s="119"/>
      <c r="AG2599" s="119"/>
      <c r="AH2599" s="120"/>
      <c r="AI2599" s="121"/>
      <c r="AJ2599" s="121"/>
      <c r="AK2599" s="121"/>
      <c r="AL2599" s="121"/>
      <c r="AM2599" s="122"/>
      <c r="AN2599" s="121"/>
    </row>
    <row r="2600" spans="29:40">
      <c r="AC2600" s="119"/>
      <c r="AD2600" s="119"/>
      <c r="AE2600" s="120"/>
      <c r="AF2600" s="119"/>
      <c r="AG2600" s="119"/>
      <c r="AH2600" s="120"/>
      <c r="AI2600" s="121"/>
      <c r="AJ2600" s="121"/>
      <c r="AK2600" s="121"/>
      <c r="AL2600" s="121"/>
      <c r="AM2600" s="122"/>
      <c r="AN2600" s="121"/>
    </row>
    <row r="2601" spans="29:40">
      <c r="AC2601" s="119"/>
      <c r="AD2601" s="119"/>
      <c r="AE2601" s="120"/>
      <c r="AF2601" s="119"/>
      <c r="AG2601" s="119"/>
      <c r="AH2601" s="120"/>
      <c r="AI2601" s="121"/>
      <c r="AJ2601" s="121"/>
      <c r="AK2601" s="121"/>
      <c r="AL2601" s="121"/>
      <c r="AM2601" s="122"/>
      <c r="AN2601" s="121"/>
    </row>
    <row r="2602" spans="29:40">
      <c r="AC2602" s="119"/>
      <c r="AD2602" s="119"/>
      <c r="AE2602" s="120"/>
      <c r="AF2602" s="119"/>
      <c r="AG2602" s="119"/>
      <c r="AH2602" s="120"/>
      <c r="AI2602" s="121"/>
      <c r="AJ2602" s="121"/>
      <c r="AK2602" s="121"/>
      <c r="AL2602" s="121"/>
      <c r="AM2602" s="122"/>
      <c r="AN2602" s="121"/>
    </row>
    <row r="2603" spans="29:40">
      <c r="AC2603" s="119"/>
      <c r="AD2603" s="119"/>
      <c r="AE2603" s="120"/>
      <c r="AF2603" s="119"/>
      <c r="AG2603" s="119"/>
      <c r="AH2603" s="120"/>
      <c r="AI2603" s="121"/>
      <c r="AJ2603" s="121"/>
      <c r="AK2603" s="121"/>
      <c r="AL2603" s="121"/>
      <c r="AM2603" s="122"/>
      <c r="AN2603" s="121"/>
    </row>
    <row r="2604" spans="29:40">
      <c r="AC2604" s="119"/>
      <c r="AD2604" s="119"/>
      <c r="AE2604" s="120"/>
      <c r="AF2604" s="119"/>
      <c r="AG2604" s="119"/>
      <c r="AH2604" s="120"/>
      <c r="AI2604" s="121"/>
      <c r="AJ2604" s="121"/>
      <c r="AK2604" s="121"/>
      <c r="AL2604" s="121"/>
      <c r="AM2604" s="122"/>
      <c r="AN2604" s="121"/>
    </row>
    <row r="2605" spans="29:40">
      <c r="AC2605" s="119"/>
      <c r="AD2605" s="119"/>
      <c r="AE2605" s="120"/>
      <c r="AF2605" s="119"/>
      <c r="AG2605" s="119"/>
      <c r="AH2605" s="120"/>
      <c r="AI2605" s="121"/>
      <c r="AJ2605" s="121"/>
      <c r="AK2605" s="121"/>
      <c r="AL2605" s="121"/>
      <c r="AM2605" s="122"/>
      <c r="AN2605" s="121"/>
    </row>
    <row r="2606" spans="29:40">
      <c r="AC2606" s="119"/>
      <c r="AD2606" s="119"/>
      <c r="AE2606" s="120"/>
      <c r="AF2606" s="119"/>
      <c r="AG2606" s="119"/>
      <c r="AH2606" s="120"/>
      <c r="AI2606" s="121"/>
      <c r="AJ2606" s="121"/>
      <c r="AK2606" s="121"/>
      <c r="AL2606" s="121"/>
      <c r="AM2606" s="122"/>
      <c r="AN2606" s="121"/>
    </row>
    <row r="2607" spans="29:40">
      <c r="AC2607" s="119"/>
      <c r="AD2607" s="119"/>
      <c r="AE2607" s="120"/>
      <c r="AF2607" s="119"/>
      <c r="AG2607" s="119"/>
      <c r="AH2607" s="120"/>
      <c r="AI2607" s="121"/>
      <c r="AJ2607" s="121"/>
      <c r="AK2607" s="121"/>
      <c r="AL2607" s="121"/>
      <c r="AM2607" s="122"/>
      <c r="AN2607" s="121"/>
    </row>
    <row r="2608" spans="29:40">
      <c r="AC2608" s="119"/>
      <c r="AD2608" s="119"/>
      <c r="AE2608" s="120"/>
      <c r="AF2608" s="119"/>
      <c r="AG2608" s="119"/>
      <c r="AH2608" s="120"/>
      <c r="AI2608" s="121"/>
      <c r="AJ2608" s="121"/>
      <c r="AK2608" s="121"/>
      <c r="AL2608" s="121"/>
      <c r="AM2608" s="122"/>
      <c r="AN2608" s="121"/>
    </row>
    <row r="2609" spans="29:40">
      <c r="AC2609" s="119"/>
      <c r="AD2609" s="119"/>
      <c r="AE2609" s="120"/>
      <c r="AF2609" s="119"/>
      <c r="AG2609" s="119"/>
      <c r="AH2609" s="120"/>
      <c r="AI2609" s="121"/>
      <c r="AJ2609" s="121"/>
      <c r="AK2609" s="121"/>
      <c r="AL2609" s="121"/>
      <c r="AM2609" s="122"/>
      <c r="AN2609" s="121"/>
    </row>
    <row r="2610" spans="29:40">
      <c r="AC2610" s="119"/>
      <c r="AD2610" s="119"/>
      <c r="AE2610" s="120"/>
      <c r="AF2610" s="119"/>
      <c r="AG2610" s="119"/>
      <c r="AH2610" s="120"/>
      <c r="AI2610" s="121"/>
      <c r="AJ2610" s="121"/>
      <c r="AK2610" s="121"/>
      <c r="AL2610" s="121"/>
      <c r="AM2610" s="122"/>
      <c r="AN2610" s="121"/>
    </row>
    <row r="2611" spans="29:40">
      <c r="AC2611" s="119"/>
      <c r="AD2611" s="119"/>
      <c r="AE2611" s="120"/>
      <c r="AF2611" s="119"/>
      <c r="AG2611" s="119"/>
      <c r="AH2611" s="120"/>
      <c r="AI2611" s="121"/>
      <c r="AJ2611" s="121"/>
      <c r="AK2611" s="121"/>
      <c r="AL2611" s="121"/>
      <c r="AM2611" s="122"/>
      <c r="AN2611" s="121"/>
    </row>
    <row r="2612" spans="29:40">
      <c r="AC2612" s="119"/>
      <c r="AD2612" s="119"/>
      <c r="AE2612" s="120"/>
      <c r="AF2612" s="119"/>
      <c r="AG2612" s="119"/>
      <c r="AH2612" s="120"/>
      <c r="AI2612" s="121"/>
      <c r="AJ2612" s="121"/>
      <c r="AK2612" s="121"/>
      <c r="AL2612" s="121"/>
      <c r="AM2612" s="122"/>
      <c r="AN2612" s="121"/>
    </row>
    <row r="2613" spans="29:40">
      <c r="AC2613" s="119"/>
      <c r="AD2613" s="119"/>
      <c r="AE2613" s="120"/>
      <c r="AF2613" s="119"/>
      <c r="AG2613" s="119"/>
      <c r="AH2613" s="120"/>
      <c r="AI2613" s="121"/>
      <c r="AJ2613" s="121"/>
      <c r="AK2613" s="121"/>
      <c r="AL2613" s="121"/>
      <c r="AM2613" s="122"/>
      <c r="AN2613" s="121"/>
    </row>
    <row r="2614" spans="29:40">
      <c r="AC2614" s="119"/>
      <c r="AD2614" s="119"/>
      <c r="AE2614" s="120"/>
      <c r="AF2614" s="119"/>
      <c r="AG2614" s="119"/>
      <c r="AH2614" s="120"/>
      <c r="AI2614" s="121"/>
      <c r="AJ2614" s="121"/>
      <c r="AK2614" s="121"/>
      <c r="AL2614" s="121"/>
      <c r="AM2614" s="122"/>
      <c r="AN2614" s="121"/>
    </row>
    <row r="2615" spans="29:40">
      <c r="AC2615" s="119"/>
      <c r="AD2615" s="119"/>
      <c r="AE2615" s="120"/>
      <c r="AF2615" s="119"/>
      <c r="AG2615" s="119"/>
      <c r="AH2615" s="120"/>
      <c r="AI2615" s="121"/>
      <c r="AJ2615" s="121"/>
      <c r="AK2615" s="121"/>
      <c r="AL2615" s="121"/>
      <c r="AM2615" s="122"/>
      <c r="AN2615" s="121"/>
    </row>
    <row r="2616" spans="29:40">
      <c r="AC2616" s="119"/>
      <c r="AD2616" s="119"/>
      <c r="AE2616" s="120"/>
      <c r="AF2616" s="119"/>
      <c r="AG2616" s="119"/>
      <c r="AH2616" s="120"/>
      <c r="AI2616" s="121"/>
      <c r="AJ2616" s="121"/>
      <c r="AK2616" s="121"/>
      <c r="AL2616" s="121"/>
      <c r="AM2616" s="122"/>
      <c r="AN2616" s="121"/>
    </row>
    <row r="2617" spans="29:40">
      <c r="AC2617" s="119"/>
      <c r="AD2617" s="119"/>
      <c r="AE2617" s="120"/>
      <c r="AF2617" s="119"/>
      <c r="AG2617" s="119"/>
      <c r="AH2617" s="120"/>
      <c r="AI2617" s="121"/>
      <c r="AJ2617" s="121"/>
      <c r="AK2617" s="121"/>
      <c r="AL2617" s="121"/>
      <c r="AM2617" s="122"/>
      <c r="AN2617" s="121"/>
    </row>
    <row r="2618" spans="29:40">
      <c r="AC2618" s="119"/>
      <c r="AD2618" s="119"/>
      <c r="AE2618" s="120"/>
      <c r="AF2618" s="119"/>
      <c r="AG2618" s="119"/>
      <c r="AH2618" s="120"/>
      <c r="AI2618" s="121"/>
      <c r="AJ2618" s="121"/>
      <c r="AK2618" s="121"/>
      <c r="AL2618" s="121"/>
      <c r="AM2618" s="122"/>
      <c r="AN2618" s="121"/>
    </row>
    <row r="2619" spans="29:40">
      <c r="AC2619" s="119"/>
      <c r="AD2619" s="119"/>
      <c r="AE2619" s="120"/>
      <c r="AF2619" s="119"/>
      <c r="AG2619" s="119"/>
      <c r="AH2619" s="120"/>
      <c r="AI2619" s="121"/>
      <c r="AJ2619" s="121"/>
      <c r="AK2619" s="121"/>
      <c r="AL2619" s="121"/>
      <c r="AM2619" s="122"/>
      <c r="AN2619" s="121"/>
    </row>
    <row r="2620" spans="29:40">
      <c r="AC2620" s="119"/>
      <c r="AD2620" s="119"/>
      <c r="AE2620" s="120"/>
      <c r="AF2620" s="119"/>
      <c r="AG2620" s="119"/>
      <c r="AH2620" s="120"/>
      <c r="AI2620" s="121"/>
      <c r="AJ2620" s="121"/>
      <c r="AK2620" s="121"/>
      <c r="AL2620" s="121"/>
      <c r="AM2620" s="122"/>
      <c r="AN2620" s="121"/>
    </row>
    <row r="2621" spans="29:40">
      <c r="AC2621" s="119"/>
      <c r="AD2621" s="119"/>
      <c r="AE2621" s="120"/>
      <c r="AF2621" s="119"/>
      <c r="AG2621" s="119"/>
      <c r="AH2621" s="120"/>
      <c r="AI2621" s="121"/>
      <c r="AJ2621" s="121"/>
      <c r="AK2621" s="121"/>
      <c r="AL2621" s="121"/>
      <c r="AM2621" s="122"/>
      <c r="AN2621" s="121"/>
    </row>
    <row r="2622" spans="29:40">
      <c r="AC2622" s="119"/>
      <c r="AD2622" s="119"/>
      <c r="AE2622" s="120"/>
      <c r="AF2622" s="119"/>
      <c r="AG2622" s="119"/>
      <c r="AH2622" s="120"/>
      <c r="AI2622" s="121"/>
      <c r="AJ2622" s="121"/>
      <c r="AK2622" s="121"/>
      <c r="AL2622" s="121"/>
      <c r="AM2622" s="122"/>
      <c r="AN2622" s="121"/>
    </row>
    <row r="2623" spans="29:40">
      <c r="AC2623" s="119"/>
      <c r="AD2623" s="119"/>
      <c r="AE2623" s="120"/>
      <c r="AF2623" s="119"/>
      <c r="AG2623" s="119"/>
      <c r="AH2623" s="120"/>
      <c r="AI2623" s="121"/>
      <c r="AJ2623" s="121"/>
      <c r="AK2623" s="121"/>
      <c r="AL2623" s="121"/>
      <c r="AM2623" s="122"/>
      <c r="AN2623" s="121"/>
    </row>
    <row r="2624" spans="29:40">
      <c r="AC2624" s="119"/>
      <c r="AD2624" s="119"/>
      <c r="AE2624" s="120"/>
      <c r="AF2624" s="119"/>
      <c r="AG2624" s="119"/>
      <c r="AH2624" s="120"/>
      <c r="AI2624" s="121"/>
      <c r="AJ2624" s="121"/>
      <c r="AK2624" s="121"/>
      <c r="AL2624" s="121"/>
      <c r="AM2624" s="122"/>
      <c r="AN2624" s="121"/>
    </row>
    <row r="2625" spans="29:40">
      <c r="AC2625" s="119"/>
      <c r="AD2625" s="119"/>
      <c r="AE2625" s="120"/>
      <c r="AF2625" s="119"/>
      <c r="AG2625" s="119"/>
      <c r="AH2625" s="120"/>
      <c r="AI2625" s="121"/>
      <c r="AJ2625" s="121"/>
      <c r="AK2625" s="121"/>
      <c r="AL2625" s="121"/>
      <c r="AM2625" s="122"/>
      <c r="AN2625" s="121"/>
    </row>
    <row r="2626" spans="29:40">
      <c r="AC2626" s="119"/>
      <c r="AD2626" s="119"/>
      <c r="AE2626" s="120"/>
      <c r="AF2626" s="119"/>
      <c r="AG2626" s="119"/>
      <c r="AH2626" s="120"/>
      <c r="AI2626" s="121"/>
      <c r="AJ2626" s="121"/>
      <c r="AK2626" s="121"/>
      <c r="AL2626" s="121"/>
      <c r="AM2626" s="122"/>
      <c r="AN2626" s="121"/>
    </row>
    <row r="2627" spans="29:40">
      <c r="AC2627" s="119"/>
      <c r="AD2627" s="119"/>
      <c r="AE2627" s="120"/>
      <c r="AF2627" s="119"/>
      <c r="AG2627" s="119"/>
      <c r="AH2627" s="120"/>
      <c r="AI2627" s="121"/>
      <c r="AJ2627" s="121"/>
      <c r="AK2627" s="121"/>
      <c r="AL2627" s="121"/>
      <c r="AM2627" s="122"/>
      <c r="AN2627" s="121"/>
    </row>
    <row r="2628" spans="29:40">
      <c r="AC2628" s="119"/>
      <c r="AD2628" s="119"/>
      <c r="AE2628" s="120"/>
      <c r="AF2628" s="119"/>
      <c r="AG2628" s="119"/>
      <c r="AH2628" s="120"/>
      <c r="AI2628" s="121"/>
      <c r="AJ2628" s="121"/>
      <c r="AK2628" s="121"/>
      <c r="AL2628" s="121"/>
      <c r="AM2628" s="122"/>
      <c r="AN2628" s="121"/>
    </row>
    <row r="2629" spans="29:40">
      <c r="AC2629" s="119"/>
      <c r="AD2629" s="119"/>
      <c r="AE2629" s="120"/>
      <c r="AF2629" s="119"/>
      <c r="AG2629" s="119"/>
      <c r="AH2629" s="120"/>
      <c r="AI2629" s="121"/>
      <c r="AJ2629" s="121"/>
      <c r="AK2629" s="121"/>
      <c r="AL2629" s="121"/>
      <c r="AM2629" s="122"/>
      <c r="AN2629" s="121"/>
    </row>
    <row r="2630" spans="29:40">
      <c r="AC2630" s="119"/>
      <c r="AD2630" s="119"/>
      <c r="AE2630" s="120"/>
      <c r="AF2630" s="119"/>
      <c r="AG2630" s="119"/>
      <c r="AH2630" s="120"/>
      <c r="AI2630" s="121"/>
      <c r="AJ2630" s="121"/>
      <c r="AK2630" s="121"/>
      <c r="AL2630" s="121"/>
      <c r="AM2630" s="122"/>
      <c r="AN2630" s="121"/>
    </row>
    <row r="2631" spans="29:40">
      <c r="AC2631" s="119"/>
      <c r="AD2631" s="119"/>
      <c r="AE2631" s="120"/>
      <c r="AF2631" s="119"/>
      <c r="AG2631" s="119"/>
      <c r="AH2631" s="120"/>
      <c r="AI2631" s="121"/>
      <c r="AJ2631" s="121"/>
      <c r="AK2631" s="121"/>
      <c r="AL2631" s="121"/>
      <c r="AM2631" s="122"/>
      <c r="AN2631" s="121"/>
    </row>
    <row r="2632" spans="29:40">
      <c r="AC2632" s="119"/>
      <c r="AD2632" s="119"/>
      <c r="AE2632" s="120"/>
      <c r="AF2632" s="119"/>
      <c r="AG2632" s="119"/>
      <c r="AH2632" s="120"/>
      <c r="AI2632" s="121"/>
      <c r="AJ2632" s="121"/>
      <c r="AK2632" s="121"/>
      <c r="AL2632" s="121"/>
      <c r="AM2632" s="122"/>
      <c r="AN2632" s="121"/>
    </row>
    <row r="2633" spans="29:40">
      <c r="AC2633" s="119"/>
      <c r="AD2633" s="119"/>
      <c r="AE2633" s="120"/>
      <c r="AF2633" s="119"/>
      <c r="AG2633" s="119"/>
      <c r="AH2633" s="120"/>
      <c r="AI2633" s="121"/>
      <c r="AJ2633" s="121"/>
      <c r="AK2633" s="121"/>
      <c r="AL2633" s="121"/>
      <c r="AM2633" s="122"/>
      <c r="AN2633" s="121"/>
    </row>
    <row r="2634" spans="29:40">
      <c r="AC2634" s="119"/>
      <c r="AD2634" s="119"/>
      <c r="AE2634" s="120"/>
      <c r="AF2634" s="119"/>
      <c r="AG2634" s="119"/>
      <c r="AH2634" s="120"/>
      <c r="AI2634" s="121"/>
      <c r="AJ2634" s="121"/>
      <c r="AK2634" s="121"/>
      <c r="AL2634" s="121"/>
      <c r="AM2634" s="122"/>
      <c r="AN2634" s="121"/>
    </row>
    <row r="2635" spans="29:40">
      <c r="AC2635" s="119"/>
      <c r="AD2635" s="119"/>
      <c r="AE2635" s="120"/>
      <c r="AF2635" s="119"/>
      <c r="AG2635" s="119"/>
      <c r="AH2635" s="120"/>
      <c r="AI2635" s="121"/>
      <c r="AJ2635" s="121"/>
      <c r="AK2635" s="121"/>
      <c r="AL2635" s="121"/>
      <c r="AM2635" s="122"/>
      <c r="AN2635" s="121"/>
    </row>
    <row r="2636" spans="29:40">
      <c r="AC2636" s="119"/>
      <c r="AD2636" s="119"/>
      <c r="AE2636" s="120"/>
      <c r="AF2636" s="119"/>
      <c r="AG2636" s="119"/>
      <c r="AH2636" s="120"/>
      <c r="AI2636" s="121"/>
      <c r="AJ2636" s="121"/>
      <c r="AK2636" s="121"/>
      <c r="AL2636" s="121"/>
      <c r="AM2636" s="122"/>
      <c r="AN2636" s="121"/>
    </row>
    <row r="2637" spans="29:40">
      <c r="AC2637" s="119"/>
      <c r="AD2637" s="119"/>
      <c r="AE2637" s="120"/>
      <c r="AF2637" s="119"/>
      <c r="AG2637" s="119"/>
      <c r="AH2637" s="120"/>
      <c r="AI2637" s="121"/>
      <c r="AJ2637" s="121"/>
      <c r="AK2637" s="121"/>
      <c r="AL2637" s="121"/>
      <c r="AM2637" s="122"/>
      <c r="AN2637" s="121"/>
    </row>
    <row r="2638" spans="29:40">
      <c r="AC2638" s="119"/>
      <c r="AD2638" s="119"/>
      <c r="AE2638" s="120"/>
      <c r="AF2638" s="119"/>
      <c r="AG2638" s="119"/>
      <c r="AH2638" s="120"/>
      <c r="AI2638" s="121"/>
      <c r="AJ2638" s="121"/>
      <c r="AK2638" s="121"/>
      <c r="AL2638" s="121"/>
      <c r="AM2638" s="122"/>
      <c r="AN2638" s="121"/>
    </row>
    <row r="2639" spans="29:40">
      <c r="AC2639" s="119"/>
      <c r="AD2639" s="119"/>
      <c r="AE2639" s="120"/>
      <c r="AF2639" s="119"/>
      <c r="AG2639" s="119"/>
      <c r="AH2639" s="120"/>
      <c r="AI2639" s="121"/>
      <c r="AJ2639" s="121"/>
      <c r="AK2639" s="121"/>
      <c r="AL2639" s="121"/>
      <c r="AM2639" s="122"/>
      <c r="AN2639" s="121"/>
    </row>
    <row r="2640" spans="29:40">
      <c r="AC2640" s="119"/>
      <c r="AD2640" s="119"/>
      <c r="AE2640" s="120"/>
      <c r="AF2640" s="119"/>
      <c r="AG2640" s="119"/>
      <c r="AH2640" s="120"/>
      <c r="AI2640" s="121"/>
      <c r="AJ2640" s="121"/>
      <c r="AK2640" s="121"/>
      <c r="AL2640" s="121"/>
      <c r="AM2640" s="122"/>
      <c r="AN2640" s="121"/>
    </row>
    <row r="2641" spans="29:40">
      <c r="AC2641" s="119"/>
      <c r="AD2641" s="119"/>
      <c r="AE2641" s="120"/>
      <c r="AF2641" s="119"/>
      <c r="AG2641" s="119"/>
      <c r="AH2641" s="120"/>
      <c r="AI2641" s="121"/>
      <c r="AJ2641" s="121"/>
      <c r="AK2641" s="121"/>
      <c r="AL2641" s="121"/>
      <c r="AM2641" s="122"/>
      <c r="AN2641" s="121"/>
    </row>
    <row r="2642" spans="29:40">
      <c r="AC2642" s="119"/>
      <c r="AD2642" s="119"/>
      <c r="AE2642" s="120"/>
      <c r="AF2642" s="119"/>
      <c r="AG2642" s="119"/>
      <c r="AH2642" s="120"/>
      <c r="AI2642" s="121"/>
      <c r="AJ2642" s="121"/>
      <c r="AK2642" s="121"/>
      <c r="AL2642" s="121"/>
      <c r="AM2642" s="122"/>
      <c r="AN2642" s="121"/>
    </row>
    <row r="2643" spans="29:40">
      <c r="AC2643" s="119"/>
      <c r="AD2643" s="119"/>
      <c r="AE2643" s="120"/>
      <c r="AF2643" s="119"/>
      <c r="AG2643" s="119"/>
      <c r="AH2643" s="120"/>
      <c r="AI2643" s="121"/>
      <c r="AJ2643" s="121"/>
      <c r="AK2643" s="121"/>
      <c r="AL2643" s="121"/>
      <c r="AM2643" s="122"/>
      <c r="AN2643" s="121"/>
    </row>
    <row r="2644" spans="29:40">
      <c r="AC2644" s="119"/>
      <c r="AD2644" s="119"/>
      <c r="AE2644" s="120"/>
      <c r="AF2644" s="119"/>
      <c r="AG2644" s="119"/>
      <c r="AH2644" s="120"/>
      <c r="AI2644" s="121"/>
      <c r="AJ2644" s="121"/>
      <c r="AK2644" s="121"/>
      <c r="AL2644" s="121"/>
      <c r="AM2644" s="122"/>
      <c r="AN2644" s="121"/>
    </row>
    <row r="2645" spans="29:40">
      <c r="AC2645" s="119"/>
      <c r="AD2645" s="119"/>
      <c r="AE2645" s="120"/>
      <c r="AF2645" s="119"/>
      <c r="AG2645" s="119"/>
      <c r="AH2645" s="120"/>
      <c r="AI2645" s="121"/>
      <c r="AJ2645" s="121"/>
      <c r="AK2645" s="121"/>
      <c r="AL2645" s="121"/>
      <c r="AM2645" s="122"/>
      <c r="AN2645" s="121"/>
    </row>
    <row r="2646" spans="29:40">
      <c r="AC2646" s="119"/>
      <c r="AD2646" s="119"/>
      <c r="AE2646" s="120"/>
      <c r="AF2646" s="119"/>
      <c r="AG2646" s="119"/>
      <c r="AH2646" s="120"/>
      <c r="AI2646" s="121"/>
      <c r="AJ2646" s="121"/>
      <c r="AK2646" s="121"/>
      <c r="AL2646" s="121"/>
      <c r="AM2646" s="122"/>
      <c r="AN2646" s="121"/>
    </row>
    <row r="2647" spans="29:40">
      <c r="AC2647" s="119"/>
      <c r="AD2647" s="119"/>
      <c r="AE2647" s="120"/>
      <c r="AF2647" s="119"/>
      <c r="AG2647" s="119"/>
      <c r="AH2647" s="120"/>
      <c r="AI2647" s="121"/>
      <c r="AJ2647" s="121"/>
      <c r="AK2647" s="121"/>
      <c r="AL2647" s="121"/>
      <c r="AM2647" s="122"/>
      <c r="AN2647" s="121"/>
    </row>
    <row r="2648" spans="29:40">
      <c r="AC2648" s="119"/>
      <c r="AD2648" s="119"/>
      <c r="AE2648" s="120"/>
      <c r="AF2648" s="119"/>
      <c r="AG2648" s="119"/>
      <c r="AH2648" s="120"/>
      <c r="AI2648" s="121"/>
      <c r="AJ2648" s="121"/>
      <c r="AK2648" s="121"/>
      <c r="AL2648" s="121"/>
      <c r="AM2648" s="122"/>
      <c r="AN2648" s="121"/>
    </row>
    <row r="2649" spans="29:40">
      <c r="AC2649" s="119"/>
      <c r="AD2649" s="119"/>
      <c r="AE2649" s="120"/>
      <c r="AF2649" s="119"/>
      <c r="AG2649" s="119"/>
      <c r="AH2649" s="120"/>
      <c r="AI2649" s="121"/>
      <c r="AJ2649" s="121"/>
      <c r="AK2649" s="121"/>
      <c r="AL2649" s="121"/>
      <c r="AM2649" s="122"/>
      <c r="AN2649" s="121"/>
    </row>
    <row r="2650" spans="29:40">
      <c r="AC2650" s="119"/>
      <c r="AD2650" s="119"/>
      <c r="AE2650" s="120"/>
      <c r="AF2650" s="119"/>
      <c r="AG2650" s="119"/>
      <c r="AH2650" s="120"/>
      <c r="AI2650" s="121"/>
      <c r="AJ2650" s="121"/>
      <c r="AK2650" s="121"/>
      <c r="AL2650" s="121"/>
      <c r="AM2650" s="122"/>
      <c r="AN2650" s="121"/>
    </row>
    <row r="2651" spans="29:40">
      <c r="AC2651" s="119"/>
      <c r="AD2651" s="119"/>
      <c r="AE2651" s="120"/>
      <c r="AF2651" s="119"/>
      <c r="AG2651" s="119"/>
      <c r="AH2651" s="120"/>
      <c r="AI2651" s="121"/>
      <c r="AJ2651" s="121"/>
      <c r="AK2651" s="121"/>
      <c r="AL2651" s="121"/>
      <c r="AM2651" s="122"/>
      <c r="AN2651" s="121"/>
    </row>
    <row r="2652" spans="29:40">
      <c r="AC2652" s="119"/>
      <c r="AD2652" s="119"/>
      <c r="AE2652" s="120"/>
      <c r="AF2652" s="119"/>
      <c r="AG2652" s="119"/>
      <c r="AH2652" s="120"/>
      <c r="AI2652" s="121"/>
      <c r="AJ2652" s="121"/>
      <c r="AK2652" s="121"/>
      <c r="AL2652" s="121"/>
      <c r="AM2652" s="122"/>
      <c r="AN2652" s="121"/>
    </row>
    <row r="2653" spans="29:40">
      <c r="AC2653" s="119"/>
      <c r="AD2653" s="119"/>
      <c r="AE2653" s="120"/>
      <c r="AF2653" s="119"/>
      <c r="AG2653" s="119"/>
      <c r="AH2653" s="120"/>
      <c r="AI2653" s="121"/>
      <c r="AJ2653" s="121"/>
      <c r="AK2653" s="121"/>
      <c r="AL2653" s="121"/>
      <c r="AM2653" s="122"/>
      <c r="AN2653" s="121"/>
    </row>
    <row r="2654" spans="29:40">
      <c r="AC2654" s="119"/>
      <c r="AD2654" s="119"/>
      <c r="AE2654" s="120"/>
      <c r="AF2654" s="119"/>
      <c r="AG2654" s="119"/>
      <c r="AH2654" s="120"/>
      <c r="AI2654" s="121"/>
      <c r="AJ2654" s="121"/>
      <c r="AK2654" s="121"/>
      <c r="AL2654" s="121"/>
      <c r="AM2654" s="122"/>
      <c r="AN2654" s="121"/>
    </row>
    <row r="2655" spans="29:40">
      <c r="AC2655" s="119"/>
      <c r="AD2655" s="119"/>
      <c r="AE2655" s="120"/>
      <c r="AF2655" s="119"/>
      <c r="AG2655" s="119"/>
      <c r="AH2655" s="120"/>
      <c r="AI2655" s="121"/>
      <c r="AJ2655" s="121"/>
      <c r="AK2655" s="121"/>
      <c r="AL2655" s="121"/>
      <c r="AM2655" s="122"/>
      <c r="AN2655" s="121"/>
    </row>
    <row r="2656" spans="29:40">
      <c r="AC2656" s="119"/>
      <c r="AD2656" s="119"/>
      <c r="AE2656" s="120"/>
      <c r="AF2656" s="119"/>
      <c r="AG2656" s="119"/>
      <c r="AH2656" s="120"/>
      <c r="AI2656" s="121"/>
      <c r="AJ2656" s="121"/>
      <c r="AK2656" s="121"/>
      <c r="AL2656" s="121"/>
      <c r="AM2656" s="122"/>
      <c r="AN2656" s="121"/>
    </row>
    <row r="2657" spans="29:40">
      <c r="AC2657" s="119"/>
      <c r="AD2657" s="119"/>
      <c r="AE2657" s="120"/>
      <c r="AF2657" s="119"/>
      <c r="AG2657" s="119"/>
      <c r="AH2657" s="120"/>
      <c r="AI2657" s="121"/>
      <c r="AJ2657" s="121"/>
      <c r="AK2657" s="121"/>
      <c r="AL2657" s="121"/>
      <c r="AM2657" s="122"/>
      <c r="AN2657" s="121"/>
    </row>
    <row r="2658" spans="29:40">
      <c r="AC2658" s="119"/>
      <c r="AD2658" s="119"/>
      <c r="AE2658" s="120"/>
      <c r="AF2658" s="119"/>
      <c r="AG2658" s="119"/>
      <c r="AH2658" s="120"/>
      <c r="AI2658" s="121"/>
      <c r="AJ2658" s="121"/>
      <c r="AK2658" s="121"/>
      <c r="AL2658" s="121"/>
      <c r="AM2658" s="122"/>
      <c r="AN2658" s="121"/>
    </row>
    <row r="2659" spans="29:40">
      <c r="AC2659" s="119"/>
      <c r="AD2659" s="119"/>
      <c r="AE2659" s="120"/>
      <c r="AF2659" s="119"/>
      <c r="AG2659" s="119"/>
      <c r="AH2659" s="120"/>
      <c r="AI2659" s="121"/>
      <c r="AJ2659" s="121"/>
      <c r="AK2659" s="121"/>
      <c r="AL2659" s="121"/>
      <c r="AM2659" s="122"/>
      <c r="AN2659" s="121"/>
    </row>
    <row r="2660" spans="29:40">
      <c r="AC2660" s="119"/>
      <c r="AD2660" s="119"/>
      <c r="AE2660" s="120"/>
      <c r="AF2660" s="119"/>
      <c r="AG2660" s="119"/>
      <c r="AH2660" s="120"/>
      <c r="AI2660" s="121"/>
      <c r="AJ2660" s="121"/>
      <c r="AK2660" s="121"/>
      <c r="AL2660" s="121"/>
      <c r="AM2660" s="122"/>
      <c r="AN2660" s="121"/>
    </row>
    <row r="2661" spans="29:40">
      <c r="AC2661" s="119"/>
      <c r="AD2661" s="119"/>
      <c r="AE2661" s="120"/>
      <c r="AF2661" s="119"/>
      <c r="AG2661" s="119"/>
      <c r="AH2661" s="120"/>
      <c r="AI2661" s="121"/>
      <c r="AJ2661" s="121"/>
      <c r="AK2661" s="121"/>
      <c r="AL2661" s="121"/>
      <c r="AM2661" s="122"/>
      <c r="AN2661" s="121"/>
    </row>
    <row r="2662" spans="29:40">
      <c r="AC2662" s="119"/>
      <c r="AD2662" s="119"/>
      <c r="AE2662" s="120"/>
      <c r="AF2662" s="119"/>
      <c r="AG2662" s="119"/>
      <c r="AH2662" s="120"/>
      <c r="AI2662" s="121"/>
      <c r="AJ2662" s="121"/>
      <c r="AK2662" s="121"/>
      <c r="AL2662" s="121"/>
      <c r="AM2662" s="122"/>
      <c r="AN2662" s="121"/>
    </row>
    <row r="2663" spans="29:40">
      <c r="AC2663" s="119"/>
      <c r="AD2663" s="119"/>
      <c r="AE2663" s="120"/>
      <c r="AF2663" s="119"/>
      <c r="AG2663" s="119"/>
      <c r="AH2663" s="120"/>
      <c r="AI2663" s="121"/>
      <c r="AJ2663" s="121"/>
      <c r="AK2663" s="121"/>
      <c r="AL2663" s="121"/>
      <c r="AM2663" s="122"/>
      <c r="AN2663" s="121"/>
    </row>
    <row r="2664" spans="29:40">
      <c r="AC2664" s="119"/>
      <c r="AD2664" s="119"/>
      <c r="AE2664" s="120"/>
      <c r="AF2664" s="119"/>
      <c r="AG2664" s="119"/>
      <c r="AH2664" s="120"/>
      <c r="AI2664" s="121"/>
      <c r="AJ2664" s="121"/>
      <c r="AK2664" s="121"/>
      <c r="AL2664" s="121"/>
      <c r="AM2664" s="122"/>
      <c r="AN2664" s="121"/>
    </row>
    <row r="2665" spans="29:40">
      <c r="AC2665" s="119"/>
      <c r="AD2665" s="119"/>
      <c r="AE2665" s="120"/>
      <c r="AF2665" s="119"/>
      <c r="AG2665" s="119"/>
      <c r="AH2665" s="120"/>
      <c r="AI2665" s="121"/>
      <c r="AJ2665" s="121"/>
      <c r="AK2665" s="121"/>
      <c r="AL2665" s="121"/>
      <c r="AM2665" s="122"/>
      <c r="AN2665" s="121"/>
    </row>
    <row r="2666" spans="29:40">
      <c r="AC2666" s="119"/>
      <c r="AD2666" s="119"/>
      <c r="AE2666" s="120"/>
      <c r="AF2666" s="119"/>
      <c r="AG2666" s="119"/>
      <c r="AH2666" s="120"/>
      <c r="AI2666" s="121"/>
      <c r="AJ2666" s="121"/>
      <c r="AK2666" s="121"/>
      <c r="AL2666" s="121"/>
      <c r="AM2666" s="122"/>
      <c r="AN2666" s="121"/>
    </row>
    <row r="2667" spans="29:40">
      <c r="AC2667" s="119"/>
      <c r="AD2667" s="119"/>
      <c r="AE2667" s="120"/>
      <c r="AF2667" s="119"/>
      <c r="AG2667" s="119"/>
      <c r="AH2667" s="120"/>
      <c r="AI2667" s="121"/>
      <c r="AJ2667" s="121"/>
      <c r="AK2667" s="121"/>
      <c r="AL2667" s="121"/>
      <c r="AM2667" s="122"/>
      <c r="AN2667" s="121"/>
    </row>
    <row r="2668" spans="29:40">
      <c r="AC2668" s="119"/>
      <c r="AD2668" s="119"/>
      <c r="AE2668" s="120"/>
      <c r="AF2668" s="119"/>
      <c r="AG2668" s="119"/>
      <c r="AH2668" s="120"/>
      <c r="AI2668" s="121"/>
      <c r="AJ2668" s="121"/>
      <c r="AK2668" s="121"/>
      <c r="AL2668" s="121"/>
      <c r="AM2668" s="122"/>
      <c r="AN2668" s="121"/>
    </row>
    <row r="2669" spans="29:40">
      <c r="AC2669" s="119"/>
      <c r="AD2669" s="119"/>
      <c r="AE2669" s="120"/>
      <c r="AF2669" s="119"/>
      <c r="AG2669" s="119"/>
      <c r="AH2669" s="120"/>
      <c r="AI2669" s="121"/>
      <c r="AJ2669" s="121"/>
      <c r="AK2669" s="121"/>
      <c r="AL2669" s="121"/>
      <c r="AM2669" s="122"/>
      <c r="AN2669" s="121"/>
    </row>
    <row r="2670" spans="29:40">
      <c r="AC2670" s="119"/>
      <c r="AD2670" s="119"/>
      <c r="AE2670" s="120"/>
      <c r="AF2670" s="119"/>
      <c r="AG2670" s="119"/>
      <c r="AH2670" s="120"/>
      <c r="AI2670" s="121"/>
      <c r="AJ2670" s="121"/>
      <c r="AK2670" s="121"/>
      <c r="AL2670" s="121"/>
      <c r="AM2670" s="122"/>
      <c r="AN2670" s="121"/>
    </row>
    <row r="2671" spans="29:40">
      <c r="AC2671" s="119"/>
      <c r="AD2671" s="119"/>
      <c r="AE2671" s="120"/>
      <c r="AF2671" s="119"/>
      <c r="AG2671" s="119"/>
      <c r="AH2671" s="120"/>
      <c r="AI2671" s="121"/>
      <c r="AJ2671" s="121"/>
      <c r="AK2671" s="121"/>
      <c r="AL2671" s="121"/>
      <c r="AM2671" s="122"/>
      <c r="AN2671" s="121"/>
    </row>
    <row r="2672" spans="29:40">
      <c r="AC2672" s="119"/>
      <c r="AD2672" s="119"/>
      <c r="AE2672" s="120"/>
      <c r="AF2672" s="119"/>
      <c r="AG2672" s="119"/>
      <c r="AH2672" s="120"/>
      <c r="AI2672" s="121"/>
      <c r="AJ2672" s="121"/>
      <c r="AK2672" s="121"/>
      <c r="AL2672" s="121"/>
      <c r="AM2672" s="122"/>
      <c r="AN2672" s="121"/>
    </row>
    <row r="2673" spans="29:40">
      <c r="AC2673" s="119"/>
      <c r="AD2673" s="119"/>
      <c r="AE2673" s="120"/>
      <c r="AF2673" s="119"/>
      <c r="AG2673" s="119"/>
      <c r="AH2673" s="120"/>
      <c r="AI2673" s="121"/>
      <c r="AJ2673" s="121"/>
      <c r="AK2673" s="121"/>
      <c r="AL2673" s="121"/>
      <c r="AM2673" s="122"/>
      <c r="AN2673" s="121"/>
    </row>
    <row r="2674" spans="29:40">
      <c r="AC2674" s="119"/>
      <c r="AD2674" s="119"/>
      <c r="AE2674" s="120"/>
      <c r="AF2674" s="119"/>
      <c r="AG2674" s="119"/>
      <c r="AH2674" s="120"/>
      <c r="AI2674" s="121"/>
      <c r="AJ2674" s="121"/>
      <c r="AK2674" s="121"/>
      <c r="AL2674" s="121"/>
      <c r="AM2674" s="122"/>
      <c r="AN2674" s="121"/>
    </row>
    <row r="2675" spans="29:40">
      <c r="AC2675" s="119"/>
      <c r="AD2675" s="119"/>
      <c r="AE2675" s="120"/>
      <c r="AF2675" s="119"/>
      <c r="AG2675" s="119"/>
      <c r="AH2675" s="120"/>
      <c r="AI2675" s="121"/>
      <c r="AJ2675" s="121"/>
      <c r="AK2675" s="121"/>
      <c r="AL2675" s="121"/>
      <c r="AM2675" s="122"/>
      <c r="AN2675" s="121"/>
    </row>
    <row r="2676" spans="29:40">
      <c r="AC2676" s="119"/>
      <c r="AD2676" s="119"/>
      <c r="AE2676" s="120"/>
      <c r="AF2676" s="119"/>
      <c r="AG2676" s="119"/>
      <c r="AH2676" s="120"/>
      <c r="AI2676" s="121"/>
      <c r="AJ2676" s="121"/>
      <c r="AK2676" s="121"/>
      <c r="AL2676" s="121"/>
      <c r="AM2676" s="122"/>
      <c r="AN2676" s="121"/>
    </row>
    <row r="2677" spans="29:40">
      <c r="AC2677" s="119"/>
      <c r="AD2677" s="119"/>
      <c r="AE2677" s="120"/>
      <c r="AF2677" s="119"/>
      <c r="AG2677" s="119"/>
      <c r="AH2677" s="120"/>
      <c r="AI2677" s="121"/>
      <c r="AJ2677" s="121"/>
      <c r="AK2677" s="121"/>
      <c r="AL2677" s="121"/>
      <c r="AM2677" s="122"/>
      <c r="AN2677" s="121"/>
    </row>
    <row r="2678" spans="29:40">
      <c r="AC2678" s="119"/>
      <c r="AD2678" s="119"/>
      <c r="AE2678" s="120"/>
      <c r="AF2678" s="119"/>
      <c r="AG2678" s="119"/>
      <c r="AH2678" s="120"/>
      <c r="AI2678" s="121"/>
      <c r="AJ2678" s="121"/>
      <c r="AK2678" s="121"/>
      <c r="AL2678" s="121"/>
      <c r="AM2678" s="122"/>
      <c r="AN2678" s="121"/>
    </row>
    <row r="2679" spans="29:40">
      <c r="AC2679" s="119"/>
      <c r="AD2679" s="119"/>
      <c r="AE2679" s="120"/>
      <c r="AF2679" s="119"/>
      <c r="AG2679" s="119"/>
      <c r="AH2679" s="120"/>
      <c r="AI2679" s="121"/>
      <c r="AJ2679" s="121"/>
      <c r="AK2679" s="121"/>
      <c r="AL2679" s="121"/>
      <c r="AM2679" s="122"/>
      <c r="AN2679" s="121"/>
    </row>
    <row r="2680" spans="29:40">
      <c r="AC2680" s="119"/>
      <c r="AD2680" s="119"/>
      <c r="AE2680" s="120"/>
      <c r="AF2680" s="119"/>
      <c r="AG2680" s="119"/>
      <c r="AH2680" s="120"/>
      <c r="AI2680" s="121"/>
      <c r="AJ2680" s="121"/>
      <c r="AK2680" s="121"/>
      <c r="AL2680" s="121"/>
      <c r="AM2680" s="122"/>
      <c r="AN2680" s="121"/>
    </row>
    <row r="2681" spans="29:40">
      <c r="AC2681" s="119"/>
      <c r="AD2681" s="119"/>
      <c r="AE2681" s="120"/>
      <c r="AF2681" s="119"/>
      <c r="AG2681" s="119"/>
      <c r="AH2681" s="120"/>
      <c r="AI2681" s="121"/>
      <c r="AJ2681" s="121"/>
      <c r="AK2681" s="121"/>
      <c r="AL2681" s="121"/>
      <c r="AM2681" s="122"/>
      <c r="AN2681" s="121"/>
    </row>
    <row r="2682" spans="29:40">
      <c r="AC2682" s="119"/>
      <c r="AD2682" s="119"/>
      <c r="AE2682" s="120"/>
      <c r="AF2682" s="119"/>
      <c r="AG2682" s="119"/>
      <c r="AH2682" s="120"/>
      <c r="AI2682" s="121"/>
      <c r="AJ2682" s="121"/>
      <c r="AK2682" s="121"/>
      <c r="AL2682" s="121"/>
      <c r="AM2682" s="122"/>
      <c r="AN2682" s="121"/>
    </row>
    <row r="2683" spans="29:40">
      <c r="AC2683" s="119"/>
      <c r="AD2683" s="119"/>
      <c r="AE2683" s="120"/>
      <c r="AF2683" s="119"/>
      <c r="AG2683" s="119"/>
      <c r="AH2683" s="120"/>
      <c r="AI2683" s="121"/>
      <c r="AJ2683" s="121"/>
      <c r="AK2683" s="121"/>
      <c r="AL2683" s="121"/>
      <c r="AM2683" s="122"/>
      <c r="AN2683" s="121"/>
    </row>
    <row r="2684" spans="29:40">
      <c r="AC2684" s="119"/>
      <c r="AD2684" s="119"/>
      <c r="AE2684" s="120"/>
      <c r="AF2684" s="119"/>
      <c r="AG2684" s="119"/>
      <c r="AH2684" s="120"/>
      <c r="AI2684" s="121"/>
      <c r="AJ2684" s="121"/>
      <c r="AK2684" s="121"/>
      <c r="AL2684" s="121"/>
      <c r="AM2684" s="122"/>
      <c r="AN2684" s="121"/>
    </row>
    <row r="2685" spans="29:40">
      <c r="AC2685" s="119"/>
      <c r="AD2685" s="119"/>
      <c r="AE2685" s="120"/>
      <c r="AF2685" s="119"/>
      <c r="AG2685" s="119"/>
      <c r="AH2685" s="120"/>
      <c r="AI2685" s="121"/>
      <c r="AJ2685" s="121"/>
      <c r="AK2685" s="121"/>
      <c r="AL2685" s="121"/>
      <c r="AM2685" s="122"/>
      <c r="AN2685" s="121"/>
    </row>
    <row r="2686" spans="29:40">
      <c r="AC2686" s="119"/>
      <c r="AD2686" s="119"/>
      <c r="AE2686" s="120"/>
      <c r="AF2686" s="119"/>
      <c r="AG2686" s="119"/>
      <c r="AH2686" s="120"/>
      <c r="AI2686" s="121"/>
      <c r="AJ2686" s="121"/>
      <c r="AK2686" s="121"/>
      <c r="AL2686" s="121"/>
      <c r="AM2686" s="122"/>
      <c r="AN2686" s="121"/>
    </row>
    <row r="2687" spans="29:40">
      <c r="AC2687" s="119"/>
      <c r="AD2687" s="119"/>
      <c r="AE2687" s="120"/>
      <c r="AF2687" s="119"/>
      <c r="AG2687" s="119"/>
      <c r="AH2687" s="120"/>
      <c r="AI2687" s="121"/>
      <c r="AJ2687" s="121"/>
      <c r="AK2687" s="121"/>
      <c r="AL2687" s="121"/>
      <c r="AM2687" s="122"/>
      <c r="AN2687" s="121"/>
    </row>
    <row r="2688" spans="29:40">
      <c r="AC2688" s="119"/>
      <c r="AD2688" s="119"/>
      <c r="AE2688" s="120"/>
      <c r="AF2688" s="119"/>
      <c r="AG2688" s="119"/>
      <c r="AH2688" s="120"/>
      <c r="AI2688" s="121"/>
      <c r="AJ2688" s="121"/>
      <c r="AK2688" s="121"/>
      <c r="AL2688" s="121"/>
      <c r="AM2688" s="122"/>
      <c r="AN2688" s="121"/>
    </row>
    <row r="2689" spans="29:40">
      <c r="AC2689" s="119"/>
      <c r="AD2689" s="119"/>
      <c r="AE2689" s="120"/>
      <c r="AF2689" s="119"/>
      <c r="AG2689" s="119"/>
      <c r="AH2689" s="120"/>
      <c r="AI2689" s="121"/>
      <c r="AJ2689" s="121"/>
      <c r="AK2689" s="121"/>
      <c r="AL2689" s="121"/>
      <c r="AM2689" s="122"/>
      <c r="AN2689" s="121"/>
    </row>
    <row r="2690" spans="29:40">
      <c r="AC2690" s="119"/>
      <c r="AD2690" s="119"/>
      <c r="AE2690" s="120"/>
      <c r="AF2690" s="119"/>
      <c r="AG2690" s="119"/>
      <c r="AH2690" s="120"/>
      <c r="AI2690" s="121"/>
      <c r="AJ2690" s="121"/>
      <c r="AK2690" s="121"/>
      <c r="AL2690" s="121"/>
      <c r="AM2690" s="122"/>
      <c r="AN2690" s="121"/>
    </row>
    <row r="2691" spans="29:40">
      <c r="AC2691" s="119"/>
      <c r="AD2691" s="119"/>
      <c r="AE2691" s="120"/>
      <c r="AF2691" s="119"/>
      <c r="AG2691" s="119"/>
      <c r="AH2691" s="120"/>
      <c r="AI2691" s="121"/>
      <c r="AJ2691" s="121"/>
      <c r="AK2691" s="121"/>
      <c r="AL2691" s="121"/>
      <c r="AM2691" s="122"/>
      <c r="AN2691" s="121"/>
    </row>
    <row r="2692" spans="29:40">
      <c r="AC2692" s="119"/>
      <c r="AD2692" s="119"/>
      <c r="AE2692" s="120"/>
      <c r="AF2692" s="119"/>
      <c r="AG2692" s="119"/>
      <c r="AH2692" s="120"/>
      <c r="AI2692" s="121"/>
      <c r="AJ2692" s="121"/>
      <c r="AK2692" s="121"/>
      <c r="AL2692" s="121"/>
      <c r="AM2692" s="122"/>
      <c r="AN2692" s="121"/>
    </row>
    <row r="2693" spans="29:40">
      <c r="AC2693" s="119"/>
      <c r="AD2693" s="119"/>
      <c r="AE2693" s="120"/>
      <c r="AF2693" s="119"/>
      <c r="AG2693" s="119"/>
      <c r="AH2693" s="120"/>
      <c r="AI2693" s="121"/>
      <c r="AJ2693" s="121"/>
      <c r="AK2693" s="121"/>
      <c r="AL2693" s="121"/>
      <c r="AM2693" s="122"/>
      <c r="AN2693" s="121"/>
    </row>
    <row r="2694" spans="29:40">
      <c r="AC2694" s="119"/>
      <c r="AD2694" s="119"/>
      <c r="AE2694" s="120"/>
      <c r="AF2694" s="119"/>
      <c r="AG2694" s="119"/>
      <c r="AH2694" s="120"/>
      <c r="AI2694" s="121"/>
      <c r="AJ2694" s="121"/>
      <c r="AK2694" s="121"/>
      <c r="AL2694" s="121"/>
      <c r="AM2694" s="122"/>
      <c r="AN2694" s="121"/>
    </row>
    <row r="2695" spans="29:40">
      <c r="AC2695" s="119"/>
      <c r="AD2695" s="119"/>
      <c r="AE2695" s="120"/>
      <c r="AF2695" s="119"/>
      <c r="AG2695" s="119"/>
      <c r="AH2695" s="120"/>
      <c r="AI2695" s="121"/>
      <c r="AJ2695" s="121"/>
      <c r="AK2695" s="121"/>
      <c r="AL2695" s="121"/>
      <c r="AM2695" s="122"/>
      <c r="AN2695" s="121"/>
    </row>
    <row r="2696" spans="29:40">
      <c r="AC2696" s="119"/>
      <c r="AD2696" s="119"/>
      <c r="AE2696" s="120"/>
      <c r="AF2696" s="119"/>
      <c r="AG2696" s="119"/>
      <c r="AH2696" s="120"/>
      <c r="AI2696" s="121"/>
      <c r="AJ2696" s="121"/>
      <c r="AK2696" s="121"/>
      <c r="AL2696" s="121"/>
      <c r="AM2696" s="122"/>
      <c r="AN2696" s="121"/>
    </row>
    <row r="2697" spans="29:40">
      <c r="AC2697" s="119"/>
      <c r="AD2697" s="119"/>
      <c r="AE2697" s="120"/>
      <c r="AF2697" s="119"/>
      <c r="AG2697" s="119"/>
      <c r="AH2697" s="120"/>
      <c r="AI2697" s="121"/>
      <c r="AJ2697" s="121"/>
      <c r="AK2697" s="121"/>
      <c r="AL2697" s="121"/>
      <c r="AM2697" s="122"/>
      <c r="AN2697" s="121"/>
    </row>
    <row r="2698" spans="29:40">
      <c r="AC2698" s="119"/>
      <c r="AD2698" s="119"/>
      <c r="AE2698" s="120"/>
      <c r="AF2698" s="119"/>
      <c r="AG2698" s="119"/>
      <c r="AH2698" s="120"/>
      <c r="AI2698" s="121"/>
      <c r="AJ2698" s="121"/>
      <c r="AK2698" s="121"/>
      <c r="AL2698" s="121"/>
      <c r="AM2698" s="122"/>
      <c r="AN2698" s="121"/>
    </row>
    <row r="2699" spans="29:40">
      <c r="AC2699" s="119"/>
      <c r="AD2699" s="119"/>
      <c r="AE2699" s="120"/>
      <c r="AF2699" s="119"/>
      <c r="AG2699" s="119"/>
      <c r="AH2699" s="120"/>
      <c r="AI2699" s="121"/>
      <c r="AJ2699" s="121"/>
      <c r="AK2699" s="121"/>
      <c r="AL2699" s="121"/>
      <c r="AM2699" s="122"/>
      <c r="AN2699" s="121"/>
    </row>
    <row r="2700" spans="29:40">
      <c r="AC2700" s="119"/>
      <c r="AD2700" s="119"/>
      <c r="AE2700" s="120"/>
      <c r="AF2700" s="119"/>
      <c r="AG2700" s="119"/>
      <c r="AH2700" s="120"/>
      <c r="AI2700" s="121"/>
      <c r="AJ2700" s="121"/>
      <c r="AK2700" s="121"/>
      <c r="AL2700" s="121"/>
      <c r="AM2700" s="122"/>
      <c r="AN2700" s="121"/>
    </row>
    <row r="2701" spans="29:40">
      <c r="AC2701" s="119"/>
      <c r="AD2701" s="119"/>
      <c r="AE2701" s="120"/>
      <c r="AF2701" s="119"/>
      <c r="AG2701" s="119"/>
      <c r="AH2701" s="120"/>
      <c r="AI2701" s="121"/>
      <c r="AJ2701" s="121"/>
      <c r="AK2701" s="121"/>
      <c r="AL2701" s="121"/>
      <c r="AM2701" s="122"/>
      <c r="AN2701" s="121"/>
    </row>
    <row r="2702" spans="29:40">
      <c r="AC2702" s="119"/>
      <c r="AD2702" s="119"/>
      <c r="AE2702" s="120"/>
      <c r="AF2702" s="119"/>
      <c r="AG2702" s="119"/>
      <c r="AH2702" s="120"/>
      <c r="AI2702" s="121"/>
      <c r="AJ2702" s="121"/>
      <c r="AK2702" s="121"/>
      <c r="AL2702" s="121"/>
      <c r="AM2702" s="122"/>
      <c r="AN2702" s="121"/>
    </row>
    <row r="2703" spans="29:40">
      <c r="AC2703" s="119"/>
      <c r="AD2703" s="119"/>
      <c r="AE2703" s="120"/>
      <c r="AF2703" s="119"/>
      <c r="AG2703" s="119"/>
      <c r="AH2703" s="120"/>
      <c r="AI2703" s="121"/>
      <c r="AJ2703" s="121"/>
      <c r="AK2703" s="121"/>
      <c r="AL2703" s="121"/>
      <c r="AM2703" s="122"/>
      <c r="AN2703" s="121"/>
    </row>
    <row r="2704" spans="29:40">
      <c r="AC2704" s="119"/>
      <c r="AD2704" s="119"/>
      <c r="AE2704" s="120"/>
      <c r="AF2704" s="119"/>
      <c r="AG2704" s="119"/>
      <c r="AH2704" s="120"/>
      <c r="AI2704" s="121"/>
      <c r="AJ2704" s="121"/>
      <c r="AK2704" s="121"/>
      <c r="AL2704" s="121"/>
      <c r="AM2704" s="122"/>
      <c r="AN2704" s="121"/>
    </row>
    <row r="2705" spans="29:40">
      <c r="AC2705" s="119"/>
      <c r="AD2705" s="119"/>
      <c r="AE2705" s="120"/>
      <c r="AF2705" s="119"/>
      <c r="AG2705" s="119"/>
      <c r="AH2705" s="120"/>
      <c r="AI2705" s="121"/>
      <c r="AJ2705" s="121"/>
      <c r="AK2705" s="121"/>
      <c r="AL2705" s="121"/>
      <c r="AM2705" s="122"/>
      <c r="AN2705" s="121"/>
    </row>
    <row r="2706" spans="29:40">
      <c r="AC2706" s="119"/>
      <c r="AD2706" s="119"/>
      <c r="AE2706" s="120"/>
      <c r="AF2706" s="119"/>
      <c r="AG2706" s="119"/>
      <c r="AH2706" s="120"/>
      <c r="AI2706" s="121"/>
      <c r="AJ2706" s="121"/>
      <c r="AK2706" s="121"/>
      <c r="AL2706" s="121"/>
      <c r="AM2706" s="122"/>
      <c r="AN2706" s="121"/>
    </row>
    <row r="2707" spans="29:40">
      <c r="AC2707" s="119"/>
      <c r="AD2707" s="119"/>
      <c r="AE2707" s="120"/>
      <c r="AF2707" s="119"/>
      <c r="AG2707" s="119"/>
      <c r="AH2707" s="120"/>
      <c r="AI2707" s="121"/>
      <c r="AJ2707" s="121"/>
      <c r="AK2707" s="121"/>
      <c r="AL2707" s="121"/>
      <c r="AM2707" s="122"/>
      <c r="AN2707" s="121"/>
    </row>
    <row r="2708" spans="29:40">
      <c r="AC2708" s="119"/>
      <c r="AD2708" s="119"/>
      <c r="AE2708" s="120"/>
      <c r="AF2708" s="119"/>
      <c r="AG2708" s="119"/>
      <c r="AH2708" s="120"/>
      <c r="AI2708" s="121"/>
      <c r="AJ2708" s="121"/>
      <c r="AK2708" s="121"/>
      <c r="AL2708" s="121"/>
      <c r="AM2708" s="122"/>
      <c r="AN2708" s="121"/>
    </row>
    <row r="2709" spans="29:40">
      <c r="AC2709" s="119"/>
      <c r="AD2709" s="119"/>
      <c r="AE2709" s="120"/>
      <c r="AF2709" s="119"/>
      <c r="AG2709" s="119"/>
      <c r="AH2709" s="120"/>
      <c r="AI2709" s="121"/>
      <c r="AJ2709" s="121"/>
      <c r="AK2709" s="121"/>
      <c r="AL2709" s="121"/>
      <c r="AM2709" s="122"/>
      <c r="AN2709" s="121"/>
    </row>
    <row r="2710" spans="29:40">
      <c r="AC2710" s="119"/>
      <c r="AD2710" s="119"/>
      <c r="AE2710" s="120"/>
      <c r="AF2710" s="119"/>
      <c r="AG2710" s="119"/>
      <c r="AH2710" s="120"/>
      <c r="AI2710" s="121"/>
      <c r="AJ2710" s="121"/>
      <c r="AK2710" s="121"/>
      <c r="AL2710" s="121"/>
      <c r="AM2710" s="122"/>
      <c r="AN2710" s="121"/>
    </row>
    <row r="2711" spans="29:40">
      <c r="AC2711" s="119"/>
      <c r="AD2711" s="119"/>
      <c r="AE2711" s="120"/>
      <c r="AF2711" s="119"/>
      <c r="AG2711" s="119"/>
      <c r="AH2711" s="120"/>
      <c r="AI2711" s="121"/>
      <c r="AJ2711" s="121"/>
      <c r="AK2711" s="121"/>
      <c r="AL2711" s="121"/>
      <c r="AM2711" s="122"/>
      <c r="AN2711" s="121"/>
    </row>
    <row r="2712" spans="29:40">
      <c r="AC2712" s="119"/>
      <c r="AD2712" s="119"/>
      <c r="AE2712" s="120"/>
      <c r="AF2712" s="119"/>
      <c r="AG2712" s="119"/>
      <c r="AH2712" s="120"/>
      <c r="AI2712" s="121"/>
      <c r="AJ2712" s="121"/>
      <c r="AK2712" s="121"/>
      <c r="AL2712" s="121"/>
      <c r="AM2712" s="122"/>
      <c r="AN2712" s="121"/>
    </row>
    <row r="2713" spans="29:40">
      <c r="AC2713" s="119"/>
      <c r="AD2713" s="119"/>
      <c r="AE2713" s="120"/>
      <c r="AF2713" s="119"/>
      <c r="AG2713" s="119"/>
      <c r="AH2713" s="120"/>
      <c r="AI2713" s="121"/>
      <c r="AJ2713" s="121"/>
      <c r="AK2713" s="121"/>
      <c r="AL2713" s="121"/>
      <c r="AM2713" s="122"/>
      <c r="AN2713" s="121"/>
    </row>
    <row r="2714" spans="29:40">
      <c r="AC2714" s="119"/>
      <c r="AD2714" s="119"/>
      <c r="AE2714" s="120"/>
      <c r="AF2714" s="119"/>
      <c r="AG2714" s="119"/>
      <c r="AH2714" s="120"/>
      <c r="AI2714" s="121"/>
      <c r="AJ2714" s="121"/>
      <c r="AK2714" s="121"/>
      <c r="AL2714" s="121"/>
      <c r="AM2714" s="122"/>
      <c r="AN2714" s="121"/>
    </row>
    <row r="2715" spans="29:40">
      <c r="AC2715" s="119"/>
      <c r="AD2715" s="119"/>
      <c r="AE2715" s="120"/>
      <c r="AF2715" s="119"/>
      <c r="AG2715" s="119"/>
      <c r="AH2715" s="120"/>
      <c r="AI2715" s="121"/>
      <c r="AJ2715" s="121"/>
      <c r="AK2715" s="121"/>
      <c r="AL2715" s="121"/>
      <c r="AM2715" s="122"/>
      <c r="AN2715" s="121"/>
    </row>
    <row r="2716" spans="29:40">
      <c r="AC2716" s="119"/>
      <c r="AD2716" s="119"/>
      <c r="AE2716" s="120"/>
      <c r="AF2716" s="119"/>
      <c r="AG2716" s="119"/>
      <c r="AH2716" s="120"/>
      <c r="AI2716" s="121"/>
      <c r="AJ2716" s="121"/>
      <c r="AK2716" s="121"/>
      <c r="AL2716" s="121"/>
      <c r="AM2716" s="122"/>
      <c r="AN2716" s="121"/>
    </row>
    <row r="2717" spans="29:40">
      <c r="AC2717" s="119"/>
      <c r="AD2717" s="119"/>
      <c r="AE2717" s="120"/>
      <c r="AF2717" s="119"/>
      <c r="AG2717" s="119"/>
      <c r="AH2717" s="120"/>
      <c r="AI2717" s="121"/>
      <c r="AJ2717" s="121"/>
      <c r="AK2717" s="121"/>
      <c r="AL2717" s="121"/>
      <c r="AM2717" s="122"/>
      <c r="AN2717" s="121"/>
    </row>
    <row r="2718" spans="29:40">
      <c r="AC2718" s="119"/>
      <c r="AD2718" s="119"/>
      <c r="AE2718" s="120"/>
      <c r="AF2718" s="119"/>
      <c r="AG2718" s="119"/>
      <c r="AH2718" s="120"/>
      <c r="AI2718" s="121"/>
      <c r="AJ2718" s="121"/>
      <c r="AK2718" s="121"/>
      <c r="AL2718" s="121"/>
      <c r="AM2718" s="122"/>
      <c r="AN2718" s="121"/>
    </row>
    <row r="2719" spans="29:40">
      <c r="AC2719" s="119"/>
      <c r="AD2719" s="119"/>
      <c r="AE2719" s="120"/>
      <c r="AF2719" s="119"/>
      <c r="AG2719" s="119"/>
      <c r="AH2719" s="120"/>
      <c r="AI2719" s="121"/>
      <c r="AJ2719" s="121"/>
      <c r="AK2719" s="121"/>
      <c r="AL2719" s="121"/>
      <c r="AM2719" s="122"/>
      <c r="AN2719" s="121"/>
    </row>
    <row r="2720" spans="29:40">
      <c r="AC2720" s="119"/>
      <c r="AD2720" s="119"/>
      <c r="AE2720" s="120"/>
      <c r="AF2720" s="119"/>
      <c r="AG2720" s="119"/>
      <c r="AH2720" s="120"/>
      <c r="AI2720" s="121"/>
      <c r="AJ2720" s="121"/>
      <c r="AK2720" s="121"/>
      <c r="AL2720" s="121"/>
      <c r="AM2720" s="122"/>
      <c r="AN2720" s="121"/>
    </row>
    <row r="2721" spans="29:40">
      <c r="AC2721" s="119"/>
      <c r="AD2721" s="119"/>
      <c r="AE2721" s="120"/>
      <c r="AF2721" s="119"/>
      <c r="AG2721" s="119"/>
      <c r="AH2721" s="120"/>
      <c r="AI2721" s="121"/>
      <c r="AJ2721" s="121"/>
      <c r="AK2721" s="121"/>
      <c r="AL2721" s="121"/>
      <c r="AM2721" s="122"/>
      <c r="AN2721" s="121"/>
    </row>
    <row r="2722" spans="29:40">
      <c r="AC2722" s="119"/>
      <c r="AD2722" s="119"/>
      <c r="AE2722" s="120"/>
      <c r="AF2722" s="119"/>
      <c r="AG2722" s="119"/>
      <c r="AH2722" s="120"/>
      <c r="AI2722" s="121"/>
      <c r="AJ2722" s="121"/>
      <c r="AK2722" s="121"/>
      <c r="AL2722" s="121"/>
      <c r="AM2722" s="122"/>
      <c r="AN2722" s="121"/>
    </row>
    <row r="2723" spans="29:40">
      <c r="AC2723" s="119"/>
      <c r="AD2723" s="119"/>
      <c r="AE2723" s="120"/>
      <c r="AF2723" s="119"/>
      <c r="AG2723" s="119"/>
      <c r="AH2723" s="120"/>
      <c r="AI2723" s="121"/>
      <c r="AJ2723" s="121"/>
      <c r="AK2723" s="121"/>
      <c r="AL2723" s="121"/>
      <c r="AM2723" s="122"/>
      <c r="AN2723" s="121"/>
    </row>
    <row r="2724" spans="29:40">
      <c r="AC2724" s="119"/>
      <c r="AD2724" s="119"/>
      <c r="AE2724" s="120"/>
      <c r="AF2724" s="119"/>
      <c r="AG2724" s="119"/>
      <c r="AH2724" s="120"/>
      <c r="AI2724" s="121"/>
      <c r="AJ2724" s="121"/>
      <c r="AK2724" s="121"/>
      <c r="AL2724" s="121"/>
      <c r="AM2724" s="122"/>
      <c r="AN2724" s="121"/>
    </row>
    <row r="2725" spans="29:40">
      <c r="AC2725" s="119"/>
      <c r="AD2725" s="119"/>
      <c r="AE2725" s="120"/>
      <c r="AF2725" s="119"/>
      <c r="AG2725" s="119"/>
      <c r="AH2725" s="120"/>
      <c r="AI2725" s="121"/>
      <c r="AJ2725" s="121"/>
      <c r="AK2725" s="121"/>
      <c r="AL2725" s="121"/>
      <c r="AM2725" s="122"/>
      <c r="AN2725" s="121"/>
    </row>
    <row r="2726" spans="29:40">
      <c r="AC2726" s="119"/>
      <c r="AD2726" s="119"/>
      <c r="AE2726" s="120"/>
      <c r="AF2726" s="119"/>
      <c r="AG2726" s="119"/>
      <c r="AH2726" s="120"/>
      <c r="AI2726" s="121"/>
      <c r="AJ2726" s="121"/>
      <c r="AK2726" s="121"/>
      <c r="AL2726" s="121"/>
      <c r="AM2726" s="122"/>
      <c r="AN2726" s="121"/>
    </row>
    <row r="2727" spans="29:40">
      <c r="AC2727" s="119"/>
      <c r="AD2727" s="119"/>
      <c r="AE2727" s="120"/>
      <c r="AF2727" s="119"/>
      <c r="AG2727" s="119"/>
      <c r="AH2727" s="120"/>
      <c r="AI2727" s="121"/>
      <c r="AJ2727" s="121"/>
      <c r="AK2727" s="121"/>
      <c r="AL2727" s="121"/>
      <c r="AM2727" s="122"/>
      <c r="AN2727" s="121"/>
    </row>
    <row r="2728" spans="29:40">
      <c r="AC2728" s="119"/>
      <c r="AD2728" s="119"/>
      <c r="AE2728" s="120"/>
      <c r="AF2728" s="119"/>
      <c r="AG2728" s="119"/>
      <c r="AH2728" s="120"/>
      <c r="AI2728" s="121"/>
      <c r="AJ2728" s="121"/>
      <c r="AK2728" s="121"/>
      <c r="AL2728" s="121"/>
      <c r="AM2728" s="122"/>
      <c r="AN2728" s="121"/>
    </row>
    <row r="2729" spans="29:40">
      <c r="AC2729" s="119"/>
      <c r="AD2729" s="119"/>
      <c r="AE2729" s="120"/>
      <c r="AF2729" s="119"/>
      <c r="AG2729" s="119"/>
      <c r="AH2729" s="120"/>
      <c r="AI2729" s="121"/>
      <c r="AJ2729" s="121"/>
      <c r="AK2729" s="121"/>
      <c r="AL2729" s="121"/>
      <c r="AM2729" s="122"/>
      <c r="AN2729" s="121"/>
    </row>
    <row r="2730" spans="29:40">
      <c r="AC2730" s="119"/>
      <c r="AD2730" s="119"/>
      <c r="AE2730" s="120"/>
      <c r="AF2730" s="119"/>
      <c r="AG2730" s="119"/>
      <c r="AH2730" s="120"/>
      <c r="AI2730" s="121"/>
      <c r="AJ2730" s="121"/>
      <c r="AK2730" s="121"/>
      <c r="AL2730" s="121"/>
      <c r="AM2730" s="122"/>
      <c r="AN2730" s="121"/>
    </row>
    <row r="2731" spans="29:40">
      <c r="AC2731" s="119"/>
      <c r="AD2731" s="119"/>
      <c r="AE2731" s="120"/>
      <c r="AF2731" s="119"/>
      <c r="AG2731" s="119"/>
      <c r="AH2731" s="120"/>
      <c r="AI2731" s="121"/>
      <c r="AJ2731" s="121"/>
      <c r="AK2731" s="121"/>
      <c r="AL2731" s="121"/>
      <c r="AM2731" s="122"/>
      <c r="AN2731" s="121"/>
    </row>
    <row r="2732" spans="29:40">
      <c r="AC2732" s="119"/>
      <c r="AD2732" s="119"/>
      <c r="AE2732" s="120"/>
      <c r="AF2732" s="119"/>
      <c r="AG2732" s="119"/>
      <c r="AH2732" s="120"/>
      <c r="AI2732" s="121"/>
      <c r="AJ2732" s="121"/>
      <c r="AK2732" s="121"/>
      <c r="AL2732" s="121"/>
      <c r="AM2732" s="122"/>
      <c r="AN2732" s="121"/>
    </row>
    <row r="2733" spans="29:40">
      <c r="AC2733" s="119"/>
      <c r="AD2733" s="119"/>
      <c r="AE2733" s="120"/>
      <c r="AF2733" s="119"/>
      <c r="AG2733" s="119"/>
      <c r="AH2733" s="120"/>
      <c r="AI2733" s="121"/>
      <c r="AJ2733" s="121"/>
      <c r="AK2733" s="121"/>
      <c r="AL2733" s="121"/>
      <c r="AM2733" s="122"/>
      <c r="AN2733" s="121"/>
    </row>
    <row r="2734" spans="29:40">
      <c r="AC2734" s="119"/>
      <c r="AD2734" s="119"/>
      <c r="AE2734" s="120"/>
      <c r="AF2734" s="119"/>
      <c r="AG2734" s="119"/>
      <c r="AH2734" s="120"/>
      <c r="AI2734" s="121"/>
      <c r="AJ2734" s="121"/>
      <c r="AK2734" s="121"/>
      <c r="AL2734" s="121"/>
      <c r="AM2734" s="122"/>
      <c r="AN2734" s="121"/>
    </row>
    <row r="2735" spans="29:40">
      <c r="AC2735" s="119"/>
      <c r="AD2735" s="119"/>
      <c r="AE2735" s="120"/>
      <c r="AF2735" s="119"/>
      <c r="AG2735" s="119"/>
      <c r="AH2735" s="120"/>
      <c r="AI2735" s="121"/>
      <c r="AJ2735" s="121"/>
      <c r="AK2735" s="121"/>
      <c r="AL2735" s="121"/>
      <c r="AM2735" s="122"/>
      <c r="AN2735" s="121"/>
    </row>
    <row r="2736" spans="29:40">
      <c r="AC2736" s="119"/>
      <c r="AD2736" s="119"/>
      <c r="AE2736" s="120"/>
      <c r="AF2736" s="119"/>
      <c r="AG2736" s="119"/>
      <c r="AH2736" s="120"/>
      <c r="AI2736" s="121"/>
      <c r="AJ2736" s="121"/>
      <c r="AK2736" s="121"/>
      <c r="AL2736" s="121"/>
      <c r="AM2736" s="122"/>
      <c r="AN2736" s="121"/>
    </row>
    <row r="2737" spans="29:40">
      <c r="AC2737" s="119"/>
      <c r="AD2737" s="119"/>
      <c r="AE2737" s="120"/>
      <c r="AF2737" s="119"/>
      <c r="AG2737" s="119"/>
      <c r="AH2737" s="120"/>
      <c r="AI2737" s="121"/>
      <c r="AJ2737" s="121"/>
      <c r="AK2737" s="121"/>
      <c r="AL2737" s="121"/>
      <c r="AM2737" s="122"/>
      <c r="AN2737" s="121"/>
    </row>
    <row r="2738" spans="29:40">
      <c r="AC2738" s="119"/>
      <c r="AD2738" s="119"/>
      <c r="AE2738" s="120"/>
      <c r="AF2738" s="119"/>
      <c r="AG2738" s="119"/>
      <c r="AH2738" s="120"/>
      <c r="AI2738" s="121"/>
      <c r="AJ2738" s="121"/>
      <c r="AK2738" s="121"/>
      <c r="AL2738" s="121"/>
      <c r="AM2738" s="122"/>
      <c r="AN2738" s="121"/>
    </row>
    <row r="2739" spans="29:40">
      <c r="AC2739" s="119"/>
      <c r="AD2739" s="119"/>
      <c r="AE2739" s="120"/>
      <c r="AF2739" s="119"/>
      <c r="AG2739" s="119"/>
      <c r="AH2739" s="120"/>
      <c r="AI2739" s="121"/>
      <c r="AJ2739" s="121"/>
      <c r="AK2739" s="121"/>
      <c r="AL2739" s="121"/>
      <c r="AM2739" s="122"/>
      <c r="AN2739" s="121"/>
    </row>
    <row r="2740" spans="29:40">
      <c r="AC2740" s="119"/>
      <c r="AD2740" s="119"/>
      <c r="AE2740" s="120"/>
      <c r="AF2740" s="119"/>
      <c r="AG2740" s="119"/>
      <c r="AH2740" s="120"/>
      <c r="AI2740" s="121"/>
      <c r="AJ2740" s="121"/>
      <c r="AK2740" s="121"/>
      <c r="AL2740" s="121"/>
      <c r="AM2740" s="122"/>
      <c r="AN2740" s="121"/>
    </row>
    <row r="2741" spans="29:40">
      <c r="AC2741" s="119"/>
      <c r="AD2741" s="119"/>
      <c r="AE2741" s="120"/>
      <c r="AF2741" s="119"/>
      <c r="AG2741" s="119"/>
      <c r="AH2741" s="120"/>
      <c r="AI2741" s="121"/>
      <c r="AJ2741" s="121"/>
      <c r="AK2741" s="121"/>
      <c r="AL2741" s="121"/>
      <c r="AM2741" s="122"/>
      <c r="AN2741" s="121"/>
    </row>
    <row r="2742" spans="29:40">
      <c r="AC2742" s="119"/>
      <c r="AD2742" s="119"/>
      <c r="AE2742" s="120"/>
      <c r="AF2742" s="119"/>
      <c r="AG2742" s="119"/>
      <c r="AH2742" s="120"/>
      <c r="AI2742" s="121"/>
      <c r="AJ2742" s="121"/>
      <c r="AK2742" s="121"/>
      <c r="AL2742" s="121"/>
      <c r="AM2742" s="122"/>
      <c r="AN2742" s="121"/>
    </row>
    <row r="2743" spans="29:40">
      <c r="AC2743" s="119"/>
      <c r="AD2743" s="119"/>
      <c r="AE2743" s="120"/>
      <c r="AF2743" s="119"/>
      <c r="AG2743" s="119"/>
      <c r="AH2743" s="120"/>
      <c r="AI2743" s="121"/>
      <c r="AJ2743" s="121"/>
      <c r="AK2743" s="121"/>
      <c r="AL2743" s="121"/>
      <c r="AM2743" s="122"/>
      <c r="AN2743" s="121"/>
    </row>
    <row r="2744" spans="29:40">
      <c r="AC2744" s="119"/>
      <c r="AD2744" s="119"/>
      <c r="AE2744" s="120"/>
      <c r="AF2744" s="119"/>
      <c r="AG2744" s="119"/>
      <c r="AH2744" s="120"/>
      <c r="AI2744" s="121"/>
      <c r="AJ2744" s="121"/>
      <c r="AK2744" s="121"/>
      <c r="AL2744" s="121"/>
      <c r="AM2744" s="122"/>
      <c r="AN2744" s="121"/>
    </row>
    <row r="2745" spans="29:40">
      <c r="AC2745" s="119"/>
      <c r="AD2745" s="119"/>
      <c r="AE2745" s="120"/>
      <c r="AF2745" s="119"/>
      <c r="AG2745" s="119"/>
      <c r="AH2745" s="120"/>
      <c r="AI2745" s="121"/>
      <c r="AJ2745" s="121"/>
      <c r="AK2745" s="121"/>
      <c r="AL2745" s="121"/>
      <c r="AM2745" s="122"/>
      <c r="AN2745" s="121"/>
    </row>
    <row r="2746" spans="29:40">
      <c r="AC2746" s="119"/>
      <c r="AD2746" s="119"/>
      <c r="AE2746" s="120"/>
      <c r="AF2746" s="119"/>
      <c r="AG2746" s="119"/>
      <c r="AH2746" s="120"/>
      <c r="AI2746" s="121"/>
      <c r="AJ2746" s="121"/>
      <c r="AK2746" s="121"/>
      <c r="AL2746" s="121"/>
      <c r="AM2746" s="122"/>
      <c r="AN2746" s="121"/>
    </row>
    <row r="2747" spans="29:40">
      <c r="AC2747" s="119"/>
      <c r="AD2747" s="119"/>
      <c r="AE2747" s="120"/>
      <c r="AF2747" s="119"/>
      <c r="AG2747" s="119"/>
      <c r="AH2747" s="120"/>
      <c r="AI2747" s="121"/>
      <c r="AJ2747" s="121"/>
      <c r="AK2747" s="121"/>
      <c r="AL2747" s="121"/>
      <c r="AM2747" s="122"/>
      <c r="AN2747" s="121"/>
    </row>
    <row r="2748" spans="29:40">
      <c r="AC2748" s="119"/>
      <c r="AD2748" s="119"/>
      <c r="AE2748" s="120"/>
      <c r="AF2748" s="119"/>
      <c r="AG2748" s="119"/>
      <c r="AH2748" s="120"/>
      <c r="AI2748" s="121"/>
      <c r="AJ2748" s="121"/>
      <c r="AK2748" s="121"/>
      <c r="AL2748" s="121"/>
      <c r="AM2748" s="122"/>
      <c r="AN2748" s="121"/>
    </row>
    <row r="2749" spans="29:40">
      <c r="AC2749" s="119"/>
      <c r="AD2749" s="119"/>
      <c r="AE2749" s="120"/>
      <c r="AF2749" s="119"/>
      <c r="AG2749" s="119"/>
      <c r="AH2749" s="120"/>
      <c r="AI2749" s="121"/>
      <c r="AJ2749" s="121"/>
      <c r="AK2749" s="121"/>
      <c r="AL2749" s="121"/>
      <c r="AM2749" s="122"/>
      <c r="AN2749" s="121"/>
    </row>
    <row r="2750" spans="29:40">
      <c r="AC2750" s="119"/>
      <c r="AD2750" s="119"/>
      <c r="AE2750" s="120"/>
      <c r="AF2750" s="119"/>
      <c r="AG2750" s="119"/>
      <c r="AH2750" s="120"/>
      <c r="AI2750" s="121"/>
      <c r="AJ2750" s="121"/>
      <c r="AK2750" s="121"/>
      <c r="AL2750" s="121"/>
      <c r="AM2750" s="122"/>
      <c r="AN2750" s="121"/>
    </row>
    <row r="2751" spans="29:40">
      <c r="AC2751" s="119"/>
      <c r="AD2751" s="119"/>
      <c r="AE2751" s="120"/>
      <c r="AF2751" s="119"/>
      <c r="AG2751" s="119"/>
      <c r="AH2751" s="120"/>
      <c r="AI2751" s="121"/>
      <c r="AJ2751" s="121"/>
      <c r="AK2751" s="121"/>
      <c r="AL2751" s="121"/>
      <c r="AM2751" s="122"/>
      <c r="AN2751" s="121"/>
    </row>
    <row r="2752" spans="29:40">
      <c r="AC2752" s="119"/>
      <c r="AD2752" s="119"/>
      <c r="AE2752" s="120"/>
      <c r="AF2752" s="119"/>
      <c r="AG2752" s="119"/>
      <c r="AH2752" s="120"/>
      <c r="AI2752" s="121"/>
      <c r="AJ2752" s="121"/>
      <c r="AK2752" s="121"/>
      <c r="AL2752" s="121"/>
      <c r="AM2752" s="122"/>
      <c r="AN2752" s="121"/>
    </row>
    <row r="2753" spans="29:40">
      <c r="AC2753" s="119"/>
      <c r="AD2753" s="119"/>
      <c r="AE2753" s="120"/>
      <c r="AF2753" s="119"/>
      <c r="AG2753" s="119"/>
      <c r="AH2753" s="120"/>
      <c r="AI2753" s="121"/>
      <c r="AJ2753" s="121"/>
      <c r="AK2753" s="121"/>
      <c r="AL2753" s="121"/>
      <c r="AM2753" s="122"/>
      <c r="AN2753" s="121"/>
    </row>
    <row r="2754" spans="29:40">
      <c r="AC2754" s="119"/>
      <c r="AD2754" s="119"/>
      <c r="AE2754" s="120"/>
      <c r="AF2754" s="119"/>
      <c r="AG2754" s="119"/>
      <c r="AH2754" s="120"/>
      <c r="AI2754" s="121"/>
      <c r="AJ2754" s="121"/>
      <c r="AK2754" s="121"/>
      <c r="AL2754" s="121"/>
      <c r="AM2754" s="122"/>
      <c r="AN2754" s="121"/>
    </row>
    <row r="2755" spans="29:40">
      <c r="AC2755" s="119"/>
      <c r="AD2755" s="119"/>
      <c r="AE2755" s="120"/>
      <c r="AF2755" s="119"/>
      <c r="AG2755" s="119"/>
      <c r="AH2755" s="120"/>
      <c r="AI2755" s="121"/>
      <c r="AJ2755" s="121"/>
      <c r="AK2755" s="121"/>
      <c r="AL2755" s="121"/>
      <c r="AM2755" s="122"/>
      <c r="AN2755" s="121"/>
    </row>
    <row r="2756" spans="29:40">
      <c r="AC2756" s="119"/>
      <c r="AD2756" s="119"/>
      <c r="AE2756" s="120"/>
      <c r="AF2756" s="119"/>
      <c r="AG2756" s="119"/>
      <c r="AH2756" s="120"/>
      <c r="AI2756" s="121"/>
      <c r="AJ2756" s="121"/>
      <c r="AK2756" s="121"/>
      <c r="AL2756" s="121"/>
      <c r="AM2756" s="122"/>
      <c r="AN2756" s="121"/>
    </row>
    <row r="2757" spans="29:40">
      <c r="AC2757" s="119"/>
      <c r="AD2757" s="119"/>
      <c r="AE2757" s="120"/>
      <c r="AF2757" s="119"/>
      <c r="AG2757" s="119"/>
      <c r="AH2757" s="120"/>
      <c r="AI2757" s="121"/>
      <c r="AJ2757" s="121"/>
      <c r="AK2757" s="121"/>
      <c r="AL2757" s="121"/>
      <c r="AM2757" s="122"/>
      <c r="AN2757" s="121"/>
    </row>
    <row r="2758" spans="29:40">
      <c r="AC2758" s="119"/>
      <c r="AD2758" s="119"/>
      <c r="AE2758" s="120"/>
      <c r="AF2758" s="119"/>
      <c r="AG2758" s="119"/>
      <c r="AH2758" s="120"/>
      <c r="AI2758" s="121"/>
      <c r="AJ2758" s="121"/>
      <c r="AK2758" s="121"/>
      <c r="AL2758" s="121"/>
      <c r="AM2758" s="122"/>
      <c r="AN2758" s="121"/>
    </row>
    <row r="2759" spans="29:40">
      <c r="AC2759" s="119"/>
      <c r="AD2759" s="119"/>
      <c r="AE2759" s="120"/>
      <c r="AF2759" s="119"/>
      <c r="AG2759" s="119"/>
      <c r="AH2759" s="120"/>
      <c r="AI2759" s="121"/>
      <c r="AJ2759" s="121"/>
      <c r="AK2759" s="121"/>
      <c r="AL2759" s="121"/>
      <c r="AM2759" s="122"/>
      <c r="AN2759" s="121"/>
    </row>
    <row r="2760" spans="29:40">
      <c r="AC2760" s="119"/>
      <c r="AD2760" s="119"/>
      <c r="AE2760" s="120"/>
      <c r="AF2760" s="119"/>
      <c r="AG2760" s="119"/>
      <c r="AH2760" s="120"/>
      <c r="AI2760" s="121"/>
      <c r="AJ2760" s="121"/>
      <c r="AK2760" s="121"/>
      <c r="AL2760" s="121"/>
      <c r="AM2760" s="122"/>
      <c r="AN2760" s="121"/>
    </row>
    <row r="2761" spans="29:40">
      <c r="AC2761" s="119"/>
      <c r="AD2761" s="119"/>
      <c r="AE2761" s="120"/>
      <c r="AF2761" s="119"/>
      <c r="AG2761" s="119"/>
      <c r="AH2761" s="120"/>
      <c r="AI2761" s="121"/>
      <c r="AJ2761" s="121"/>
      <c r="AK2761" s="121"/>
      <c r="AL2761" s="121"/>
      <c r="AM2761" s="122"/>
      <c r="AN2761" s="121"/>
    </row>
    <row r="2762" spans="29:40">
      <c r="AC2762" s="119"/>
      <c r="AD2762" s="119"/>
      <c r="AE2762" s="120"/>
      <c r="AF2762" s="119"/>
      <c r="AG2762" s="119"/>
      <c r="AH2762" s="120"/>
      <c r="AI2762" s="121"/>
      <c r="AJ2762" s="121"/>
      <c r="AK2762" s="121"/>
      <c r="AL2762" s="121"/>
      <c r="AM2762" s="122"/>
      <c r="AN2762" s="121"/>
    </row>
    <row r="2763" spans="29:40">
      <c r="AC2763" s="119"/>
      <c r="AD2763" s="119"/>
      <c r="AE2763" s="120"/>
      <c r="AF2763" s="119"/>
      <c r="AG2763" s="119"/>
      <c r="AH2763" s="120"/>
      <c r="AI2763" s="121"/>
      <c r="AJ2763" s="121"/>
      <c r="AK2763" s="121"/>
      <c r="AL2763" s="121"/>
      <c r="AM2763" s="122"/>
      <c r="AN2763" s="121"/>
    </row>
    <row r="2764" spans="29:40">
      <c r="AC2764" s="119"/>
      <c r="AD2764" s="119"/>
      <c r="AE2764" s="120"/>
      <c r="AF2764" s="119"/>
      <c r="AG2764" s="119"/>
      <c r="AH2764" s="120"/>
      <c r="AI2764" s="121"/>
      <c r="AJ2764" s="121"/>
      <c r="AK2764" s="121"/>
      <c r="AL2764" s="121"/>
      <c r="AM2764" s="122"/>
      <c r="AN2764" s="121"/>
    </row>
    <row r="2765" spans="29:40">
      <c r="AC2765" s="119"/>
      <c r="AD2765" s="119"/>
      <c r="AE2765" s="120"/>
      <c r="AF2765" s="119"/>
      <c r="AG2765" s="119"/>
      <c r="AH2765" s="120"/>
      <c r="AI2765" s="121"/>
      <c r="AJ2765" s="121"/>
      <c r="AK2765" s="121"/>
      <c r="AL2765" s="121"/>
      <c r="AM2765" s="122"/>
      <c r="AN2765" s="121"/>
    </row>
    <row r="2766" spans="29:40">
      <c r="AC2766" s="119"/>
      <c r="AD2766" s="119"/>
      <c r="AE2766" s="120"/>
      <c r="AF2766" s="119"/>
      <c r="AG2766" s="119"/>
      <c r="AH2766" s="120"/>
      <c r="AI2766" s="121"/>
      <c r="AJ2766" s="121"/>
      <c r="AK2766" s="121"/>
      <c r="AL2766" s="121"/>
      <c r="AM2766" s="122"/>
      <c r="AN2766" s="121"/>
    </row>
    <row r="2767" spans="29:40">
      <c r="AC2767" s="119"/>
      <c r="AD2767" s="119"/>
      <c r="AE2767" s="120"/>
      <c r="AF2767" s="119"/>
      <c r="AG2767" s="119"/>
      <c r="AH2767" s="120"/>
      <c r="AI2767" s="121"/>
      <c r="AJ2767" s="121"/>
      <c r="AK2767" s="121"/>
      <c r="AL2767" s="121"/>
      <c r="AM2767" s="122"/>
      <c r="AN2767" s="121"/>
    </row>
    <row r="2768" spans="29:40">
      <c r="AC2768" s="119"/>
      <c r="AD2768" s="119"/>
      <c r="AE2768" s="120"/>
      <c r="AF2768" s="119"/>
      <c r="AG2768" s="119"/>
      <c r="AH2768" s="120"/>
      <c r="AI2768" s="121"/>
      <c r="AJ2768" s="121"/>
      <c r="AK2768" s="121"/>
      <c r="AL2768" s="121"/>
      <c r="AM2768" s="122"/>
      <c r="AN2768" s="121"/>
    </row>
    <row r="2769" spans="29:40">
      <c r="AC2769" s="119"/>
      <c r="AD2769" s="119"/>
      <c r="AE2769" s="120"/>
      <c r="AF2769" s="119"/>
      <c r="AG2769" s="119"/>
      <c r="AH2769" s="120"/>
      <c r="AI2769" s="121"/>
      <c r="AJ2769" s="121"/>
      <c r="AK2769" s="121"/>
      <c r="AL2769" s="121"/>
      <c r="AM2769" s="122"/>
      <c r="AN2769" s="121"/>
    </row>
    <row r="2770" spans="29:40">
      <c r="AC2770" s="119"/>
      <c r="AD2770" s="119"/>
      <c r="AE2770" s="120"/>
      <c r="AF2770" s="119"/>
      <c r="AG2770" s="119"/>
      <c r="AH2770" s="120"/>
      <c r="AI2770" s="121"/>
      <c r="AJ2770" s="121"/>
      <c r="AK2770" s="121"/>
      <c r="AL2770" s="121"/>
      <c r="AM2770" s="122"/>
      <c r="AN2770" s="121"/>
    </row>
    <row r="2771" spans="29:40">
      <c r="AC2771" s="119"/>
      <c r="AD2771" s="119"/>
      <c r="AE2771" s="120"/>
      <c r="AF2771" s="119"/>
      <c r="AG2771" s="119"/>
      <c r="AH2771" s="120"/>
      <c r="AI2771" s="121"/>
      <c r="AJ2771" s="121"/>
      <c r="AK2771" s="121"/>
      <c r="AL2771" s="121"/>
      <c r="AM2771" s="122"/>
      <c r="AN2771" s="121"/>
    </row>
    <row r="2772" spans="29:40">
      <c r="AC2772" s="119"/>
      <c r="AD2772" s="119"/>
      <c r="AE2772" s="120"/>
      <c r="AF2772" s="119"/>
      <c r="AG2772" s="119"/>
      <c r="AH2772" s="120"/>
      <c r="AI2772" s="121"/>
      <c r="AJ2772" s="121"/>
      <c r="AK2772" s="121"/>
      <c r="AL2772" s="121"/>
      <c r="AM2772" s="122"/>
      <c r="AN2772" s="121"/>
    </row>
    <row r="2773" spans="29:40">
      <c r="AC2773" s="119"/>
      <c r="AD2773" s="119"/>
      <c r="AE2773" s="120"/>
      <c r="AF2773" s="119"/>
      <c r="AG2773" s="119"/>
      <c r="AH2773" s="120"/>
      <c r="AI2773" s="121"/>
      <c r="AJ2773" s="121"/>
      <c r="AK2773" s="121"/>
      <c r="AL2773" s="121"/>
      <c r="AM2773" s="122"/>
      <c r="AN2773" s="121"/>
    </row>
    <row r="2774" spans="29:40">
      <c r="AC2774" s="119"/>
      <c r="AD2774" s="119"/>
      <c r="AE2774" s="120"/>
      <c r="AF2774" s="119"/>
      <c r="AG2774" s="119"/>
      <c r="AH2774" s="120"/>
      <c r="AI2774" s="121"/>
      <c r="AJ2774" s="121"/>
      <c r="AK2774" s="121"/>
      <c r="AL2774" s="121"/>
      <c r="AM2774" s="122"/>
      <c r="AN2774" s="121"/>
    </row>
    <row r="2775" spans="29:40">
      <c r="AC2775" s="119"/>
      <c r="AD2775" s="119"/>
      <c r="AE2775" s="120"/>
      <c r="AF2775" s="119"/>
      <c r="AG2775" s="119"/>
      <c r="AH2775" s="120"/>
      <c r="AI2775" s="121"/>
      <c r="AJ2775" s="121"/>
      <c r="AK2775" s="121"/>
      <c r="AL2775" s="121"/>
      <c r="AM2775" s="122"/>
      <c r="AN2775" s="121"/>
    </row>
    <row r="2776" spans="29:40">
      <c r="AC2776" s="119"/>
      <c r="AD2776" s="119"/>
      <c r="AE2776" s="120"/>
      <c r="AF2776" s="119"/>
      <c r="AG2776" s="119"/>
      <c r="AH2776" s="120"/>
      <c r="AI2776" s="121"/>
      <c r="AJ2776" s="121"/>
      <c r="AK2776" s="121"/>
      <c r="AL2776" s="121"/>
      <c r="AM2776" s="122"/>
      <c r="AN2776" s="121"/>
    </row>
    <row r="2777" spans="29:40">
      <c r="AC2777" s="119"/>
      <c r="AD2777" s="119"/>
      <c r="AE2777" s="120"/>
      <c r="AF2777" s="119"/>
      <c r="AG2777" s="119"/>
      <c r="AH2777" s="120"/>
      <c r="AI2777" s="121"/>
      <c r="AJ2777" s="121"/>
      <c r="AK2777" s="121"/>
      <c r="AL2777" s="121"/>
      <c r="AM2777" s="122"/>
      <c r="AN2777" s="121"/>
    </row>
    <row r="2778" spans="29:40">
      <c r="AC2778" s="119"/>
      <c r="AD2778" s="119"/>
      <c r="AE2778" s="120"/>
      <c r="AF2778" s="119"/>
      <c r="AG2778" s="119"/>
      <c r="AH2778" s="120"/>
      <c r="AI2778" s="121"/>
      <c r="AJ2778" s="121"/>
      <c r="AK2778" s="121"/>
      <c r="AL2778" s="121"/>
      <c r="AM2778" s="122"/>
      <c r="AN2778" s="121"/>
    </row>
    <row r="2779" spans="29:40">
      <c r="AC2779" s="119"/>
      <c r="AD2779" s="119"/>
      <c r="AE2779" s="120"/>
      <c r="AF2779" s="119"/>
      <c r="AG2779" s="119"/>
      <c r="AH2779" s="120"/>
      <c r="AI2779" s="121"/>
      <c r="AJ2779" s="121"/>
      <c r="AK2779" s="121"/>
      <c r="AL2779" s="121"/>
      <c r="AM2779" s="122"/>
      <c r="AN2779" s="121"/>
    </row>
    <row r="2780" spans="29:40">
      <c r="AC2780" s="119"/>
      <c r="AD2780" s="119"/>
      <c r="AE2780" s="120"/>
      <c r="AF2780" s="119"/>
      <c r="AG2780" s="119"/>
      <c r="AH2780" s="120"/>
      <c r="AI2780" s="121"/>
      <c r="AJ2780" s="121"/>
      <c r="AK2780" s="121"/>
      <c r="AL2780" s="121"/>
      <c r="AM2780" s="122"/>
      <c r="AN2780" s="121"/>
    </row>
    <row r="2781" spans="29:40">
      <c r="AC2781" s="119"/>
      <c r="AD2781" s="119"/>
      <c r="AE2781" s="120"/>
      <c r="AF2781" s="119"/>
      <c r="AG2781" s="119"/>
      <c r="AH2781" s="120"/>
      <c r="AI2781" s="121"/>
      <c r="AJ2781" s="121"/>
      <c r="AK2781" s="121"/>
      <c r="AL2781" s="121"/>
      <c r="AM2781" s="122"/>
      <c r="AN2781" s="121"/>
    </row>
    <row r="2782" spans="29:40">
      <c r="AC2782" s="119"/>
      <c r="AD2782" s="119"/>
      <c r="AE2782" s="120"/>
      <c r="AF2782" s="119"/>
      <c r="AG2782" s="119"/>
      <c r="AH2782" s="120"/>
      <c r="AI2782" s="121"/>
      <c r="AJ2782" s="121"/>
      <c r="AK2782" s="121"/>
      <c r="AL2782" s="121"/>
      <c r="AM2782" s="122"/>
      <c r="AN2782" s="121"/>
    </row>
    <row r="2783" spans="29:40">
      <c r="AC2783" s="119"/>
      <c r="AD2783" s="119"/>
      <c r="AE2783" s="120"/>
      <c r="AF2783" s="119"/>
      <c r="AG2783" s="119"/>
      <c r="AH2783" s="120"/>
      <c r="AI2783" s="121"/>
      <c r="AJ2783" s="121"/>
      <c r="AK2783" s="121"/>
      <c r="AL2783" s="121"/>
      <c r="AM2783" s="122"/>
      <c r="AN2783" s="121"/>
    </row>
    <row r="2784" spans="29:40">
      <c r="AC2784" s="119"/>
      <c r="AD2784" s="119"/>
      <c r="AE2784" s="120"/>
      <c r="AF2784" s="119"/>
      <c r="AG2784" s="119"/>
      <c r="AH2784" s="120"/>
      <c r="AI2784" s="121"/>
      <c r="AJ2784" s="121"/>
      <c r="AK2784" s="121"/>
      <c r="AL2784" s="121"/>
      <c r="AM2784" s="122"/>
      <c r="AN2784" s="121"/>
    </row>
    <row r="2785" spans="29:40">
      <c r="AC2785" s="119"/>
      <c r="AD2785" s="119"/>
      <c r="AE2785" s="120"/>
      <c r="AF2785" s="119"/>
      <c r="AG2785" s="119"/>
      <c r="AH2785" s="120"/>
      <c r="AI2785" s="121"/>
      <c r="AJ2785" s="121"/>
      <c r="AK2785" s="121"/>
      <c r="AL2785" s="121"/>
      <c r="AM2785" s="122"/>
      <c r="AN2785" s="121"/>
    </row>
    <row r="2786" spans="29:40">
      <c r="AC2786" s="119"/>
      <c r="AD2786" s="119"/>
      <c r="AE2786" s="120"/>
      <c r="AF2786" s="119"/>
      <c r="AG2786" s="119"/>
      <c r="AH2786" s="120"/>
      <c r="AI2786" s="121"/>
      <c r="AJ2786" s="121"/>
      <c r="AK2786" s="121"/>
      <c r="AL2786" s="121"/>
      <c r="AM2786" s="122"/>
      <c r="AN2786" s="121"/>
    </row>
    <row r="2787" spans="29:40">
      <c r="AC2787" s="119"/>
      <c r="AD2787" s="119"/>
      <c r="AE2787" s="120"/>
      <c r="AF2787" s="119"/>
      <c r="AG2787" s="119"/>
      <c r="AH2787" s="120"/>
      <c r="AI2787" s="121"/>
      <c r="AJ2787" s="121"/>
      <c r="AK2787" s="121"/>
      <c r="AL2787" s="121"/>
      <c r="AM2787" s="122"/>
      <c r="AN2787" s="121"/>
    </row>
    <row r="2788" spans="29:40">
      <c r="AC2788" s="119"/>
      <c r="AD2788" s="119"/>
      <c r="AE2788" s="120"/>
      <c r="AF2788" s="119"/>
      <c r="AG2788" s="119"/>
      <c r="AH2788" s="120"/>
      <c r="AI2788" s="121"/>
      <c r="AJ2788" s="121"/>
      <c r="AK2788" s="121"/>
      <c r="AL2788" s="121"/>
      <c r="AM2788" s="122"/>
      <c r="AN2788" s="121"/>
    </row>
    <row r="2789" spans="29:40">
      <c r="AC2789" s="119"/>
      <c r="AD2789" s="119"/>
      <c r="AE2789" s="120"/>
      <c r="AF2789" s="119"/>
      <c r="AG2789" s="119"/>
      <c r="AH2789" s="120"/>
      <c r="AI2789" s="121"/>
      <c r="AJ2789" s="121"/>
      <c r="AK2789" s="121"/>
      <c r="AL2789" s="121"/>
      <c r="AM2789" s="122"/>
      <c r="AN2789" s="121"/>
    </row>
    <row r="2790" spans="29:40">
      <c r="AC2790" s="119"/>
      <c r="AD2790" s="119"/>
      <c r="AE2790" s="120"/>
      <c r="AF2790" s="119"/>
      <c r="AG2790" s="119"/>
      <c r="AH2790" s="120"/>
      <c r="AI2790" s="121"/>
      <c r="AJ2790" s="121"/>
      <c r="AK2790" s="121"/>
      <c r="AL2790" s="121"/>
      <c r="AM2790" s="122"/>
      <c r="AN2790" s="121"/>
    </row>
    <row r="2791" spans="29:40">
      <c r="AC2791" s="119"/>
      <c r="AD2791" s="119"/>
      <c r="AE2791" s="120"/>
      <c r="AF2791" s="119"/>
      <c r="AG2791" s="119"/>
      <c r="AH2791" s="120"/>
      <c r="AI2791" s="121"/>
      <c r="AJ2791" s="121"/>
      <c r="AK2791" s="121"/>
      <c r="AL2791" s="121"/>
      <c r="AM2791" s="122"/>
      <c r="AN2791" s="121"/>
    </row>
    <row r="2792" spans="29:40">
      <c r="AC2792" s="119"/>
      <c r="AD2792" s="119"/>
      <c r="AE2792" s="120"/>
      <c r="AF2792" s="119"/>
      <c r="AG2792" s="119"/>
      <c r="AH2792" s="120"/>
      <c r="AI2792" s="121"/>
      <c r="AJ2792" s="121"/>
      <c r="AK2792" s="121"/>
      <c r="AL2792" s="121"/>
      <c r="AM2792" s="122"/>
      <c r="AN2792" s="121"/>
    </row>
    <row r="2793" spans="29:40">
      <c r="AC2793" s="119"/>
      <c r="AD2793" s="119"/>
      <c r="AE2793" s="120"/>
      <c r="AF2793" s="119"/>
      <c r="AG2793" s="119"/>
      <c r="AH2793" s="120"/>
      <c r="AI2793" s="121"/>
      <c r="AJ2793" s="121"/>
      <c r="AK2793" s="121"/>
      <c r="AL2793" s="121"/>
      <c r="AM2793" s="122"/>
      <c r="AN2793" s="121"/>
    </row>
    <row r="2794" spans="29:40">
      <c r="AC2794" s="119"/>
      <c r="AD2794" s="119"/>
      <c r="AE2794" s="120"/>
      <c r="AF2794" s="119"/>
      <c r="AG2794" s="119"/>
      <c r="AH2794" s="120"/>
      <c r="AI2794" s="121"/>
      <c r="AJ2794" s="121"/>
      <c r="AK2794" s="121"/>
      <c r="AL2794" s="121"/>
      <c r="AM2794" s="122"/>
      <c r="AN2794" s="121"/>
    </row>
    <row r="2795" spans="29:40">
      <c r="AC2795" s="119"/>
      <c r="AD2795" s="119"/>
      <c r="AE2795" s="120"/>
      <c r="AF2795" s="119"/>
      <c r="AG2795" s="119"/>
      <c r="AH2795" s="120"/>
      <c r="AI2795" s="121"/>
      <c r="AJ2795" s="121"/>
      <c r="AK2795" s="121"/>
      <c r="AL2795" s="121"/>
      <c r="AM2795" s="122"/>
      <c r="AN2795" s="121"/>
    </row>
    <row r="2796" spans="29:40">
      <c r="AC2796" s="119"/>
      <c r="AD2796" s="119"/>
      <c r="AE2796" s="120"/>
      <c r="AF2796" s="119"/>
      <c r="AG2796" s="119"/>
      <c r="AH2796" s="120"/>
      <c r="AI2796" s="121"/>
      <c r="AJ2796" s="121"/>
      <c r="AK2796" s="121"/>
      <c r="AL2796" s="121"/>
      <c r="AM2796" s="122"/>
      <c r="AN2796" s="121"/>
    </row>
    <row r="2797" spans="29:40">
      <c r="AC2797" s="119"/>
      <c r="AD2797" s="119"/>
      <c r="AE2797" s="120"/>
      <c r="AF2797" s="119"/>
      <c r="AG2797" s="119"/>
      <c r="AH2797" s="120"/>
      <c r="AI2797" s="121"/>
      <c r="AJ2797" s="121"/>
      <c r="AK2797" s="121"/>
      <c r="AL2797" s="121"/>
      <c r="AM2797" s="122"/>
      <c r="AN2797" s="121"/>
    </row>
    <row r="2798" spans="29:40">
      <c r="AC2798" s="119"/>
      <c r="AD2798" s="119"/>
      <c r="AE2798" s="120"/>
      <c r="AF2798" s="119"/>
      <c r="AG2798" s="119"/>
      <c r="AH2798" s="120"/>
      <c r="AI2798" s="121"/>
      <c r="AJ2798" s="121"/>
      <c r="AK2798" s="121"/>
      <c r="AL2798" s="121"/>
      <c r="AM2798" s="122"/>
      <c r="AN2798" s="121"/>
    </row>
    <row r="2799" spans="29:40">
      <c r="AC2799" s="119"/>
      <c r="AD2799" s="119"/>
      <c r="AE2799" s="120"/>
      <c r="AF2799" s="119"/>
      <c r="AG2799" s="119"/>
      <c r="AH2799" s="120"/>
      <c r="AI2799" s="121"/>
      <c r="AJ2799" s="121"/>
      <c r="AK2799" s="121"/>
      <c r="AL2799" s="121"/>
      <c r="AM2799" s="122"/>
      <c r="AN2799" s="121"/>
    </row>
    <row r="2800" spans="29:40">
      <c r="AC2800" s="119"/>
      <c r="AD2800" s="119"/>
      <c r="AE2800" s="120"/>
      <c r="AF2800" s="119"/>
      <c r="AG2800" s="119"/>
      <c r="AH2800" s="120"/>
      <c r="AI2800" s="121"/>
      <c r="AJ2800" s="121"/>
      <c r="AK2800" s="121"/>
      <c r="AL2800" s="121"/>
      <c r="AM2800" s="122"/>
      <c r="AN2800" s="121"/>
    </row>
    <row r="2801" spans="29:40">
      <c r="AC2801" s="119"/>
      <c r="AD2801" s="119"/>
      <c r="AE2801" s="120"/>
      <c r="AF2801" s="119"/>
      <c r="AG2801" s="119"/>
      <c r="AH2801" s="120"/>
      <c r="AI2801" s="121"/>
      <c r="AJ2801" s="121"/>
      <c r="AK2801" s="121"/>
      <c r="AL2801" s="121"/>
      <c r="AM2801" s="122"/>
      <c r="AN2801" s="121"/>
    </row>
    <row r="2802" spans="29:40">
      <c r="AC2802" s="119"/>
      <c r="AD2802" s="119"/>
      <c r="AE2802" s="120"/>
      <c r="AF2802" s="119"/>
      <c r="AG2802" s="119"/>
      <c r="AH2802" s="120"/>
      <c r="AI2802" s="121"/>
      <c r="AJ2802" s="121"/>
      <c r="AK2802" s="121"/>
      <c r="AL2802" s="121"/>
      <c r="AM2802" s="122"/>
      <c r="AN2802" s="121"/>
    </row>
    <row r="2803" spans="29:40">
      <c r="AC2803" s="119"/>
      <c r="AD2803" s="119"/>
      <c r="AE2803" s="120"/>
      <c r="AF2803" s="119"/>
      <c r="AG2803" s="119"/>
      <c r="AH2803" s="120"/>
      <c r="AI2803" s="121"/>
      <c r="AJ2803" s="121"/>
      <c r="AK2803" s="121"/>
      <c r="AL2803" s="121"/>
      <c r="AM2803" s="122"/>
      <c r="AN2803" s="121"/>
    </row>
    <row r="2804" spans="29:40">
      <c r="AC2804" s="119"/>
      <c r="AD2804" s="119"/>
      <c r="AE2804" s="120"/>
      <c r="AF2804" s="119"/>
      <c r="AG2804" s="119"/>
      <c r="AH2804" s="120"/>
      <c r="AI2804" s="121"/>
      <c r="AJ2804" s="121"/>
      <c r="AK2804" s="121"/>
      <c r="AL2804" s="121"/>
      <c r="AM2804" s="122"/>
      <c r="AN2804" s="121"/>
    </row>
    <row r="2805" spans="29:40">
      <c r="AC2805" s="119"/>
      <c r="AD2805" s="119"/>
      <c r="AE2805" s="120"/>
      <c r="AF2805" s="119"/>
      <c r="AG2805" s="119"/>
      <c r="AH2805" s="120"/>
      <c r="AI2805" s="121"/>
      <c r="AJ2805" s="121"/>
      <c r="AK2805" s="121"/>
      <c r="AL2805" s="121"/>
      <c r="AM2805" s="122"/>
      <c r="AN2805" s="121"/>
    </row>
    <row r="2806" spans="29:40">
      <c r="AC2806" s="119"/>
      <c r="AD2806" s="119"/>
      <c r="AE2806" s="120"/>
      <c r="AF2806" s="119"/>
      <c r="AG2806" s="119"/>
      <c r="AH2806" s="120"/>
      <c r="AI2806" s="121"/>
      <c r="AJ2806" s="121"/>
      <c r="AK2806" s="121"/>
      <c r="AL2806" s="121"/>
      <c r="AM2806" s="122"/>
      <c r="AN2806" s="121"/>
    </row>
    <row r="2807" spans="29:40">
      <c r="AC2807" s="119"/>
      <c r="AD2807" s="119"/>
      <c r="AE2807" s="120"/>
      <c r="AF2807" s="119"/>
      <c r="AG2807" s="119"/>
      <c r="AH2807" s="120"/>
      <c r="AI2807" s="121"/>
      <c r="AJ2807" s="121"/>
      <c r="AK2807" s="121"/>
      <c r="AL2807" s="121"/>
      <c r="AM2807" s="122"/>
      <c r="AN2807" s="121"/>
    </row>
    <row r="2808" spans="29:40">
      <c r="AC2808" s="119"/>
      <c r="AD2808" s="119"/>
      <c r="AE2808" s="120"/>
      <c r="AF2808" s="119"/>
      <c r="AG2808" s="119"/>
      <c r="AH2808" s="120"/>
      <c r="AI2808" s="121"/>
      <c r="AJ2808" s="121"/>
      <c r="AK2808" s="121"/>
      <c r="AL2808" s="121"/>
      <c r="AM2808" s="122"/>
      <c r="AN2808" s="121"/>
    </row>
    <row r="2809" spans="29:40">
      <c r="AC2809" s="119"/>
      <c r="AD2809" s="119"/>
      <c r="AE2809" s="120"/>
      <c r="AF2809" s="119"/>
      <c r="AG2809" s="119"/>
      <c r="AH2809" s="120"/>
      <c r="AI2809" s="121"/>
      <c r="AJ2809" s="121"/>
      <c r="AK2809" s="121"/>
      <c r="AL2809" s="121"/>
      <c r="AM2809" s="122"/>
      <c r="AN2809" s="121"/>
    </row>
    <row r="2810" spans="29:40">
      <c r="AC2810" s="119"/>
      <c r="AD2810" s="119"/>
      <c r="AE2810" s="120"/>
      <c r="AF2810" s="119"/>
      <c r="AG2810" s="119"/>
      <c r="AH2810" s="120"/>
      <c r="AI2810" s="121"/>
      <c r="AJ2810" s="121"/>
      <c r="AK2810" s="121"/>
      <c r="AL2810" s="121"/>
      <c r="AM2810" s="122"/>
      <c r="AN2810" s="121"/>
    </row>
    <row r="2811" spans="29:40">
      <c r="AC2811" s="119"/>
      <c r="AD2811" s="119"/>
      <c r="AE2811" s="120"/>
      <c r="AF2811" s="119"/>
      <c r="AG2811" s="119"/>
      <c r="AH2811" s="120"/>
      <c r="AI2811" s="121"/>
      <c r="AJ2811" s="121"/>
      <c r="AK2811" s="121"/>
      <c r="AL2811" s="121"/>
      <c r="AM2811" s="122"/>
      <c r="AN2811" s="121"/>
    </row>
    <row r="2812" spans="29:40">
      <c r="AC2812" s="119"/>
      <c r="AD2812" s="119"/>
      <c r="AE2812" s="120"/>
      <c r="AF2812" s="119"/>
      <c r="AG2812" s="119"/>
      <c r="AH2812" s="120"/>
      <c r="AI2812" s="121"/>
      <c r="AJ2812" s="121"/>
      <c r="AK2812" s="121"/>
      <c r="AL2812" s="121"/>
      <c r="AM2812" s="122"/>
      <c r="AN2812" s="121"/>
    </row>
    <row r="2813" spans="29:40">
      <c r="AC2813" s="119"/>
      <c r="AD2813" s="119"/>
      <c r="AE2813" s="120"/>
      <c r="AF2813" s="119"/>
      <c r="AG2813" s="119"/>
      <c r="AH2813" s="120"/>
      <c r="AI2813" s="121"/>
      <c r="AJ2813" s="121"/>
      <c r="AK2813" s="121"/>
      <c r="AL2813" s="121"/>
      <c r="AM2813" s="122"/>
      <c r="AN2813" s="121"/>
    </row>
    <row r="2814" spans="29:40">
      <c r="AC2814" s="119"/>
      <c r="AD2814" s="119"/>
      <c r="AE2814" s="120"/>
      <c r="AF2814" s="119"/>
      <c r="AG2814" s="119"/>
      <c r="AH2814" s="120"/>
      <c r="AI2814" s="121"/>
      <c r="AJ2814" s="121"/>
      <c r="AK2814" s="121"/>
      <c r="AL2814" s="121"/>
      <c r="AM2814" s="122"/>
      <c r="AN2814" s="121"/>
    </row>
    <row r="2815" spans="29:40">
      <c r="AC2815" s="119"/>
      <c r="AD2815" s="119"/>
      <c r="AE2815" s="120"/>
      <c r="AF2815" s="119"/>
      <c r="AG2815" s="119"/>
      <c r="AH2815" s="120"/>
      <c r="AI2815" s="121"/>
      <c r="AJ2815" s="121"/>
      <c r="AK2815" s="121"/>
      <c r="AL2815" s="121"/>
      <c r="AM2815" s="122"/>
      <c r="AN2815" s="121"/>
    </row>
    <row r="2816" spans="29:40">
      <c r="AC2816" s="119"/>
      <c r="AD2816" s="119"/>
      <c r="AE2816" s="120"/>
      <c r="AF2816" s="119"/>
      <c r="AG2816" s="119"/>
      <c r="AH2816" s="120"/>
      <c r="AI2816" s="121"/>
      <c r="AJ2816" s="121"/>
      <c r="AK2816" s="121"/>
      <c r="AL2816" s="121"/>
      <c r="AM2816" s="122"/>
      <c r="AN2816" s="121"/>
    </row>
    <row r="2817" spans="29:40">
      <c r="AC2817" s="119"/>
      <c r="AD2817" s="119"/>
      <c r="AE2817" s="120"/>
      <c r="AF2817" s="119"/>
      <c r="AG2817" s="119"/>
      <c r="AH2817" s="120"/>
      <c r="AI2817" s="121"/>
      <c r="AJ2817" s="121"/>
      <c r="AK2817" s="121"/>
      <c r="AL2817" s="121"/>
      <c r="AM2817" s="122"/>
      <c r="AN2817" s="121"/>
    </row>
    <row r="2818" spans="29:40">
      <c r="AC2818" s="119"/>
      <c r="AD2818" s="119"/>
      <c r="AE2818" s="120"/>
      <c r="AF2818" s="119"/>
      <c r="AG2818" s="119"/>
      <c r="AH2818" s="120"/>
      <c r="AI2818" s="121"/>
      <c r="AJ2818" s="121"/>
      <c r="AK2818" s="121"/>
      <c r="AL2818" s="121"/>
      <c r="AM2818" s="122"/>
      <c r="AN2818" s="121"/>
    </row>
    <row r="2819" spans="29:40">
      <c r="AC2819" s="119"/>
      <c r="AD2819" s="119"/>
      <c r="AE2819" s="120"/>
      <c r="AF2819" s="119"/>
      <c r="AG2819" s="119"/>
      <c r="AH2819" s="120"/>
      <c r="AI2819" s="121"/>
      <c r="AJ2819" s="121"/>
      <c r="AK2819" s="121"/>
      <c r="AL2819" s="121"/>
      <c r="AM2819" s="122"/>
      <c r="AN2819" s="121"/>
    </row>
    <row r="2820" spans="29:40">
      <c r="AC2820" s="119"/>
      <c r="AD2820" s="119"/>
      <c r="AE2820" s="120"/>
      <c r="AF2820" s="119"/>
      <c r="AG2820" s="119"/>
      <c r="AH2820" s="120"/>
      <c r="AI2820" s="121"/>
      <c r="AJ2820" s="121"/>
      <c r="AK2820" s="121"/>
      <c r="AL2820" s="121"/>
      <c r="AM2820" s="122"/>
      <c r="AN2820" s="121"/>
    </row>
    <row r="2821" spans="29:40">
      <c r="AC2821" s="119"/>
      <c r="AD2821" s="119"/>
      <c r="AE2821" s="120"/>
      <c r="AF2821" s="119"/>
      <c r="AG2821" s="119"/>
      <c r="AH2821" s="120"/>
      <c r="AI2821" s="121"/>
      <c r="AJ2821" s="121"/>
      <c r="AK2821" s="121"/>
      <c r="AL2821" s="121"/>
      <c r="AM2821" s="122"/>
      <c r="AN2821" s="121"/>
    </row>
    <row r="2822" spans="29:40">
      <c r="AC2822" s="119"/>
      <c r="AD2822" s="119"/>
      <c r="AE2822" s="120"/>
      <c r="AF2822" s="119"/>
      <c r="AG2822" s="119"/>
      <c r="AH2822" s="120"/>
      <c r="AI2822" s="121"/>
      <c r="AJ2822" s="121"/>
      <c r="AK2822" s="121"/>
      <c r="AL2822" s="121"/>
      <c r="AM2822" s="122"/>
      <c r="AN2822" s="121"/>
    </row>
    <row r="2823" spans="29:40">
      <c r="AC2823" s="119"/>
      <c r="AD2823" s="119"/>
      <c r="AE2823" s="120"/>
      <c r="AF2823" s="119"/>
      <c r="AG2823" s="119"/>
      <c r="AH2823" s="120"/>
      <c r="AI2823" s="121"/>
      <c r="AJ2823" s="121"/>
      <c r="AK2823" s="121"/>
      <c r="AL2823" s="121"/>
      <c r="AM2823" s="122"/>
      <c r="AN2823" s="121"/>
    </row>
    <row r="2824" spans="29:40">
      <c r="AC2824" s="119"/>
      <c r="AD2824" s="119"/>
      <c r="AE2824" s="120"/>
      <c r="AF2824" s="119"/>
      <c r="AG2824" s="119"/>
      <c r="AH2824" s="120"/>
      <c r="AI2824" s="121"/>
      <c r="AJ2824" s="121"/>
      <c r="AK2824" s="121"/>
      <c r="AL2824" s="121"/>
      <c r="AM2824" s="122"/>
      <c r="AN2824" s="121"/>
    </row>
    <row r="2825" spans="29:40">
      <c r="AC2825" s="119"/>
      <c r="AD2825" s="119"/>
      <c r="AE2825" s="120"/>
      <c r="AF2825" s="119"/>
      <c r="AG2825" s="119"/>
      <c r="AH2825" s="120"/>
      <c r="AI2825" s="121"/>
      <c r="AJ2825" s="121"/>
      <c r="AK2825" s="121"/>
      <c r="AL2825" s="121"/>
      <c r="AM2825" s="122"/>
      <c r="AN2825" s="121"/>
    </row>
    <row r="2826" spans="29:40">
      <c r="AC2826" s="119"/>
      <c r="AD2826" s="119"/>
      <c r="AE2826" s="120"/>
      <c r="AF2826" s="119"/>
      <c r="AG2826" s="119"/>
      <c r="AH2826" s="120"/>
      <c r="AI2826" s="121"/>
      <c r="AJ2826" s="121"/>
      <c r="AK2826" s="121"/>
      <c r="AL2826" s="121"/>
      <c r="AM2826" s="122"/>
      <c r="AN2826" s="121"/>
    </row>
    <row r="2827" spans="29:40">
      <c r="AC2827" s="119"/>
      <c r="AD2827" s="119"/>
      <c r="AE2827" s="120"/>
      <c r="AF2827" s="119"/>
      <c r="AG2827" s="119"/>
      <c r="AH2827" s="120"/>
      <c r="AI2827" s="121"/>
      <c r="AJ2827" s="121"/>
      <c r="AK2827" s="121"/>
      <c r="AL2827" s="121"/>
      <c r="AM2827" s="122"/>
      <c r="AN2827" s="121"/>
    </row>
    <row r="2828" spans="29:40">
      <c r="AC2828" s="119"/>
      <c r="AD2828" s="119"/>
      <c r="AE2828" s="120"/>
      <c r="AF2828" s="119"/>
      <c r="AG2828" s="119"/>
      <c r="AH2828" s="120"/>
      <c r="AI2828" s="121"/>
      <c r="AJ2828" s="121"/>
      <c r="AK2828" s="121"/>
      <c r="AL2828" s="121"/>
      <c r="AM2828" s="122"/>
      <c r="AN2828" s="121"/>
    </row>
    <row r="2829" spans="29:40">
      <c r="AC2829" s="119"/>
      <c r="AD2829" s="119"/>
      <c r="AE2829" s="120"/>
      <c r="AF2829" s="119"/>
      <c r="AG2829" s="119"/>
      <c r="AH2829" s="120"/>
      <c r="AI2829" s="121"/>
      <c r="AJ2829" s="121"/>
      <c r="AK2829" s="121"/>
      <c r="AL2829" s="121"/>
      <c r="AM2829" s="122"/>
      <c r="AN2829" s="121"/>
    </row>
    <row r="2830" spans="29:40">
      <c r="AC2830" s="119"/>
      <c r="AD2830" s="119"/>
      <c r="AE2830" s="120"/>
      <c r="AF2830" s="119"/>
      <c r="AG2830" s="119"/>
      <c r="AH2830" s="120"/>
      <c r="AI2830" s="121"/>
      <c r="AJ2830" s="121"/>
      <c r="AK2830" s="121"/>
      <c r="AL2830" s="121"/>
      <c r="AM2830" s="122"/>
      <c r="AN2830" s="121"/>
    </row>
    <row r="2831" spans="29:40">
      <c r="AC2831" s="119"/>
      <c r="AD2831" s="119"/>
      <c r="AE2831" s="120"/>
      <c r="AF2831" s="119"/>
      <c r="AG2831" s="119"/>
      <c r="AH2831" s="120"/>
      <c r="AI2831" s="121"/>
      <c r="AJ2831" s="121"/>
      <c r="AK2831" s="121"/>
      <c r="AL2831" s="121"/>
      <c r="AM2831" s="122"/>
      <c r="AN2831" s="121"/>
    </row>
    <row r="2832" spans="29:40">
      <c r="AC2832" s="119"/>
      <c r="AD2832" s="119"/>
      <c r="AE2832" s="120"/>
      <c r="AF2832" s="119"/>
      <c r="AG2832" s="119"/>
      <c r="AH2832" s="120"/>
      <c r="AI2832" s="121"/>
      <c r="AJ2832" s="121"/>
      <c r="AK2832" s="121"/>
      <c r="AL2832" s="121"/>
      <c r="AM2832" s="122"/>
      <c r="AN2832" s="121"/>
    </row>
    <row r="2833" spans="29:40">
      <c r="AC2833" s="119"/>
      <c r="AD2833" s="119"/>
      <c r="AE2833" s="120"/>
      <c r="AF2833" s="119"/>
      <c r="AG2833" s="119"/>
      <c r="AH2833" s="120"/>
      <c r="AI2833" s="121"/>
      <c r="AJ2833" s="121"/>
      <c r="AK2833" s="121"/>
      <c r="AL2833" s="121"/>
      <c r="AM2833" s="122"/>
      <c r="AN2833" s="121"/>
    </row>
    <row r="2834" spans="29:40">
      <c r="AC2834" s="119"/>
      <c r="AD2834" s="119"/>
      <c r="AE2834" s="120"/>
      <c r="AF2834" s="119"/>
      <c r="AG2834" s="119"/>
      <c r="AH2834" s="120"/>
      <c r="AI2834" s="121"/>
      <c r="AJ2834" s="121"/>
      <c r="AK2834" s="121"/>
      <c r="AL2834" s="121"/>
      <c r="AM2834" s="122"/>
      <c r="AN2834" s="121"/>
    </row>
    <row r="2835" spans="29:40">
      <c r="AC2835" s="119"/>
      <c r="AD2835" s="119"/>
      <c r="AE2835" s="120"/>
      <c r="AF2835" s="119"/>
      <c r="AG2835" s="119"/>
      <c r="AH2835" s="120"/>
      <c r="AI2835" s="121"/>
      <c r="AJ2835" s="121"/>
      <c r="AK2835" s="121"/>
      <c r="AL2835" s="121"/>
      <c r="AM2835" s="122"/>
      <c r="AN2835" s="121"/>
    </row>
    <row r="2836" spans="29:40">
      <c r="AC2836" s="119"/>
      <c r="AD2836" s="119"/>
      <c r="AE2836" s="120"/>
      <c r="AF2836" s="119"/>
      <c r="AG2836" s="119"/>
      <c r="AH2836" s="120"/>
      <c r="AI2836" s="121"/>
      <c r="AJ2836" s="121"/>
      <c r="AK2836" s="121"/>
      <c r="AL2836" s="121"/>
      <c r="AM2836" s="122"/>
      <c r="AN2836" s="121"/>
    </row>
    <row r="2837" spans="29:40">
      <c r="AC2837" s="119"/>
      <c r="AD2837" s="119"/>
      <c r="AE2837" s="120"/>
      <c r="AF2837" s="119"/>
      <c r="AG2837" s="119"/>
      <c r="AH2837" s="120"/>
      <c r="AI2837" s="121"/>
      <c r="AJ2837" s="121"/>
      <c r="AK2837" s="121"/>
      <c r="AL2837" s="121"/>
      <c r="AM2837" s="122"/>
      <c r="AN2837" s="121"/>
    </row>
    <row r="2838" spans="29:40">
      <c r="AC2838" s="119"/>
      <c r="AD2838" s="119"/>
      <c r="AE2838" s="120"/>
      <c r="AF2838" s="119"/>
      <c r="AG2838" s="119"/>
      <c r="AH2838" s="120"/>
      <c r="AI2838" s="121"/>
      <c r="AJ2838" s="121"/>
      <c r="AK2838" s="121"/>
      <c r="AL2838" s="121"/>
      <c r="AM2838" s="122"/>
      <c r="AN2838" s="121"/>
    </row>
    <row r="2839" spans="29:40">
      <c r="AC2839" s="119"/>
      <c r="AD2839" s="119"/>
      <c r="AE2839" s="120"/>
      <c r="AF2839" s="119"/>
      <c r="AG2839" s="119"/>
      <c r="AH2839" s="120"/>
      <c r="AI2839" s="121"/>
      <c r="AJ2839" s="121"/>
      <c r="AK2839" s="121"/>
      <c r="AL2839" s="121"/>
      <c r="AM2839" s="122"/>
      <c r="AN2839" s="121"/>
    </row>
    <row r="2840" spans="29:40">
      <c r="AC2840" s="119"/>
      <c r="AD2840" s="119"/>
      <c r="AE2840" s="120"/>
      <c r="AF2840" s="119"/>
      <c r="AG2840" s="119"/>
      <c r="AH2840" s="120"/>
      <c r="AI2840" s="121"/>
      <c r="AJ2840" s="121"/>
      <c r="AK2840" s="121"/>
      <c r="AL2840" s="121"/>
      <c r="AM2840" s="122"/>
      <c r="AN2840" s="121"/>
    </row>
    <row r="2841" spans="29:40">
      <c r="AC2841" s="119"/>
      <c r="AD2841" s="119"/>
      <c r="AE2841" s="120"/>
      <c r="AF2841" s="119"/>
      <c r="AG2841" s="119"/>
      <c r="AH2841" s="120"/>
      <c r="AI2841" s="121"/>
      <c r="AJ2841" s="121"/>
      <c r="AK2841" s="121"/>
      <c r="AL2841" s="121"/>
      <c r="AM2841" s="122"/>
      <c r="AN2841" s="121"/>
    </row>
    <row r="2842" spans="29:40">
      <c r="AC2842" s="119"/>
      <c r="AD2842" s="119"/>
      <c r="AE2842" s="120"/>
      <c r="AF2842" s="119"/>
      <c r="AG2842" s="119"/>
      <c r="AH2842" s="120"/>
      <c r="AI2842" s="121"/>
      <c r="AJ2842" s="121"/>
      <c r="AK2842" s="121"/>
      <c r="AL2842" s="121"/>
      <c r="AM2842" s="122"/>
      <c r="AN2842" s="121"/>
    </row>
    <row r="2843" spans="29:40">
      <c r="AC2843" s="119"/>
      <c r="AD2843" s="119"/>
      <c r="AE2843" s="120"/>
      <c r="AF2843" s="119"/>
      <c r="AG2843" s="119"/>
      <c r="AH2843" s="120"/>
      <c r="AI2843" s="121"/>
      <c r="AJ2843" s="121"/>
      <c r="AK2843" s="121"/>
      <c r="AL2843" s="121"/>
      <c r="AM2843" s="122"/>
      <c r="AN2843" s="121"/>
    </row>
    <row r="2844" spans="29:40">
      <c r="AC2844" s="119"/>
      <c r="AD2844" s="119"/>
      <c r="AE2844" s="120"/>
      <c r="AF2844" s="119"/>
      <c r="AG2844" s="119"/>
      <c r="AH2844" s="120"/>
      <c r="AI2844" s="121"/>
      <c r="AJ2844" s="121"/>
      <c r="AK2844" s="121"/>
      <c r="AL2844" s="121"/>
      <c r="AM2844" s="122"/>
      <c r="AN2844" s="121"/>
    </row>
    <row r="2845" spans="29:40">
      <c r="AC2845" s="119"/>
      <c r="AD2845" s="119"/>
      <c r="AE2845" s="120"/>
      <c r="AF2845" s="119"/>
      <c r="AG2845" s="119"/>
      <c r="AH2845" s="120"/>
      <c r="AI2845" s="121"/>
      <c r="AJ2845" s="121"/>
      <c r="AK2845" s="121"/>
      <c r="AL2845" s="121"/>
      <c r="AM2845" s="122"/>
      <c r="AN2845" s="121"/>
    </row>
    <row r="2846" spans="29:40">
      <c r="AC2846" s="119"/>
      <c r="AD2846" s="119"/>
      <c r="AE2846" s="120"/>
      <c r="AF2846" s="119"/>
      <c r="AG2846" s="119"/>
      <c r="AH2846" s="120"/>
      <c r="AI2846" s="121"/>
      <c r="AJ2846" s="121"/>
      <c r="AK2846" s="121"/>
      <c r="AL2846" s="121"/>
      <c r="AM2846" s="122"/>
      <c r="AN2846" s="121"/>
    </row>
    <row r="2847" spans="29:40">
      <c r="AC2847" s="119"/>
      <c r="AD2847" s="119"/>
      <c r="AE2847" s="120"/>
      <c r="AF2847" s="119"/>
      <c r="AG2847" s="119"/>
      <c r="AH2847" s="120"/>
      <c r="AI2847" s="121"/>
      <c r="AJ2847" s="121"/>
      <c r="AK2847" s="121"/>
      <c r="AL2847" s="121"/>
      <c r="AM2847" s="122"/>
      <c r="AN2847" s="121"/>
    </row>
    <row r="2848" spans="29:40">
      <c r="AC2848" s="119"/>
      <c r="AD2848" s="119"/>
      <c r="AE2848" s="120"/>
      <c r="AF2848" s="119"/>
      <c r="AG2848" s="119"/>
      <c r="AH2848" s="120"/>
      <c r="AI2848" s="121"/>
      <c r="AJ2848" s="121"/>
      <c r="AK2848" s="121"/>
      <c r="AL2848" s="121"/>
      <c r="AM2848" s="122"/>
      <c r="AN2848" s="121"/>
    </row>
    <row r="2849" spans="29:40">
      <c r="AC2849" s="119"/>
      <c r="AD2849" s="119"/>
      <c r="AE2849" s="120"/>
      <c r="AF2849" s="119"/>
      <c r="AG2849" s="119"/>
      <c r="AH2849" s="120"/>
      <c r="AI2849" s="121"/>
      <c r="AJ2849" s="121"/>
      <c r="AK2849" s="121"/>
      <c r="AL2849" s="121"/>
      <c r="AM2849" s="122"/>
      <c r="AN2849" s="121"/>
    </row>
    <row r="2850" spans="29:40">
      <c r="AC2850" s="119"/>
      <c r="AD2850" s="119"/>
      <c r="AE2850" s="120"/>
      <c r="AF2850" s="119"/>
      <c r="AG2850" s="119"/>
      <c r="AH2850" s="120"/>
      <c r="AI2850" s="121"/>
      <c r="AJ2850" s="121"/>
      <c r="AK2850" s="121"/>
      <c r="AL2850" s="121"/>
      <c r="AM2850" s="122"/>
      <c r="AN2850" s="121"/>
    </row>
    <row r="2851" spans="29:40">
      <c r="AC2851" s="119"/>
      <c r="AD2851" s="119"/>
      <c r="AE2851" s="120"/>
      <c r="AF2851" s="119"/>
      <c r="AG2851" s="119"/>
      <c r="AH2851" s="120"/>
      <c r="AI2851" s="121"/>
      <c r="AJ2851" s="121"/>
      <c r="AK2851" s="121"/>
      <c r="AL2851" s="121"/>
      <c r="AM2851" s="122"/>
      <c r="AN2851" s="121"/>
    </row>
    <row r="2852" spans="29:40">
      <c r="AC2852" s="119"/>
      <c r="AD2852" s="119"/>
      <c r="AE2852" s="120"/>
      <c r="AF2852" s="119"/>
      <c r="AG2852" s="119"/>
      <c r="AH2852" s="120"/>
      <c r="AI2852" s="121"/>
      <c r="AJ2852" s="121"/>
      <c r="AK2852" s="121"/>
      <c r="AL2852" s="121"/>
      <c r="AM2852" s="122"/>
      <c r="AN2852" s="121"/>
    </row>
    <row r="2853" spans="29:40">
      <c r="AC2853" s="119"/>
      <c r="AD2853" s="119"/>
      <c r="AE2853" s="120"/>
      <c r="AF2853" s="119"/>
      <c r="AG2853" s="119"/>
      <c r="AH2853" s="120"/>
      <c r="AI2853" s="121"/>
      <c r="AJ2853" s="121"/>
      <c r="AK2853" s="121"/>
      <c r="AL2853" s="121"/>
      <c r="AM2853" s="122"/>
      <c r="AN2853" s="121"/>
    </row>
    <row r="2854" spans="29:40">
      <c r="AC2854" s="119"/>
      <c r="AD2854" s="119"/>
      <c r="AE2854" s="120"/>
      <c r="AF2854" s="119"/>
      <c r="AG2854" s="119"/>
      <c r="AH2854" s="120"/>
      <c r="AI2854" s="121"/>
      <c r="AJ2854" s="121"/>
      <c r="AK2854" s="121"/>
      <c r="AL2854" s="121"/>
      <c r="AM2854" s="122"/>
      <c r="AN2854" s="121"/>
    </row>
    <row r="2855" spans="29:40">
      <c r="AC2855" s="119"/>
      <c r="AD2855" s="119"/>
      <c r="AE2855" s="120"/>
      <c r="AF2855" s="119"/>
      <c r="AG2855" s="119"/>
      <c r="AH2855" s="120"/>
      <c r="AI2855" s="121"/>
      <c r="AJ2855" s="121"/>
      <c r="AK2855" s="121"/>
      <c r="AL2855" s="121"/>
      <c r="AM2855" s="122"/>
      <c r="AN2855" s="121"/>
    </row>
    <row r="2856" spans="29:40">
      <c r="AC2856" s="119"/>
      <c r="AD2856" s="119"/>
      <c r="AE2856" s="120"/>
      <c r="AF2856" s="119"/>
      <c r="AG2856" s="119"/>
      <c r="AH2856" s="120"/>
      <c r="AI2856" s="121"/>
      <c r="AJ2856" s="121"/>
      <c r="AK2856" s="121"/>
      <c r="AL2856" s="121"/>
      <c r="AM2856" s="122"/>
      <c r="AN2856" s="121"/>
    </row>
    <row r="2857" spans="29:40">
      <c r="AC2857" s="119"/>
      <c r="AD2857" s="119"/>
      <c r="AE2857" s="120"/>
      <c r="AF2857" s="119"/>
      <c r="AG2857" s="119"/>
      <c r="AH2857" s="120"/>
      <c r="AI2857" s="121"/>
      <c r="AJ2857" s="121"/>
      <c r="AK2857" s="121"/>
      <c r="AL2857" s="121"/>
      <c r="AM2857" s="122"/>
      <c r="AN2857" s="121"/>
    </row>
    <row r="2858" spans="29:40">
      <c r="AC2858" s="119"/>
      <c r="AD2858" s="119"/>
      <c r="AE2858" s="120"/>
      <c r="AF2858" s="119"/>
      <c r="AG2858" s="119"/>
      <c r="AH2858" s="120"/>
      <c r="AI2858" s="121"/>
      <c r="AJ2858" s="121"/>
      <c r="AK2858" s="121"/>
      <c r="AL2858" s="121"/>
      <c r="AM2858" s="122"/>
      <c r="AN2858" s="121"/>
    </row>
    <row r="2859" spans="29:40">
      <c r="AC2859" s="119"/>
      <c r="AD2859" s="119"/>
      <c r="AE2859" s="120"/>
      <c r="AF2859" s="119"/>
      <c r="AG2859" s="119"/>
      <c r="AH2859" s="120"/>
      <c r="AI2859" s="121"/>
      <c r="AJ2859" s="121"/>
      <c r="AK2859" s="121"/>
      <c r="AL2859" s="121"/>
      <c r="AM2859" s="122"/>
      <c r="AN2859" s="121"/>
    </row>
    <row r="2860" spans="29:40">
      <c r="AC2860" s="119"/>
      <c r="AD2860" s="119"/>
      <c r="AE2860" s="120"/>
      <c r="AF2860" s="119"/>
      <c r="AG2860" s="119"/>
      <c r="AH2860" s="120"/>
      <c r="AI2860" s="121"/>
      <c r="AJ2860" s="121"/>
      <c r="AK2860" s="121"/>
      <c r="AL2860" s="121"/>
      <c r="AM2860" s="122"/>
      <c r="AN2860" s="121"/>
    </row>
    <row r="2861" spans="29:40">
      <c r="AC2861" s="119"/>
      <c r="AD2861" s="119"/>
      <c r="AE2861" s="120"/>
      <c r="AF2861" s="119"/>
      <c r="AG2861" s="119"/>
      <c r="AH2861" s="120"/>
      <c r="AI2861" s="121"/>
      <c r="AJ2861" s="121"/>
      <c r="AK2861" s="121"/>
      <c r="AL2861" s="121"/>
      <c r="AM2861" s="122"/>
      <c r="AN2861" s="121"/>
    </row>
    <row r="2862" spans="29:40">
      <c r="AC2862" s="119"/>
      <c r="AD2862" s="119"/>
      <c r="AE2862" s="120"/>
      <c r="AF2862" s="119"/>
      <c r="AG2862" s="119"/>
      <c r="AH2862" s="120"/>
      <c r="AI2862" s="121"/>
      <c r="AJ2862" s="121"/>
      <c r="AK2862" s="121"/>
      <c r="AL2862" s="121"/>
      <c r="AM2862" s="122"/>
      <c r="AN2862" s="121"/>
    </row>
    <row r="2863" spans="29:40">
      <c r="AC2863" s="119"/>
      <c r="AD2863" s="119"/>
      <c r="AE2863" s="120"/>
      <c r="AF2863" s="119"/>
      <c r="AG2863" s="119"/>
      <c r="AH2863" s="120"/>
      <c r="AI2863" s="121"/>
      <c r="AJ2863" s="121"/>
      <c r="AK2863" s="121"/>
      <c r="AL2863" s="121"/>
      <c r="AM2863" s="122"/>
      <c r="AN2863" s="121"/>
    </row>
    <row r="2864" spans="29:40">
      <c r="AC2864" s="119"/>
      <c r="AD2864" s="119"/>
      <c r="AE2864" s="120"/>
      <c r="AF2864" s="119"/>
      <c r="AG2864" s="119"/>
      <c r="AH2864" s="120"/>
      <c r="AI2864" s="121"/>
      <c r="AJ2864" s="121"/>
      <c r="AK2864" s="121"/>
      <c r="AL2864" s="121"/>
      <c r="AM2864" s="122"/>
      <c r="AN2864" s="121"/>
    </row>
    <row r="2865" spans="29:40">
      <c r="AC2865" s="119"/>
      <c r="AD2865" s="119"/>
      <c r="AE2865" s="120"/>
      <c r="AF2865" s="119"/>
      <c r="AG2865" s="119"/>
      <c r="AH2865" s="120"/>
      <c r="AI2865" s="121"/>
      <c r="AJ2865" s="121"/>
      <c r="AK2865" s="121"/>
      <c r="AL2865" s="121"/>
      <c r="AM2865" s="122"/>
      <c r="AN2865" s="121"/>
    </row>
    <row r="2866" spans="29:40">
      <c r="AC2866" s="119"/>
      <c r="AD2866" s="119"/>
      <c r="AE2866" s="120"/>
      <c r="AF2866" s="119"/>
      <c r="AG2866" s="119"/>
      <c r="AH2866" s="120"/>
      <c r="AI2866" s="121"/>
      <c r="AJ2866" s="121"/>
      <c r="AK2866" s="121"/>
      <c r="AL2866" s="121"/>
      <c r="AM2866" s="122"/>
      <c r="AN2866" s="121"/>
    </row>
    <row r="2867" spans="29:40">
      <c r="AC2867" s="119"/>
      <c r="AD2867" s="119"/>
      <c r="AE2867" s="120"/>
      <c r="AF2867" s="119"/>
      <c r="AG2867" s="119"/>
      <c r="AH2867" s="120"/>
      <c r="AI2867" s="121"/>
      <c r="AJ2867" s="121"/>
      <c r="AK2867" s="121"/>
      <c r="AL2867" s="121"/>
      <c r="AM2867" s="122"/>
      <c r="AN2867" s="121"/>
    </row>
    <row r="2868" spans="29:40">
      <c r="AC2868" s="119"/>
      <c r="AD2868" s="119"/>
      <c r="AE2868" s="120"/>
      <c r="AF2868" s="119"/>
      <c r="AG2868" s="119"/>
      <c r="AH2868" s="120"/>
      <c r="AI2868" s="121"/>
      <c r="AJ2868" s="121"/>
      <c r="AK2868" s="121"/>
      <c r="AL2868" s="121"/>
      <c r="AM2868" s="122"/>
      <c r="AN2868" s="121"/>
    </row>
    <row r="2869" spans="29:40">
      <c r="AC2869" s="119"/>
      <c r="AD2869" s="119"/>
      <c r="AE2869" s="120"/>
      <c r="AF2869" s="119"/>
      <c r="AG2869" s="119"/>
      <c r="AH2869" s="120"/>
      <c r="AI2869" s="121"/>
      <c r="AJ2869" s="121"/>
      <c r="AK2869" s="121"/>
      <c r="AL2869" s="121"/>
      <c r="AM2869" s="122"/>
      <c r="AN2869" s="121"/>
    </row>
    <row r="2870" spans="29:40">
      <c r="AC2870" s="119"/>
      <c r="AD2870" s="119"/>
      <c r="AE2870" s="120"/>
      <c r="AF2870" s="119"/>
      <c r="AG2870" s="119"/>
      <c r="AH2870" s="120"/>
      <c r="AI2870" s="121"/>
      <c r="AJ2870" s="121"/>
      <c r="AK2870" s="121"/>
      <c r="AL2870" s="121"/>
      <c r="AM2870" s="122"/>
      <c r="AN2870" s="121"/>
    </row>
    <row r="2871" spans="29:40">
      <c r="AC2871" s="119"/>
      <c r="AD2871" s="119"/>
      <c r="AE2871" s="120"/>
      <c r="AF2871" s="119"/>
      <c r="AG2871" s="119"/>
      <c r="AH2871" s="120"/>
      <c r="AI2871" s="121"/>
      <c r="AJ2871" s="121"/>
      <c r="AK2871" s="121"/>
      <c r="AL2871" s="121"/>
      <c r="AM2871" s="122"/>
      <c r="AN2871" s="121"/>
    </row>
    <row r="2872" spans="29:40">
      <c r="AC2872" s="119"/>
      <c r="AD2872" s="119"/>
      <c r="AE2872" s="120"/>
      <c r="AF2872" s="119"/>
      <c r="AG2872" s="119"/>
      <c r="AH2872" s="120"/>
      <c r="AI2872" s="121"/>
      <c r="AJ2872" s="121"/>
      <c r="AK2872" s="121"/>
      <c r="AL2872" s="121"/>
      <c r="AM2872" s="122"/>
      <c r="AN2872" s="121"/>
    </row>
    <row r="2873" spans="29:40">
      <c r="AC2873" s="119"/>
      <c r="AD2873" s="119"/>
      <c r="AE2873" s="120"/>
      <c r="AF2873" s="119"/>
      <c r="AG2873" s="119"/>
      <c r="AH2873" s="120"/>
      <c r="AI2873" s="121"/>
      <c r="AJ2873" s="121"/>
      <c r="AK2873" s="121"/>
      <c r="AL2873" s="121"/>
      <c r="AM2873" s="122"/>
      <c r="AN2873" s="121"/>
    </row>
    <row r="2874" spans="29:40">
      <c r="AC2874" s="119"/>
      <c r="AD2874" s="119"/>
      <c r="AE2874" s="120"/>
      <c r="AF2874" s="119"/>
      <c r="AG2874" s="119"/>
      <c r="AH2874" s="120"/>
      <c r="AI2874" s="121"/>
      <c r="AJ2874" s="121"/>
      <c r="AK2874" s="121"/>
      <c r="AL2874" s="121"/>
      <c r="AM2874" s="122"/>
      <c r="AN2874" s="121"/>
    </row>
    <row r="2875" spans="29:40">
      <c r="AC2875" s="119"/>
      <c r="AD2875" s="119"/>
      <c r="AE2875" s="120"/>
      <c r="AF2875" s="119"/>
      <c r="AG2875" s="119"/>
      <c r="AH2875" s="120"/>
      <c r="AI2875" s="121"/>
      <c r="AJ2875" s="121"/>
      <c r="AK2875" s="121"/>
      <c r="AL2875" s="121"/>
      <c r="AM2875" s="122"/>
      <c r="AN2875" s="121"/>
    </row>
    <row r="2876" spans="29:40">
      <c r="AC2876" s="119"/>
      <c r="AD2876" s="119"/>
      <c r="AE2876" s="120"/>
      <c r="AF2876" s="119"/>
      <c r="AG2876" s="119"/>
      <c r="AH2876" s="120"/>
      <c r="AI2876" s="121"/>
      <c r="AJ2876" s="121"/>
      <c r="AK2876" s="121"/>
      <c r="AL2876" s="121"/>
      <c r="AM2876" s="122"/>
      <c r="AN2876" s="121"/>
    </row>
    <row r="2877" spans="29:40">
      <c r="AC2877" s="119"/>
      <c r="AD2877" s="119"/>
      <c r="AE2877" s="120"/>
      <c r="AF2877" s="119"/>
      <c r="AG2877" s="119"/>
      <c r="AH2877" s="120"/>
      <c r="AI2877" s="121"/>
      <c r="AJ2877" s="121"/>
      <c r="AK2877" s="121"/>
      <c r="AL2877" s="121"/>
      <c r="AM2877" s="122"/>
      <c r="AN2877" s="121"/>
    </row>
    <row r="2878" spans="29:40">
      <c r="AC2878" s="119"/>
      <c r="AD2878" s="119"/>
      <c r="AE2878" s="120"/>
      <c r="AF2878" s="119"/>
      <c r="AG2878" s="119"/>
      <c r="AH2878" s="120"/>
      <c r="AI2878" s="121"/>
      <c r="AJ2878" s="121"/>
      <c r="AK2878" s="121"/>
      <c r="AL2878" s="121"/>
      <c r="AM2878" s="122"/>
      <c r="AN2878" s="121"/>
    </row>
    <row r="2879" spans="29:40">
      <c r="AC2879" s="119"/>
      <c r="AD2879" s="119"/>
      <c r="AE2879" s="120"/>
      <c r="AF2879" s="119"/>
      <c r="AG2879" s="119"/>
      <c r="AH2879" s="120"/>
      <c r="AI2879" s="121"/>
      <c r="AJ2879" s="121"/>
      <c r="AK2879" s="121"/>
      <c r="AL2879" s="121"/>
      <c r="AM2879" s="122"/>
      <c r="AN2879" s="121"/>
    </row>
    <row r="2880" spans="29:40">
      <c r="AC2880" s="119"/>
      <c r="AD2880" s="119"/>
      <c r="AE2880" s="120"/>
      <c r="AF2880" s="119"/>
      <c r="AG2880" s="119"/>
      <c r="AH2880" s="120"/>
      <c r="AI2880" s="121"/>
      <c r="AJ2880" s="121"/>
      <c r="AK2880" s="121"/>
      <c r="AL2880" s="121"/>
      <c r="AM2880" s="122"/>
      <c r="AN2880" s="121"/>
    </row>
    <row r="2881" spans="29:40">
      <c r="AC2881" s="119"/>
      <c r="AD2881" s="119"/>
      <c r="AE2881" s="120"/>
      <c r="AF2881" s="119"/>
      <c r="AG2881" s="119"/>
      <c r="AH2881" s="120"/>
      <c r="AI2881" s="121"/>
      <c r="AJ2881" s="121"/>
      <c r="AK2881" s="121"/>
      <c r="AL2881" s="121"/>
      <c r="AM2881" s="122"/>
      <c r="AN2881" s="121"/>
    </row>
    <row r="2882" spans="29:40">
      <c r="AC2882" s="119"/>
      <c r="AD2882" s="119"/>
      <c r="AE2882" s="120"/>
      <c r="AF2882" s="119"/>
      <c r="AG2882" s="119"/>
      <c r="AH2882" s="120"/>
      <c r="AI2882" s="121"/>
      <c r="AJ2882" s="121"/>
      <c r="AK2882" s="121"/>
      <c r="AL2882" s="121"/>
      <c r="AM2882" s="122"/>
      <c r="AN2882" s="121"/>
    </row>
    <row r="2883" spans="29:40">
      <c r="AC2883" s="119"/>
      <c r="AD2883" s="119"/>
      <c r="AE2883" s="120"/>
      <c r="AF2883" s="119"/>
      <c r="AG2883" s="119"/>
      <c r="AH2883" s="120"/>
      <c r="AI2883" s="121"/>
      <c r="AJ2883" s="121"/>
      <c r="AK2883" s="121"/>
      <c r="AL2883" s="121"/>
      <c r="AM2883" s="122"/>
      <c r="AN2883" s="121"/>
    </row>
    <row r="2884" spans="29:40">
      <c r="AC2884" s="119"/>
      <c r="AD2884" s="119"/>
      <c r="AE2884" s="120"/>
      <c r="AF2884" s="119"/>
      <c r="AG2884" s="119"/>
      <c r="AH2884" s="120"/>
      <c r="AI2884" s="121"/>
      <c r="AJ2884" s="121"/>
      <c r="AK2884" s="121"/>
      <c r="AL2884" s="121"/>
      <c r="AM2884" s="122"/>
      <c r="AN2884" s="121"/>
    </row>
    <row r="2885" spans="29:40">
      <c r="AC2885" s="119"/>
      <c r="AD2885" s="119"/>
      <c r="AE2885" s="120"/>
      <c r="AF2885" s="119"/>
      <c r="AG2885" s="119"/>
      <c r="AH2885" s="120"/>
      <c r="AI2885" s="121"/>
      <c r="AJ2885" s="121"/>
      <c r="AK2885" s="121"/>
      <c r="AL2885" s="121"/>
      <c r="AM2885" s="122"/>
      <c r="AN2885" s="121"/>
    </row>
    <row r="2886" spans="29:40">
      <c r="AC2886" s="119"/>
      <c r="AD2886" s="119"/>
      <c r="AE2886" s="120"/>
      <c r="AF2886" s="119"/>
      <c r="AG2886" s="119"/>
      <c r="AH2886" s="120"/>
      <c r="AI2886" s="121"/>
      <c r="AJ2886" s="121"/>
      <c r="AK2886" s="121"/>
      <c r="AL2886" s="121"/>
      <c r="AM2886" s="122"/>
      <c r="AN2886" s="121"/>
    </row>
    <row r="2887" spans="29:40">
      <c r="AC2887" s="119"/>
      <c r="AD2887" s="119"/>
      <c r="AE2887" s="120"/>
      <c r="AF2887" s="119"/>
      <c r="AG2887" s="119"/>
      <c r="AH2887" s="120"/>
      <c r="AI2887" s="121"/>
      <c r="AJ2887" s="121"/>
      <c r="AK2887" s="121"/>
      <c r="AL2887" s="121"/>
      <c r="AM2887" s="122"/>
      <c r="AN2887" s="121"/>
    </row>
    <row r="2888" spans="29:40">
      <c r="AC2888" s="119"/>
      <c r="AD2888" s="119"/>
      <c r="AE2888" s="120"/>
      <c r="AF2888" s="119"/>
      <c r="AG2888" s="119"/>
      <c r="AH2888" s="120"/>
      <c r="AI2888" s="121"/>
      <c r="AJ2888" s="121"/>
      <c r="AK2888" s="121"/>
      <c r="AL2888" s="121"/>
      <c r="AM2888" s="122"/>
      <c r="AN2888" s="121"/>
    </row>
    <row r="2889" spans="29:40">
      <c r="AC2889" s="119"/>
      <c r="AD2889" s="119"/>
      <c r="AE2889" s="120"/>
      <c r="AF2889" s="119"/>
      <c r="AG2889" s="119"/>
      <c r="AH2889" s="120"/>
      <c r="AI2889" s="121"/>
      <c r="AJ2889" s="121"/>
      <c r="AK2889" s="121"/>
      <c r="AL2889" s="121"/>
      <c r="AM2889" s="122"/>
      <c r="AN2889" s="121"/>
    </row>
    <row r="2890" spans="29:40">
      <c r="AC2890" s="119"/>
      <c r="AD2890" s="119"/>
      <c r="AE2890" s="120"/>
      <c r="AF2890" s="119"/>
      <c r="AG2890" s="119"/>
      <c r="AH2890" s="120"/>
      <c r="AI2890" s="121"/>
      <c r="AJ2890" s="121"/>
      <c r="AK2890" s="121"/>
      <c r="AL2890" s="121"/>
      <c r="AM2890" s="122"/>
      <c r="AN2890" s="121"/>
    </row>
    <row r="2891" spans="29:40">
      <c r="AC2891" s="119"/>
      <c r="AD2891" s="119"/>
      <c r="AE2891" s="120"/>
      <c r="AF2891" s="119"/>
      <c r="AG2891" s="119"/>
      <c r="AH2891" s="120"/>
      <c r="AI2891" s="121"/>
      <c r="AJ2891" s="121"/>
      <c r="AK2891" s="121"/>
      <c r="AL2891" s="121"/>
      <c r="AM2891" s="122"/>
      <c r="AN2891" s="121"/>
    </row>
    <row r="2892" spans="29:40">
      <c r="AC2892" s="119"/>
      <c r="AD2892" s="119"/>
      <c r="AE2892" s="120"/>
      <c r="AF2892" s="119"/>
      <c r="AG2892" s="119"/>
      <c r="AH2892" s="120"/>
      <c r="AI2892" s="121"/>
      <c r="AJ2892" s="121"/>
      <c r="AK2892" s="121"/>
      <c r="AL2892" s="121"/>
      <c r="AM2892" s="122"/>
      <c r="AN2892" s="121"/>
    </row>
    <row r="2893" spans="29:40">
      <c r="AC2893" s="119"/>
      <c r="AD2893" s="119"/>
      <c r="AE2893" s="120"/>
      <c r="AF2893" s="119"/>
      <c r="AG2893" s="119"/>
      <c r="AH2893" s="120"/>
      <c r="AI2893" s="121"/>
      <c r="AJ2893" s="121"/>
      <c r="AK2893" s="121"/>
      <c r="AL2893" s="121"/>
      <c r="AM2893" s="122"/>
      <c r="AN2893" s="121"/>
    </row>
    <row r="2894" spans="29:40">
      <c r="AC2894" s="119"/>
      <c r="AD2894" s="119"/>
      <c r="AE2894" s="120"/>
      <c r="AF2894" s="119"/>
      <c r="AG2894" s="119"/>
      <c r="AH2894" s="120"/>
      <c r="AI2894" s="121"/>
      <c r="AJ2894" s="121"/>
      <c r="AK2894" s="121"/>
      <c r="AL2894" s="121"/>
      <c r="AM2894" s="122"/>
      <c r="AN2894" s="121"/>
    </row>
    <row r="2895" spans="29:40">
      <c r="AC2895" s="119"/>
      <c r="AD2895" s="119"/>
      <c r="AE2895" s="120"/>
      <c r="AF2895" s="119"/>
      <c r="AG2895" s="119"/>
      <c r="AH2895" s="120"/>
      <c r="AI2895" s="121"/>
      <c r="AJ2895" s="121"/>
      <c r="AK2895" s="121"/>
      <c r="AL2895" s="121"/>
      <c r="AM2895" s="122"/>
      <c r="AN2895" s="121"/>
    </row>
    <row r="2896" spans="29:40">
      <c r="AC2896" s="119"/>
      <c r="AD2896" s="119"/>
      <c r="AE2896" s="120"/>
      <c r="AF2896" s="119"/>
      <c r="AG2896" s="119"/>
      <c r="AH2896" s="120"/>
      <c r="AI2896" s="121"/>
      <c r="AJ2896" s="121"/>
      <c r="AK2896" s="121"/>
      <c r="AL2896" s="121"/>
      <c r="AM2896" s="122"/>
      <c r="AN2896" s="121"/>
    </row>
    <row r="2897" spans="29:40">
      <c r="AC2897" s="119"/>
      <c r="AD2897" s="119"/>
      <c r="AE2897" s="120"/>
      <c r="AF2897" s="119"/>
      <c r="AG2897" s="119"/>
      <c r="AH2897" s="120"/>
      <c r="AI2897" s="121"/>
      <c r="AJ2897" s="121"/>
      <c r="AK2897" s="121"/>
      <c r="AL2897" s="121"/>
      <c r="AM2897" s="122"/>
      <c r="AN2897" s="121"/>
    </row>
    <row r="2898" spans="29:40">
      <c r="AC2898" s="119"/>
      <c r="AD2898" s="119"/>
      <c r="AE2898" s="120"/>
      <c r="AF2898" s="119"/>
      <c r="AG2898" s="119"/>
      <c r="AH2898" s="120"/>
      <c r="AI2898" s="121"/>
      <c r="AJ2898" s="121"/>
      <c r="AK2898" s="121"/>
      <c r="AL2898" s="121"/>
      <c r="AM2898" s="122"/>
      <c r="AN2898" s="121"/>
    </row>
    <row r="2899" spans="29:40">
      <c r="AC2899" s="119"/>
      <c r="AD2899" s="119"/>
      <c r="AE2899" s="120"/>
      <c r="AF2899" s="119"/>
      <c r="AG2899" s="119"/>
      <c r="AH2899" s="120"/>
      <c r="AI2899" s="121"/>
      <c r="AJ2899" s="121"/>
      <c r="AK2899" s="121"/>
      <c r="AL2899" s="121"/>
      <c r="AM2899" s="122"/>
      <c r="AN2899" s="121"/>
    </row>
    <row r="2900" spans="29:40">
      <c r="AC2900" s="119"/>
      <c r="AD2900" s="119"/>
      <c r="AE2900" s="120"/>
      <c r="AF2900" s="119"/>
      <c r="AG2900" s="119"/>
      <c r="AH2900" s="120"/>
      <c r="AI2900" s="121"/>
      <c r="AJ2900" s="121"/>
      <c r="AK2900" s="121"/>
      <c r="AL2900" s="121"/>
      <c r="AM2900" s="122"/>
      <c r="AN2900" s="121"/>
    </row>
    <row r="2901" spans="29:40">
      <c r="AC2901" s="119"/>
      <c r="AD2901" s="119"/>
      <c r="AE2901" s="120"/>
      <c r="AF2901" s="119"/>
      <c r="AG2901" s="119"/>
      <c r="AH2901" s="120"/>
      <c r="AI2901" s="121"/>
      <c r="AJ2901" s="121"/>
      <c r="AK2901" s="121"/>
      <c r="AL2901" s="121"/>
      <c r="AM2901" s="122"/>
      <c r="AN2901" s="121"/>
    </row>
    <row r="2902" spans="29:40">
      <c r="AC2902" s="119"/>
      <c r="AD2902" s="119"/>
      <c r="AE2902" s="120"/>
      <c r="AF2902" s="119"/>
      <c r="AG2902" s="119"/>
      <c r="AH2902" s="120"/>
      <c r="AI2902" s="121"/>
      <c r="AJ2902" s="121"/>
      <c r="AK2902" s="121"/>
      <c r="AL2902" s="121"/>
      <c r="AM2902" s="122"/>
      <c r="AN2902" s="121"/>
    </row>
    <row r="2903" spans="29:40">
      <c r="AC2903" s="119"/>
      <c r="AD2903" s="119"/>
      <c r="AE2903" s="120"/>
      <c r="AF2903" s="119"/>
      <c r="AG2903" s="119"/>
      <c r="AH2903" s="120"/>
      <c r="AI2903" s="121"/>
      <c r="AJ2903" s="121"/>
      <c r="AK2903" s="121"/>
      <c r="AL2903" s="121"/>
      <c r="AM2903" s="122"/>
      <c r="AN2903" s="121"/>
    </row>
    <row r="2904" spans="29:40">
      <c r="AC2904" s="119"/>
      <c r="AD2904" s="119"/>
      <c r="AE2904" s="120"/>
      <c r="AF2904" s="119"/>
      <c r="AG2904" s="119"/>
      <c r="AH2904" s="120"/>
      <c r="AI2904" s="121"/>
      <c r="AJ2904" s="121"/>
      <c r="AK2904" s="121"/>
      <c r="AL2904" s="121"/>
      <c r="AM2904" s="122"/>
      <c r="AN2904" s="121"/>
    </row>
    <row r="2905" spans="29:40">
      <c r="AC2905" s="119"/>
      <c r="AD2905" s="119"/>
      <c r="AE2905" s="120"/>
      <c r="AF2905" s="119"/>
      <c r="AG2905" s="119"/>
      <c r="AH2905" s="120"/>
      <c r="AI2905" s="121"/>
      <c r="AJ2905" s="121"/>
      <c r="AK2905" s="121"/>
      <c r="AL2905" s="121"/>
      <c r="AM2905" s="122"/>
      <c r="AN2905" s="121"/>
    </row>
    <row r="2906" spans="29:40">
      <c r="AC2906" s="119"/>
      <c r="AD2906" s="119"/>
      <c r="AE2906" s="120"/>
      <c r="AF2906" s="119"/>
      <c r="AG2906" s="119"/>
      <c r="AH2906" s="120"/>
      <c r="AI2906" s="121"/>
      <c r="AJ2906" s="121"/>
      <c r="AK2906" s="121"/>
      <c r="AL2906" s="121"/>
      <c r="AM2906" s="122"/>
      <c r="AN2906" s="121"/>
    </row>
    <row r="2907" spans="29:40">
      <c r="AC2907" s="119"/>
      <c r="AD2907" s="119"/>
      <c r="AE2907" s="120"/>
      <c r="AF2907" s="119"/>
      <c r="AG2907" s="119"/>
      <c r="AH2907" s="120"/>
      <c r="AI2907" s="121"/>
      <c r="AJ2907" s="121"/>
      <c r="AK2907" s="121"/>
      <c r="AL2907" s="121"/>
      <c r="AM2907" s="122"/>
      <c r="AN2907" s="121"/>
    </row>
    <row r="2908" spans="29:40">
      <c r="AC2908" s="119"/>
      <c r="AD2908" s="119"/>
      <c r="AE2908" s="120"/>
      <c r="AF2908" s="119"/>
      <c r="AG2908" s="119"/>
      <c r="AH2908" s="120"/>
      <c r="AI2908" s="121"/>
      <c r="AJ2908" s="121"/>
      <c r="AK2908" s="121"/>
      <c r="AL2908" s="121"/>
      <c r="AM2908" s="122"/>
      <c r="AN2908" s="121"/>
    </row>
    <row r="2909" spans="29:40">
      <c r="AC2909" s="119"/>
      <c r="AD2909" s="119"/>
      <c r="AE2909" s="120"/>
      <c r="AF2909" s="119"/>
      <c r="AG2909" s="119"/>
      <c r="AH2909" s="120"/>
      <c r="AI2909" s="121"/>
      <c r="AJ2909" s="121"/>
      <c r="AK2909" s="121"/>
      <c r="AL2909" s="121"/>
      <c r="AM2909" s="122"/>
      <c r="AN2909" s="121"/>
    </row>
    <row r="2910" spans="29:40">
      <c r="AC2910" s="119"/>
      <c r="AD2910" s="119"/>
      <c r="AE2910" s="120"/>
      <c r="AF2910" s="119"/>
      <c r="AG2910" s="119"/>
      <c r="AH2910" s="120"/>
      <c r="AI2910" s="121"/>
      <c r="AJ2910" s="121"/>
      <c r="AK2910" s="121"/>
      <c r="AL2910" s="121"/>
      <c r="AM2910" s="122"/>
      <c r="AN2910" s="121"/>
    </row>
    <row r="2911" spans="29:40">
      <c r="AC2911" s="119"/>
      <c r="AD2911" s="119"/>
      <c r="AE2911" s="120"/>
      <c r="AF2911" s="119"/>
      <c r="AG2911" s="119"/>
      <c r="AH2911" s="120"/>
      <c r="AI2911" s="121"/>
      <c r="AJ2911" s="121"/>
      <c r="AK2911" s="121"/>
      <c r="AL2911" s="121"/>
      <c r="AM2911" s="122"/>
      <c r="AN2911" s="121"/>
    </row>
    <row r="2912" spans="29:40">
      <c r="AC2912" s="119"/>
      <c r="AD2912" s="119"/>
      <c r="AE2912" s="120"/>
      <c r="AF2912" s="119"/>
      <c r="AG2912" s="119"/>
      <c r="AH2912" s="120"/>
      <c r="AI2912" s="121"/>
      <c r="AJ2912" s="121"/>
      <c r="AK2912" s="121"/>
      <c r="AL2912" s="121"/>
      <c r="AM2912" s="122"/>
      <c r="AN2912" s="121"/>
    </row>
    <row r="2913" spans="29:40">
      <c r="AC2913" s="119"/>
      <c r="AD2913" s="119"/>
      <c r="AE2913" s="120"/>
      <c r="AF2913" s="119"/>
      <c r="AG2913" s="119"/>
      <c r="AH2913" s="120"/>
      <c r="AI2913" s="121"/>
      <c r="AJ2913" s="121"/>
      <c r="AK2913" s="121"/>
      <c r="AL2913" s="121"/>
      <c r="AM2913" s="122"/>
      <c r="AN2913" s="121"/>
    </row>
    <row r="2914" spans="29:40">
      <c r="AC2914" s="119"/>
      <c r="AD2914" s="119"/>
      <c r="AE2914" s="120"/>
      <c r="AF2914" s="119"/>
      <c r="AG2914" s="119"/>
      <c r="AH2914" s="120"/>
      <c r="AI2914" s="121"/>
      <c r="AJ2914" s="121"/>
      <c r="AK2914" s="121"/>
      <c r="AL2914" s="121"/>
      <c r="AM2914" s="122"/>
      <c r="AN2914" s="121"/>
    </row>
    <row r="2915" spans="29:40">
      <c r="AC2915" s="119"/>
      <c r="AD2915" s="119"/>
      <c r="AE2915" s="120"/>
      <c r="AF2915" s="119"/>
      <c r="AG2915" s="119"/>
      <c r="AH2915" s="120"/>
      <c r="AI2915" s="121"/>
      <c r="AJ2915" s="121"/>
      <c r="AK2915" s="121"/>
      <c r="AL2915" s="121"/>
      <c r="AM2915" s="122"/>
      <c r="AN2915" s="121"/>
    </row>
    <row r="2916" spans="29:40">
      <c r="AC2916" s="119"/>
      <c r="AD2916" s="119"/>
      <c r="AE2916" s="120"/>
      <c r="AF2916" s="119"/>
      <c r="AG2916" s="119"/>
      <c r="AH2916" s="120"/>
      <c r="AI2916" s="121"/>
      <c r="AJ2916" s="121"/>
      <c r="AK2916" s="121"/>
      <c r="AL2916" s="121"/>
      <c r="AM2916" s="122"/>
      <c r="AN2916" s="121"/>
    </row>
    <row r="2917" spans="29:40">
      <c r="AC2917" s="119"/>
      <c r="AD2917" s="119"/>
      <c r="AE2917" s="120"/>
      <c r="AF2917" s="119"/>
      <c r="AG2917" s="119"/>
      <c r="AH2917" s="120"/>
      <c r="AI2917" s="121"/>
      <c r="AJ2917" s="121"/>
      <c r="AK2917" s="121"/>
      <c r="AL2917" s="121"/>
      <c r="AM2917" s="122"/>
      <c r="AN2917" s="121"/>
    </row>
    <row r="2918" spans="29:40">
      <c r="AC2918" s="119"/>
      <c r="AD2918" s="119"/>
      <c r="AE2918" s="120"/>
      <c r="AF2918" s="119"/>
      <c r="AG2918" s="119"/>
      <c r="AH2918" s="120"/>
      <c r="AI2918" s="121"/>
      <c r="AJ2918" s="121"/>
      <c r="AK2918" s="121"/>
      <c r="AL2918" s="121"/>
      <c r="AM2918" s="122"/>
      <c r="AN2918" s="121"/>
    </row>
    <row r="2919" spans="29:40">
      <c r="AC2919" s="119"/>
      <c r="AD2919" s="119"/>
      <c r="AE2919" s="120"/>
      <c r="AF2919" s="119"/>
      <c r="AG2919" s="119"/>
      <c r="AH2919" s="120"/>
      <c r="AI2919" s="121"/>
      <c r="AJ2919" s="121"/>
      <c r="AK2919" s="121"/>
      <c r="AL2919" s="121"/>
      <c r="AM2919" s="122"/>
      <c r="AN2919" s="121"/>
    </row>
    <row r="2920" spans="29:40">
      <c r="AC2920" s="119"/>
      <c r="AD2920" s="119"/>
      <c r="AE2920" s="120"/>
      <c r="AF2920" s="119"/>
      <c r="AG2920" s="119"/>
      <c r="AH2920" s="120"/>
      <c r="AI2920" s="121"/>
      <c r="AJ2920" s="121"/>
      <c r="AK2920" s="121"/>
      <c r="AL2920" s="121"/>
      <c r="AM2920" s="122"/>
      <c r="AN2920" s="121"/>
    </row>
    <row r="2921" spans="29:40">
      <c r="AC2921" s="119"/>
      <c r="AD2921" s="119"/>
      <c r="AE2921" s="120"/>
      <c r="AF2921" s="119"/>
      <c r="AG2921" s="119"/>
      <c r="AH2921" s="120"/>
      <c r="AI2921" s="121"/>
      <c r="AJ2921" s="121"/>
      <c r="AK2921" s="121"/>
      <c r="AL2921" s="121"/>
      <c r="AM2921" s="122"/>
      <c r="AN2921" s="121"/>
    </row>
    <row r="2922" spans="29:40">
      <c r="AC2922" s="119"/>
      <c r="AD2922" s="119"/>
      <c r="AE2922" s="120"/>
      <c r="AF2922" s="119"/>
      <c r="AG2922" s="119"/>
      <c r="AH2922" s="120"/>
      <c r="AI2922" s="121"/>
      <c r="AJ2922" s="121"/>
      <c r="AK2922" s="121"/>
      <c r="AL2922" s="121"/>
      <c r="AM2922" s="122"/>
      <c r="AN2922" s="121"/>
    </row>
    <row r="2923" spans="29:40">
      <c r="AC2923" s="119"/>
      <c r="AD2923" s="119"/>
      <c r="AE2923" s="120"/>
      <c r="AF2923" s="119"/>
      <c r="AG2923" s="119"/>
      <c r="AH2923" s="120"/>
      <c r="AI2923" s="121"/>
      <c r="AJ2923" s="121"/>
      <c r="AK2923" s="121"/>
      <c r="AL2923" s="121"/>
      <c r="AM2923" s="122"/>
      <c r="AN2923" s="121"/>
    </row>
    <row r="2924" spans="29:40">
      <c r="AC2924" s="119"/>
      <c r="AD2924" s="119"/>
      <c r="AE2924" s="120"/>
      <c r="AF2924" s="119"/>
      <c r="AG2924" s="119"/>
      <c r="AH2924" s="120"/>
      <c r="AI2924" s="121"/>
      <c r="AJ2924" s="121"/>
      <c r="AK2924" s="121"/>
      <c r="AL2924" s="121"/>
      <c r="AM2924" s="122"/>
      <c r="AN2924" s="121"/>
    </row>
    <row r="2925" spans="29:40">
      <c r="AC2925" s="119"/>
      <c r="AD2925" s="119"/>
      <c r="AE2925" s="120"/>
      <c r="AF2925" s="119"/>
      <c r="AG2925" s="119"/>
      <c r="AH2925" s="120"/>
      <c r="AI2925" s="121"/>
      <c r="AJ2925" s="121"/>
      <c r="AK2925" s="121"/>
      <c r="AL2925" s="121"/>
      <c r="AM2925" s="122"/>
      <c r="AN2925" s="121"/>
    </row>
    <row r="2926" spans="29:40">
      <c r="AC2926" s="119"/>
      <c r="AD2926" s="119"/>
      <c r="AE2926" s="120"/>
      <c r="AF2926" s="119"/>
      <c r="AG2926" s="119"/>
      <c r="AH2926" s="120"/>
      <c r="AI2926" s="121"/>
      <c r="AJ2926" s="121"/>
      <c r="AK2926" s="121"/>
      <c r="AL2926" s="121"/>
      <c r="AM2926" s="122"/>
      <c r="AN2926" s="121"/>
    </row>
    <row r="2927" spans="29:40">
      <c r="AC2927" s="119"/>
      <c r="AD2927" s="119"/>
      <c r="AE2927" s="120"/>
      <c r="AF2927" s="119"/>
      <c r="AG2927" s="119"/>
      <c r="AH2927" s="120"/>
      <c r="AI2927" s="121"/>
      <c r="AJ2927" s="121"/>
      <c r="AK2927" s="121"/>
      <c r="AL2927" s="121"/>
      <c r="AM2927" s="122"/>
      <c r="AN2927" s="121"/>
    </row>
    <row r="2928" spans="29:40">
      <c r="AC2928" s="119"/>
      <c r="AD2928" s="119"/>
      <c r="AE2928" s="120"/>
      <c r="AF2928" s="119"/>
      <c r="AG2928" s="119"/>
      <c r="AH2928" s="120"/>
      <c r="AI2928" s="121"/>
      <c r="AJ2928" s="121"/>
      <c r="AK2928" s="121"/>
      <c r="AL2928" s="121"/>
      <c r="AM2928" s="122"/>
      <c r="AN2928" s="121"/>
    </row>
    <row r="2929" spans="29:40">
      <c r="AC2929" s="119"/>
      <c r="AD2929" s="119"/>
      <c r="AE2929" s="120"/>
      <c r="AF2929" s="119"/>
      <c r="AG2929" s="119"/>
      <c r="AH2929" s="120"/>
      <c r="AI2929" s="121"/>
      <c r="AJ2929" s="121"/>
      <c r="AK2929" s="121"/>
      <c r="AL2929" s="121"/>
      <c r="AM2929" s="122"/>
      <c r="AN2929" s="121"/>
    </row>
    <row r="2930" spans="29:40">
      <c r="AC2930" s="119"/>
      <c r="AD2930" s="119"/>
      <c r="AE2930" s="120"/>
      <c r="AF2930" s="119"/>
      <c r="AG2930" s="119"/>
      <c r="AH2930" s="120"/>
      <c r="AI2930" s="121"/>
      <c r="AJ2930" s="121"/>
      <c r="AK2930" s="121"/>
      <c r="AL2930" s="121"/>
      <c r="AM2930" s="122"/>
      <c r="AN2930" s="121"/>
    </row>
    <row r="2931" spans="29:40">
      <c r="AC2931" s="119"/>
      <c r="AD2931" s="119"/>
      <c r="AE2931" s="120"/>
      <c r="AF2931" s="119"/>
      <c r="AG2931" s="119"/>
      <c r="AH2931" s="120"/>
      <c r="AI2931" s="121"/>
      <c r="AJ2931" s="121"/>
      <c r="AK2931" s="121"/>
      <c r="AL2931" s="121"/>
      <c r="AM2931" s="122"/>
      <c r="AN2931" s="121"/>
    </row>
    <row r="2932" spans="29:40">
      <c r="AC2932" s="119"/>
      <c r="AD2932" s="119"/>
      <c r="AE2932" s="120"/>
      <c r="AF2932" s="119"/>
      <c r="AG2932" s="119"/>
      <c r="AH2932" s="120"/>
      <c r="AI2932" s="121"/>
      <c r="AJ2932" s="121"/>
      <c r="AK2932" s="121"/>
      <c r="AL2932" s="121"/>
      <c r="AM2932" s="122"/>
      <c r="AN2932" s="121"/>
    </row>
    <row r="2933" spans="29:40">
      <c r="AC2933" s="119"/>
      <c r="AD2933" s="119"/>
      <c r="AE2933" s="120"/>
      <c r="AF2933" s="119"/>
      <c r="AG2933" s="119"/>
      <c r="AH2933" s="120"/>
      <c r="AI2933" s="121"/>
      <c r="AJ2933" s="121"/>
      <c r="AK2933" s="121"/>
      <c r="AL2933" s="121"/>
      <c r="AM2933" s="122"/>
      <c r="AN2933" s="121"/>
    </row>
    <row r="2934" spans="29:40">
      <c r="AC2934" s="119"/>
      <c r="AD2934" s="119"/>
      <c r="AE2934" s="120"/>
      <c r="AF2934" s="119"/>
      <c r="AG2934" s="119"/>
      <c r="AH2934" s="120"/>
      <c r="AI2934" s="121"/>
      <c r="AJ2934" s="121"/>
      <c r="AK2934" s="121"/>
      <c r="AL2934" s="121"/>
      <c r="AM2934" s="122"/>
      <c r="AN2934" s="121"/>
    </row>
    <row r="2935" spans="29:40">
      <c r="AC2935" s="119"/>
      <c r="AD2935" s="119"/>
      <c r="AE2935" s="120"/>
      <c r="AF2935" s="119"/>
      <c r="AG2935" s="119"/>
      <c r="AH2935" s="120"/>
      <c r="AI2935" s="121"/>
      <c r="AJ2935" s="121"/>
      <c r="AK2935" s="121"/>
      <c r="AL2935" s="121"/>
      <c r="AM2935" s="122"/>
      <c r="AN2935" s="121"/>
    </row>
    <row r="2936" spans="29:40">
      <c r="AC2936" s="119"/>
      <c r="AD2936" s="119"/>
      <c r="AE2936" s="120"/>
      <c r="AF2936" s="119"/>
      <c r="AG2936" s="119"/>
      <c r="AH2936" s="120"/>
      <c r="AI2936" s="121"/>
      <c r="AJ2936" s="121"/>
      <c r="AK2936" s="121"/>
      <c r="AL2936" s="121"/>
      <c r="AM2936" s="122"/>
      <c r="AN2936" s="121"/>
    </row>
    <row r="2937" spans="29:40">
      <c r="AC2937" s="119"/>
      <c r="AD2937" s="119"/>
      <c r="AE2937" s="120"/>
      <c r="AF2937" s="119"/>
      <c r="AG2937" s="119"/>
      <c r="AH2937" s="120"/>
      <c r="AI2937" s="121"/>
      <c r="AJ2937" s="121"/>
      <c r="AK2937" s="121"/>
      <c r="AL2937" s="121"/>
      <c r="AM2937" s="122"/>
      <c r="AN2937" s="121"/>
    </row>
    <row r="2938" spans="29:40">
      <c r="AC2938" s="119"/>
      <c r="AD2938" s="119"/>
      <c r="AE2938" s="120"/>
      <c r="AF2938" s="119"/>
      <c r="AG2938" s="119"/>
      <c r="AH2938" s="120"/>
      <c r="AI2938" s="121"/>
      <c r="AJ2938" s="121"/>
      <c r="AK2938" s="121"/>
      <c r="AL2938" s="121"/>
      <c r="AM2938" s="122"/>
      <c r="AN2938" s="121"/>
    </row>
    <row r="2939" spans="29:40">
      <c r="AC2939" s="119"/>
      <c r="AD2939" s="119"/>
      <c r="AE2939" s="120"/>
      <c r="AF2939" s="119"/>
      <c r="AG2939" s="119"/>
      <c r="AH2939" s="120"/>
      <c r="AI2939" s="121"/>
      <c r="AJ2939" s="121"/>
      <c r="AK2939" s="121"/>
      <c r="AL2939" s="121"/>
      <c r="AM2939" s="122"/>
      <c r="AN2939" s="121"/>
    </row>
    <row r="2940" spans="29:40">
      <c r="AC2940" s="119"/>
      <c r="AD2940" s="119"/>
      <c r="AE2940" s="120"/>
      <c r="AF2940" s="119"/>
      <c r="AG2940" s="119"/>
      <c r="AH2940" s="120"/>
      <c r="AI2940" s="121"/>
      <c r="AJ2940" s="121"/>
      <c r="AK2940" s="121"/>
      <c r="AL2940" s="121"/>
      <c r="AM2940" s="122"/>
      <c r="AN2940" s="121"/>
    </row>
    <row r="2941" spans="29:40">
      <c r="AC2941" s="119"/>
      <c r="AD2941" s="119"/>
      <c r="AE2941" s="120"/>
      <c r="AF2941" s="119"/>
      <c r="AG2941" s="119"/>
      <c r="AH2941" s="120"/>
      <c r="AI2941" s="121"/>
      <c r="AJ2941" s="121"/>
      <c r="AK2941" s="121"/>
      <c r="AL2941" s="121"/>
      <c r="AM2941" s="122"/>
      <c r="AN2941" s="121"/>
    </row>
    <row r="2942" spans="29:40">
      <c r="AC2942" s="119"/>
      <c r="AD2942" s="119"/>
      <c r="AE2942" s="120"/>
      <c r="AF2942" s="119"/>
      <c r="AG2942" s="119"/>
      <c r="AH2942" s="120"/>
      <c r="AI2942" s="121"/>
      <c r="AJ2942" s="121"/>
      <c r="AK2942" s="121"/>
      <c r="AL2942" s="121"/>
      <c r="AM2942" s="122"/>
      <c r="AN2942" s="121"/>
    </row>
    <row r="2943" spans="29:40">
      <c r="AC2943" s="119"/>
      <c r="AD2943" s="119"/>
      <c r="AE2943" s="120"/>
      <c r="AF2943" s="119"/>
      <c r="AG2943" s="119"/>
      <c r="AH2943" s="120"/>
      <c r="AI2943" s="121"/>
      <c r="AJ2943" s="121"/>
      <c r="AK2943" s="121"/>
      <c r="AL2943" s="121"/>
      <c r="AM2943" s="122"/>
      <c r="AN2943" s="121"/>
    </row>
    <row r="2944" spans="29:40">
      <c r="AC2944" s="119"/>
      <c r="AD2944" s="119"/>
      <c r="AE2944" s="120"/>
      <c r="AF2944" s="119"/>
      <c r="AG2944" s="119"/>
      <c r="AH2944" s="120"/>
      <c r="AI2944" s="121"/>
      <c r="AJ2944" s="121"/>
      <c r="AK2944" s="121"/>
      <c r="AL2944" s="121"/>
      <c r="AM2944" s="122"/>
      <c r="AN2944" s="121"/>
    </row>
    <row r="2945" spans="29:40">
      <c r="AC2945" s="119"/>
      <c r="AD2945" s="119"/>
      <c r="AE2945" s="120"/>
      <c r="AF2945" s="119"/>
      <c r="AG2945" s="119"/>
      <c r="AH2945" s="120"/>
      <c r="AI2945" s="121"/>
      <c r="AJ2945" s="121"/>
      <c r="AK2945" s="121"/>
      <c r="AL2945" s="121"/>
      <c r="AM2945" s="122"/>
      <c r="AN2945" s="121"/>
    </row>
    <row r="2946" spans="29:40">
      <c r="AC2946" s="119"/>
      <c r="AD2946" s="119"/>
      <c r="AE2946" s="120"/>
      <c r="AF2946" s="119"/>
      <c r="AG2946" s="119"/>
      <c r="AH2946" s="120"/>
      <c r="AI2946" s="121"/>
      <c r="AJ2946" s="121"/>
      <c r="AK2946" s="121"/>
      <c r="AL2946" s="121"/>
      <c r="AM2946" s="122"/>
      <c r="AN2946" s="121"/>
    </row>
    <row r="2947" spans="29:40">
      <c r="AC2947" s="119"/>
      <c r="AD2947" s="119"/>
      <c r="AE2947" s="120"/>
      <c r="AF2947" s="119"/>
      <c r="AG2947" s="119"/>
      <c r="AH2947" s="120"/>
      <c r="AI2947" s="121"/>
      <c r="AJ2947" s="121"/>
      <c r="AK2947" s="121"/>
      <c r="AL2947" s="121"/>
      <c r="AM2947" s="122"/>
      <c r="AN2947" s="121"/>
    </row>
    <row r="2948" spans="29:40">
      <c r="AC2948" s="119"/>
      <c r="AD2948" s="119"/>
      <c r="AE2948" s="120"/>
      <c r="AF2948" s="119"/>
      <c r="AG2948" s="119"/>
      <c r="AH2948" s="120"/>
      <c r="AI2948" s="121"/>
      <c r="AJ2948" s="121"/>
      <c r="AK2948" s="121"/>
      <c r="AL2948" s="121"/>
      <c r="AM2948" s="122"/>
      <c r="AN2948" s="121"/>
    </row>
    <row r="2949" spans="29:40">
      <c r="AC2949" s="119"/>
      <c r="AD2949" s="119"/>
      <c r="AE2949" s="120"/>
      <c r="AF2949" s="119"/>
      <c r="AG2949" s="119"/>
      <c r="AH2949" s="120"/>
      <c r="AI2949" s="121"/>
      <c r="AJ2949" s="121"/>
      <c r="AK2949" s="121"/>
      <c r="AL2949" s="121"/>
      <c r="AM2949" s="122"/>
      <c r="AN2949" s="121"/>
    </row>
    <row r="2950" spans="29:40">
      <c r="AC2950" s="119"/>
      <c r="AD2950" s="119"/>
      <c r="AE2950" s="120"/>
      <c r="AF2950" s="119"/>
      <c r="AG2950" s="119"/>
      <c r="AH2950" s="120"/>
      <c r="AI2950" s="121"/>
      <c r="AJ2950" s="121"/>
      <c r="AK2950" s="121"/>
      <c r="AL2950" s="121"/>
      <c r="AM2950" s="122"/>
      <c r="AN2950" s="121"/>
    </row>
    <row r="2951" spans="29:40">
      <c r="AC2951" s="119"/>
      <c r="AD2951" s="119"/>
      <c r="AE2951" s="120"/>
      <c r="AF2951" s="119"/>
      <c r="AG2951" s="119"/>
      <c r="AH2951" s="120"/>
      <c r="AI2951" s="121"/>
      <c r="AJ2951" s="121"/>
      <c r="AK2951" s="121"/>
      <c r="AL2951" s="121"/>
      <c r="AM2951" s="122"/>
      <c r="AN2951" s="121"/>
    </row>
    <row r="2952" spans="29:40">
      <c r="AC2952" s="119"/>
      <c r="AD2952" s="119"/>
      <c r="AE2952" s="120"/>
      <c r="AF2952" s="119"/>
      <c r="AG2952" s="119"/>
      <c r="AH2952" s="120"/>
      <c r="AI2952" s="121"/>
      <c r="AJ2952" s="121"/>
      <c r="AK2952" s="121"/>
      <c r="AL2952" s="121"/>
      <c r="AM2952" s="122"/>
      <c r="AN2952" s="121"/>
    </row>
    <row r="2953" spans="29:40">
      <c r="AC2953" s="119"/>
      <c r="AD2953" s="119"/>
      <c r="AE2953" s="120"/>
      <c r="AF2953" s="119"/>
      <c r="AG2953" s="119"/>
      <c r="AH2953" s="120"/>
      <c r="AI2953" s="121"/>
      <c r="AJ2953" s="121"/>
      <c r="AK2953" s="121"/>
      <c r="AL2953" s="121"/>
      <c r="AM2953" s="122"/>
      <c r="AN2953" s="121"/>
    </row>
    <row r="2954" spans="29:40">
      <c r="AC2954" s="119"/>
      <c r="AD2954" s="119"/>
      <c r="AE2954" s="120"/>
      <c r="AF2954" s="119"/>
      <c r="AG2954" s="119"/>
      <c r="AH2954" s="120"/>
      <c r="AI2954" s="121"/>
      <c r="AJ2954" s="121"/>
      <c r="AK2954" s="121"/>
      <c r="AL2954" s="121"/>
      <c r="AM2954" s="122"/>
      <c r="AN2954" s="121"/>
    </row>
    <row r="2955" spans="29:40">
      <c r="AC2955" s="119"/>
      <c r="AD2955" s="119"/>
      <c r="AE2955" s="120"/>
      <c r="AF2955" s="119"/>
      <c r="AG2955" s="119"/>
      <c r="AH2955" s="120"/>
      <c r="AI2955" s="121"/>
      <c r="AJ2955" s="121"/>
      <c r="AK2955" s="121"/>
      <c r="AL2955" s="121"/>
      <c r="AM2955" s="122"/>
      <c r="AN2955" s="121"/>
    </row>
    <row r="2956" spans="29:40">
      <c r="AC2956" s="119"/>
      <c r="AD2956" s="119"/>
      <c r="AE2956" s="120"/>
      <c r="AF2956" s="119"/>
      <c r="AG2956" s="119"/>
      <c r="AH2956" s="120"/>
      <c r="AI2956" s="121"/>
      <c r="AJ2956" s="121"/>
      <c r="AK2956" s="121"/>
      <c r="AL2956" s="121"/>
      <c r="AM2956" s="122"/>
      <c r="AN2956" s="121"/>
    </row>
    <row r="2957" spans="29:40">
      <c r="AC2957" s="119"/>
      <c r="AD2957" s="119"/>
      <c r="AE2957" s="120"/>
      <c r="AF2957" s="119"/>
      <c r="AG2957" s="119"/>
      <c r="AH2957" s="120"/>
      <c r="AI2957" s="121"/>
      <c r="AJ2957" s="121"/>
      <c r="AK2957" s="121"/>
      <c r="AL2957" s="121"/>
      <c r="AM2957" s="122"/>
      <c r="AN2957" s="121"/>
    </row>
    <row r="2958" spans="29:40">
      <c r="AC2958" s="119"/>
      <c r="AD2958" s="119"/>
      <c r="AE2958" s="120"/>
      <c r="AF2958" s="119"/>
      <c r="AG2958" s="119"/>
      <c r="AH2958" s="120"/>
      <c r="AI2958" s="121"/>
      <c r="AJ2958" s="121"/>
      <c r="AK2958" s="121"/>
      <c r="AL2958" s="121"/>
      <c r="AM2958" s="122"/>
      <c r="AN2958" s="121"/>
    </row>
    <row r="2959" spans="29:40">
      <c r="AC2959" s="119"/>
      <c r="AD2959" s="119"/>
      <c r="AE2959" s="120"/>
      <c r="AF2959" s="119"/>
      <c r="AG2959" s="119"/>
      <c r="AH2959" s="120"/>
      <c r="AI2959" s="121"/>
      <c r="AJ2959" s="121"/>
      <c r="AK2959" s="121"/>
      <c r="AL2959" s="121"/>
      <c r="AM2959" s="122"/>
      <c r="AN2959" s="121"/>
    </row>
    <row r="2960" spans="29:40">
      <c r="AC2960" s="119"/>
      <c r="AD2960" s="119"/>
      <c r="AE2960" s="120"/>
      <c r="AF2960" s="119"/>
      <c r="AG2960" s="119"/>
      <c r="AH2960" s="120"/>
      <c r="AI2960" s="121"/>
      <c r="AJ2960" s="121"/>
      <c r="AK2960" s="121"/>
      <c r="AL2960" s="121"/>
      <c r="AM2960" s="122"/>
      <c r="AN2960" s="121"/>
    </row>
    <row r="2961" spans="29:40">
      <c r="AC2961" s="119"/>
      <c r="AD2961" s="119"/>
      <c r="AE2961" s="120"/>
      <c r="AF2961" s="119"/>
      <c r="AG2961" s="119"/>
      <c r="AH2961" s="120"/>
      <c r="AI2961" s="121"/>
      <c r="AJ2961" s="121"/>
      <c r="AK2961" s="121"/>
      <c r="AL2961" s="121"/>
      <c r="AM2961" s="122"/>
      <c r="AN2961" s="121"/>
    </row>
    <row r="2962" spans="29:40">
      <c r="AC2962" s="119"/>
      <c r="AD2962" s="119"/>
      <c r="AE2962" s="120"/>
      <c r="AF2962" s="119"/>
      <c r="AG2962" s="119"/>
      <c r="AH2962" s="120"/>
      <c r="AI2962" s="121"/>
      <c r="AJ2962" s="121"/>
      <c r="AK2962" s="121"/>
      <c r="AL2962" s="121"/>
      <c r="AM2962" s="122"/>
      <c r="AN2962" s="121"/>
    </row>
    <row r="2963" spans="29:40">
      <c r="AC2963" s="119"/>
      <c r="AD2963" s="119"/>
      <c r="AE2963" s="120"/>
      <c r="AF2963" s="119"/>
      <c r="AG2963" s="119"/>
      <c r="AH2963" s="120"/>
      <c r="AI2963" s="121"/>
      <c r="AJ2963" s="121"/>
      <c r="AK2963" s="121"/>
      <c r="AL2963" s="121"/>
      <c r="AM2963" s="122"/>
      <c r="AN2963" s="121"/>
    </row>
    <row r="2964" spans="29:40">
      <c r="AC2964" s="119"/>
      <c r="AD2964" s="119"/>
      <c r="AE2964" s="120"/>
      <c r="AF2964" s="119"/>
      <c r="AG2964" s="119"/>
      <c r="AH2964" s="120"/>
      <c r="AI2964" s="121"/>
      <c r="AJ2964" s="121"/>
      <c r="AK2964" s="121"/>
      <c r="AL2964" s="121"/>
      <c r="AM2964" s="122"/>
      <c r="AN2964" s="121"/>
    </row>
    <row r="2965" spans="29:40">
      <c r="AC2965" s="119"/>
      <c r="AD2965" s="119"/>
      <c r="AE2965" s="120"/>
      <c r="AF2965" s="119"/>
      <c r="AG2965" s="119"/>
      <c r="AH2965" s="120"/>
      <c r="AI2965" s="121"/>
      <c r="AJ2965" s="121"/>
      <c r="AK2965" s="121"/>
      <c r="AL2965" s="121"/>
      <c r="AM2965" s="122"/>
      <c r="AN2965" s="121"/>
    </row>
    <row r="2966" spans="29:40">
      <c r="AC2966" s="119"/>
      <c r="AD2966" s="119"/>
      <c r="AE2966" s="120"/>
      <c r="AF2966" s="119"/>
      <c r="AG2966" s="119"/>
      <c r="AH2966" s="120"/>
      <c r="AI2966" s="121"/>
      <c r="AJ2966" s="121"/>
      <c r="AK2966" s="121"/>
      <c r="AL2966" s="121"/>
      <c r="AM2966" s="122"/>
      <c r="AN2966" s="121"/>
    </row>
    <row r="2967" spans="29:40">
      <c r="AC2967" s="119"/>
      <c r="AD2967" s="119"/>
      <c r="AE2967" s="120"/>
      <c r="AF2967" s="119"/>
      <c r="AG2967" s="119"/>
      <c r="AH2967" s="120"/>
      <c r="AI2967" s="121"/>
      <c r="AJ2967" s="121"/>
      <c r="AK2967" s="121"/>
      <c r="AL2967" s="121"/>
      <c r="AM2967" s="122"/>
      <c r="AN2967" s="121"/>
    </row>
    <row r="2968" spans="29:40">
      <c r="AC2968" s="119"/>
      <c r="AD2968" s="119"/>
      <c r="AE2968" s="120"/>
      <c r="AF2968" s="119"/>
      <c r="AG2968" s="119"/>
      <c r="AH2968" s="120"/>
      <c r="AI2968" s="121"/>
      <c r="AJ2968" s="121"/>
      <c r="AK2968" s="121"/>
      <c r="AL2968" s="121"/>
      <c r="AM2968" s="122"/>
      <c r="AN2968" s="121"/>
    </row>
    <row r="2969" spans="29:40">
      <c r="AC2969" s="119"/>
      <c r="AD2969" s="119"/>
      <c r="AE2969" s="120"/>
      <c r="AF2969" s="119"/>
      <c r="AG2969" s="119"/>
      <c r="AH2969" s="120"/>
      <c r="AI2969" s="121"/>
      <c r="AJ2969" s="121"/>
      <c r="AK2969" s="121"/>
      <c r="AL2969" s="121"/>
      <c r="AM2969" s="122"/>
      <c r="AN2969" s="121"/>
    </row>
    <row r="2970" spans="29:40">
      <c r="AC2970" s="119"/>
      <c r="AD2970" s="119"/>
      <c r="AE2970" s="120"/>
      <c r="AF2970" s="119"/>
      <c r="AG2970" s="119"/>
      <c r="AH2970" s="120"/>
      <c r="AI2970" s="121"/>
      <c r="AJ2970" s="121"/>
      <c r="AK2970" s="121"/>
      <c r="AL2970" s="121"/>
      <c r="AM2970" s="122"/>
      <c r="AN2970" s="121"/>
    </row>
    <row r="2971" spans="29:40">
      <c r="AC2971" s="119"/>
      <c r="AD2971" s="119"/>
      <c r="AE2971" s="120"/>
      <c r="AF2971" s="119"/>
      <c r="AG2971" s="119"/>
      <c r="AH2971" s="120"/>
      <c r="AI2971" s="121"/>
      <c r="AJ2971" s="121"/>
      <c r="AK2971" s="121"/>
      <c r="AL2971" s="121"/>
      <c r="AM2971" s="122"/>
      <c r="AN2971" s="121"/>
    </row>
    <row r="2972" spans="29:40">
      <c r="AC2972" s="119"/>
      <c r="AD2972" s="119"/>
      <c r="AE2972" s="120"/>
      <c r="AF2972" s="119"/>
      <c r="AG2972" s="119"/>
      <c r="AH2972" s="120"/>
      <c r="AI2972" s="121"/>
      <c r="AJ2972" s="121"/>
      <c r="AK2972" s="121"/>
      <c r="AL2972" s="121"/>
      <c r="AM2972" s="122"/>
      <c r="AN2972" s="121"/>
    </row>
    <row r="2973" spans="29:40">
      <c r="AC2973" s="119"/>
      <c r="AD2973" s="119"/>
      <c r="AE2973" s="120"/>
      <c r="AF2973" s="119"/>
      <c r="AG2973" s="119"/>
      <c r="AH2973" s="120"/>
      <c r="AI2973" s="121"/>
      <c r="AJ2973" s="121"/>
      <c r="AK2973" s="121"/>
      <c r="AL2973" s="121"/>
      <c r="AM2973" s="122"/>
      <c r="AN2973" s="121"/>
    </row>
    <row r="2974" spans="29:40">
      <c r="AC2974" s="119"/>
      <c r="AD2974" s="119"/>
      <c r="AE2974" s="120"/>
      <c r="AF2974" s="119"/>
      <c r="AG2974" s="119"/>
      <c r="AH2974" s="120"/>
      <c r="AI2974" s="121"/>
      <c r="AJ2974" s="121"/>
      <c r="AK2974" s="121"/>
      <c r="AL2974" s="121"/>
      <c r="AM2974" s="122"/>
      <c r="AN2974" s="121"/>
    </row>
    <row r="2975" spans="29:40">
      <c r="AC2975" s="119"/>
      <c r="AD2975" s="119"/>
      <c r="AE2975" s="120"/>
      <c r="AF2975" s="119"/>
      <c r="AG2975" s="119"/>
      <c r="AH2975" s="120"/>
      <c r="AI2975" s="121"/>
      <c r="AJ2975" s="121"/>
      <c r="AK2975" s="121"/>
      <c r="AL2975" s="121"/>
      <c r="AM2975" s="122"/>
      <c r="AN2975" s="121"/>
    </row>
    <row r="2976" spans="29:40">
      <c r="AC2976" s="119"/>
      <c r="AD2976" s="119"/>
      <c r="AE2976" s="120"/>
      <c r="AF2976" s="119"/>
      <c r="AG2976" s="119"/>
      <c r="AH2976" s="120"/>
      <c r="AI2976" s="121"/>
      <c r="AJ2976" s="121"/>
      <c r="AK2976" s="121"/>
      <c r="AL2976" s="121"/>
      <c r="AM2976" s="122"/>
      <c r="AN2976" s="121"/>
    </row>
    <row r="2977" spans="29:40">
      <c r="AC2977" s="119"/>
      <c r="AD2977" s="119"/>
      <c r="AE2977" s="120"/>
      <c r="AF2977" s="119"/>
      <c r="AG2977" s="119"/>
      <c r="AH2977" s="120"/>
      <c r="AI2977" s="121"/>
      <c r="AJ2977" s="121"/>
      <c r="AK2977" s="121"/>
      <c r="AL2977" s="121"/>
      <c r="AM2977" s="122"/>
      <c r="AN2977" s="121"/>
    </row>
    <row r="2978" spans="29:40">
      <c r="AC2978" s="119"/>
      <c r="AD2978" s="119"/>
      <c r="AE2978" s="120"/>
      <c r="AF2978" s="119"/>
      <c r="AG2978" s="119"/>
      <c r="AH2978" s="120"/>
      <c r="AI2978" s="121"/>
      <c r="AJ2978" s="121"/>
      <c r="AK2978" s="121"/>
      <c r="AL2978" s="121"/>
      <c r="AM2978" s="122"/>
      <c r="AN2978" s="121"/>
    </row>
    <row r="2979" spans="29:40">
      <c r="AC2979" s="119"/>
      <c r="AD2979" s="119"/>
      <c r="AE2979" s="120"/>
      <c r="AF2979" s="119"/>
      <c r="AG2979" s="119"/>
      <c r="AH2979" s="120"/>
      <c r="AI2979" s="121"/>
      <c r="AJ2979" s="121"/>
      <c r="AK2979" s="121"/>
      <c r="AL2979" s="121"/>
      <c r="AM2979" s="122"/>
      <c r="AN2979" s="121"/>
    </row>
    <row r="2980" spans="29:40">
      <c r="AC2980" s="119"/>
      <c r="AD2980" s="119"/>
      <c r="AE2980" s="120"/>
      <c r="AF2980" s="119"/>
      <c r="AG2980" s="119"/>
      <c r="AH2980" s="120"/>
      <c r="AI2980" s="121"/>
      <c r="AJ2980" s="121"/>
      <c r="AK2980" s="121"/>
      <c r="AL2980" s="121"/>
      <c r="AM2980" s="122"/>
      <c r="AN2980" s="121"/>
    </row>
    <row r="2981" spans="29:40">
      <c r="AC2981" s="119"/>
      <c r="AD2981" s="119"/>
      <c r="AE2981" s="120"/>
      <c r="AF2981" s="119"/>
      <c r="AG2981" s="119"/>
      <c r="AH2981" s="120"/>
      <c r="AI2981" s="121"/>
      <c r="AJ2981" s="121"/>
      <c r="AK2981" s="121"/>
      <c r="AL2981" s="121"/>
      <c r="AM2981" s="122"/>
      <c r="AN2981" s="121"/>
    </row>
    <row r="2982" spans="29:40">
      <c r="AC2982" s="119"/>
      <c r="AD2982" s="119"/>
      <c r="AE2982" s="120"/>
      <c r="AF2982" s="119"/>
      <c r="AG2982" s="119"/>
      <c r="AH2982" s="120"/>
      <c r="AI2982" s="121"/>
      <c r="AJ2982" s="121"/>
      <c r="AK2982" s="121"/>
      <c r="AL2982" s="121"/>
      <c r="AM2982" s="122"/>
      <c r="AN2982" s="121"/>
    </row>
    <row r="2983" spans="29:40">
      <c r="AC2983" s="119"/>
      <c r="AD2983" s="119"/>
      <c r="AE2983" s="120"/>
      <c r="AF2983" s="119"/>
      <c r="AG2983" s="119"/>
      <c r="AH2983" s="120"/>
      <c r="AI2983" s="121"/>
      <c r="AJ2983" s="121"/>
      <c r="AK2983" s="121"/>
      <c r="AL2983" s="121"/>
      <c r="AM2983" s="122"/>
      <c r="AN2983" s="121"/>
    </row>
    <row r="2984" spans="29:40">
      <c r="AC2984" s="119"/>
      <c r="AD2984" s="119"/>
      <c r="AE2984" s="120"/>
      <c r="AF2984" s="119"/>
      <c r="AG2984" s="119"/>
      <c r="AH2984" s="120"/>
      <c r="AI2984" s="121"/>
      <c r="AJ2984" s="121"/>
      <c r="AK2984" s="121"/>
      <c r="AL2984" s="121"/>
      <c r="AM2984" s="122"/>
      <c r="AN2984" s="121"/>
    </row>
    <row r="2985" spans="29:40">
      <c r="AC2985" s="119"/>
      <c r="AD2985" s="119"/>
      <c r="AE2985" s="120"/>
      <c r="AF2985" s="119"/>
      <c r="AG2985" s="119"/>
      <c r="AH2985" s="120"/>
      <c r="AI2985" s="121"/>
      <c r="AJ2985" s="121"/>
      <c r="AK2985" s="121"/>
      <c r="AL2985" s="121"/>
      <c r="AM2985" s="122"/>
      <c r="AN2985" s="121"/>
    </row>
    <row r="2986" spans="29:40">
      <c r="AC2986" s="119"/>
      <c r="AD2986" s="119"/>
      <c r="AE2986" s="120"/>
      <c r="AF2986" s="119"/>
      <c r="AG2986" s="119"/>
      <c r="AH2986" s="120"/>
      <c r="AI2986" s="121"/>
      <c r="AJ2986" s="121"/>
      <c r="AK2986" s="121"/>
      <c r="AL2986" s="121"/>
      <c r="AM2986" s="122"/>
      <c r="AN2986" s="121"/>
    </row>
    <row r="2987" spans="29:40">
      <c r="AC2987" s="119"/>
      <c r="AD2987" s="119"/>
      <c r="AE2987" s="120"/>
      <c r="AF2987" s="119"/>
      <c r="AG2987" s="119"/>
      <c r="AH2987" s="120"/>
      <c r="AI2987" s="121"/>
      <c r="AJ2987" s="121"/>
      <c r="AK2987" s="121"/>
      <c r="AL2987" s="121"/>
      <c r="AM2987" s="122"/>
      <c r="AN2987" s="121"/>
    </row>
    <row r="2988" spans="29:40">
      <c r="AC2988" s="119"/>
      <c r="AD2988" s="119"/>
      <c r="AE2988" s="120"/>
      <c r="AF2988" s="119"/>
      <c r="AG2988" s="119"/>
      <c r="AH2988" s="120"/>
      <c r="AI2988" s="121"/>
      <c r="AJ2988" s="121"/>
      <c r="AK2988" s="121"/>
      <c r="AL2988" s="121"/>
      <c r="AM2988" s="122"/>
      <c r="AN2988" s="121"/>
    </row>
    <row r="2989" spans="29:40">
      <c r="AC2989" s="119"/>
      <c r="AD2989" s="119"/>
      <c r="AE2989" s="120"/>
      <c r="AF2989" s="119"/>
      <c r="AG2989" s="119"/>
      <c r="AH2989" s="120"/>
      <c r="AI2989" s="121"/>
      <c r="AJ2989" s="121"/>
      <c r="AK2989" s="121"/>
      <c r="AL2989" s="121"/>
      <c r="AM2989" s="122"/>
      <c r="AN2989" s="121"/>
    </row>
    <row r="2990" spans="29:40">
      <c r="AC2990" s="119"/>
      <c r="AD2990" s="119"/>
      <c r="AE2990" s="120"/>
      <c r="AF2990" s="119"/>
      <c r="AG2990" s="119"/>
      <c r="AH2990" s="120"/>
      <c r="AI2990" s="121"/>
      <c r="AJ2990" s="121"/>
      <c r="AK2990" s="121"/>
      <c r="AL2990" s="121"/>
      <c r="AM2990" s="122"/>
      <c r="AN2990" s="121"/>
    </row>
    <row r="2991" spans="29:40">
      <c r="AC2991" s="119"/>
      <c r="AD2991" s="119"/>
      <c r="AE2991" s="120"/>
      <c r="AF2991" s="119"/>
      <c r="AG2991" s="119"/>
      <c r="AH2991" s="120"/>
      <c r="AI2991" s="121"/>
      <c r="AJ2991" s="121"/>
      <c r="AK2991" s="121"/>
      <c r="AL2991" s="121"/>
      <c r="AM2991" s="122"/>
      <c r="AN2991" s="121"/>
    </row>
    <row r="2992" spans="29:40">
      <c r="AC2992" s="119"/>
      <c r="AD2992" s="119"/>
      <c r="AE2992" s="120"/>
      <c r="AF2992" s="119"/>
      <c r="AG2992" s="119"/>
      <c r="AH2992" s="120"/>
      <c r="AI2992" s="121"/>
      <c r="AJ2992" s="121"/>
      <c r="AK2992" s="121"/>
      <c r="AL2992" s="121"/>
      <c r="AM2992" s="122"/>
      <c r="AN2992" s="121"/>
    </row>
    <row r="2993" spans="29:40">
      <c r="AC2993" s="119"/>
      <c r="AD2993" s="119"/>
      <c r="AE2993" s="120"/>
      <c r="AF2993" s="119"/>
      <c r="AG2993" s="119"/>
      <c r="AH2993" s="120"/>
      <c r="AI2993" s="121"/>
      <c r="AJ2993" s="121"/>
      <c r="AK2993" s="121"/>
      <c r="AL2993" s="121"/>
      <c r="AM2993" s="122"/>
      <c r="AN2993" s="121"/>
    </row>
    <row r="2994" spans="29:40">
      <c r="AC2994" s="119"/>
      <c r="AD2994" s="119"/>
      <c r="AE2994" s="120"/>
      <c r="AF2994" s="119"/>
      <c r="AG2994" s="119"/>
      <c r="AH2994" s="120"/>
      <c r="AI2994" s="121"/>
      <c r="AJ2994" s="121"/>
      <c r="AK2994" s="121"/>
      <c r="AL2994" s="121"/>
      <c r="AM2994" s="122"/>
      <c r="AN2994" s="121"/>
    </row>
    <row r="2995" spans="29:40">
      <c r="AC2995" s="119"/>
      <c r="AD2995" s="119"/>
      <c r="AE2995" s="120"/>
      <c r="AF2995" s="119"/>
      <c r="AG2995" s="119"/>
      <c r="AH2995" s="120"/>
      <c r="AI2995" s="121"/>
      <c r="AJ2995" s="121"/>
      <c r="AK2995" s="121"/>
      <c r="AL2995" s="121"/>
      <c r="AM2995" s="122"/>
      <c r="AN2995" s="121"/>
    </row>
    <row r="2996" spans="29:40">
      <c r="AC2996" s="119"/>
      <c r="AD2996" s="119"/>
      <c r="AE2996" s="120"/>
      <c r="AF2996" s="119"/>
      <c r="AG2996" s="119"/>
      <c r="AH2996" s="120"/>
      <c r="AI2996" s="121"/>
      <c r="AJ2996" s="121"/>
      <c r="AK2996" s="121"/>
      <c r="AL2996" s="121"/>
      <c r="AM2996" s="122"/>
      <c r="AN2996" s="121"/>
    </row>
    <row r="2997" spans="29:40">
      <c r="AC2997" s="119"/>
      <c r="AD2997" s="119"/>
      <c r="AE2997" s="120"/>
      <c r="AF2997" s="119"/>
      <c r="AG2997" s="119"/>
      <c r="AH2997" s="120"/>
      <c r="AI2997" s="121"/>
      <c r="AJ2997" s="121"/>
      <c r="AK2997" s="121"/>
      <c r="AL2997" s="121"/>
      <c r="AM2997" s="122"/>
      <c r="AN2997" s="121"/>
    </row>
    <row r="2998" spans="29:40">
      <c r="AC2998" s="119"/>
      <c r="AD2998" s="119"/>
      <c r="AE2998" s="120"/>
      <c r="AF2998" s="119"/>
      <c r="AG2998" s="119"/>
      <c r="AH2998" s="120"/>
      <c r="AI2998" s="121"/>
      <c r="AJ2998" s="121"/>
      <c r="AK2998" s="121"/>
      <c r="AL2998" s="121"/>
      <c r="AM2998" s="122"/>
      <c r="AN2998" s="121"/>
    </row>
    <row r="2999" spans="29:40">
      <c r="AC2999" s="119"/>
      <c r="AD2999" s="119"/>
      <c r="AE2999" s="120"/>
      <c r="AF2999" s="119"/>
      <c r="AG2999" s="119"/>
      <c r="AH2999" s="120"/>
      <c r="AI2999" s="121"/>
      <c r="AJ2999" s="121"/>
      <c r="AK2999" s="121"/>
      <c r="AL2999" s="121"/>
      <c r="AM2999" s="122"/>
      <c r="AN2999" s="121"/>
    </row>
    <row r="3000" spans="29:40">
      <c r="AC3000" s="119"/>
      <c r="AD3000" s="119"/>
      <c r="AE3000" s="120"/>
      <c r="AF3000" s="119"/>
      <c r="AG3000" s="119"/>
      <c r="AH3000" s="120"/>
      <c r="AI3000" s="121"/>
      <c r="AJ3000" s="121"/>
      <c r="AK3000" s="121"/>
      <c r="AL3000" s="121"/>
      <c r="AM3000" s="122"/>
      <c r="AN3000" s="121"/>
    </row>
    <row r="3001" spans="29:40">
      <c r="AC3001" s="119"/>
      <c r="AD3001" s="119"/>
      <c r="AE3001" s="120"/>
      <c r="AF3001" s="119"/>
      <c r="AG3001" s="119"/>
      <c r="AH3001" s="120"/>
      <c r="AI3001" s="121"/>
      <c r="AJ3001" s="121"/>
      <c r="AK3001" s="121"/>
      <c r="AL3001" s="121"/>
      <c r="AM3001" s="122"/>
      <c r="AN3001" s="121"/>
    </row>
    <row r="3002" spans="29:40">
      <c r="AC3002" s="119"/>
      <c r="AD3002" s="119"/>
      <c r="AE3002" s="120"/>
      <c r="AF3002" s="119"/>
      <c r="AG3002" s="119"/>
      <c r="AH3002" s="120"/>
      <c r="AI3002" s="121"/>
      <c r="AJ3002" s="121"/>
      <c r="AK3002" s="121"/>
      <c r="AL3002" s="121"/>
      <c r="AM3002" s="122"/>
      <c r="AN3002" s="121"/>
    </row>
    <row r="3003" spans="29:40">
      <c r="AC3003" s="119"/>
      <c r="AD3003" s="119"/>
      <c r="AE3003" s="120"/>
      <c r="AF3003" s="119"/>
      <c r="AG3003" s="119"/>
      <c r="AH3003" s="120"/>
      <c r="AI3003" s="121"/>
      <c r="AJ3003" s="121"/>
      <c r="AK3003" s="121"/>
      <c r="AL3003" s="121"/>
      <c r="AM3003" s="122"/>
      <c r="AN3003" s="121"/>
    </row>
    <row r="3004" spans="29:40">
      <c r="AC3004" s="119"/>
      <c r="AD3004" s="119"/>
      <c r="AE3004" s="120"/>
      <c r="AF3004" s="119"/>
      <c r="AG3004" s="119"/>
      <c r="AH3004" s="120"/>
      <c r="AI3004" s="121"/>
      <c r="AJ3004" s="121"/>
      <c r="AK3004" s="121"/>
      <c r="AL3004" s="121"/>
      <c r="AM3004" s="122"/>
      <c r="AN3004" s="121"/>
    </row>
    <row r="3005" spans="29:40">
      <c r="AC3005" s="119"/>
      <c r="AD3005" s="119"/>
      <c r="AE3005" s="120"/>
      <c r="AF3005" s="119"/>
      <c r="AG3005" s="119"/>
      <c r="AH3005" s="120"/>
      <c r="AI3005" s="121"/>
      <c r="AJ3005" s="121"/>
      <c r="AK3005" s="121"/>
      <c r="AL3005" s="121"/>
      <c r="AM3005" s="122"/>
      <c r="AN3005" s="121"/>
    </row>
    <row r="3006" spans="29:40">
      <c r="AC3006" s="119"/>
      <c r="AD3006" s="119"/>
      <c r="AE3006" s="120"/>
      <c r="AF3006" s="119"/>
      <c r="AG3006" s="119"/>
      <c r="AH3006" s="120"/>
      <c r="AI3006" s="121"/>
      <c r="AJ3006" s="121"/>
      <c r="AK3006" s="121"/>
      <c r="AL3006" s="121"/>
      <c r="AM3006" s="122"/>
      <c r="AN3006" s="121"/>
    </row>
    <row r="3007" spans="29:40">
      <c r="AC3007" s="119"/>
      <c r="AD3007" s="119"/>
      <c r="AE3007" s="120"/>
      <c r="AF3007" s="119"/>
      <c r="AG3007" s="119"/>
      <c r="AH3007" s="120"/>
      <c r="AI3007" s="121"/>
      <c r="AJ3007" s="121"/>
      <c r="AK3007" s="121"/>
      <c r="AL3007" s="121"/>
      <c r="AM3007" s="122"/>
      <c r="AN3007" s="121"/>
    </row>
    <row r="3008" spans="29:40">
      <c r="AC3008" s="119"/>
      <c r="AD3008" s="119"/>
      <c r="AE3008" s="120"/>
      <c r="AF3008" s="119"/>
      <c r="AG3008" s="119"/>
      <c r="AH3008" s="120"/>
      <c r="AI3008" s="121"/>
      <c r="AJ3008" s="121"/>
      <c r="AK3008" s="121"/>
      <c r="AL3008" s="121"/>
      <c r="AM3008" s="122"/>
      <c r="AN3008" s="121"/>
    </row>
    <row r="3009" spans="29:40">
      <c r="AC3009" s="119"/>
      <c r="AD3009" s="119"/>
      <c r="AE3009" s="120"/>
      <c r="AF3009" s="119"/>
      <c r="AG3009" s="119"/>
      <c r="AH3009" s="120"/>
      <c r="AI3009" s="121"/>
      <c r="AJ3009" s="121"/>
      <c r="AK3009" s="121"/>
      <c r="AL3009" s="121"/>
      <c r="AM3009" s="122"/>
      <c r="AN3009" s="121"/>
    </row>
    <row r="3010" spans="29:40">
      <c r="AC3010" s="119"/>
      <c r="AD3010" s="119"/>
      <c r="AE3010" s="120"/>
      <c r="AF3010" s="119"/>
      <c r="AG3010" s="119"/>
      <c r="AH3010" s="120"/>
      <c r="AI3010" s="121"/>
      <c r="AJ3010" s="121"/>
      <c r="AK3010" s="121"/>
      <c r="AL3010" s="121"/>
      <c r="AM3010" s="122"/>
      <c r="AN3010" s="121"/>
    </row>
    <row r="3011" spans="29:40">
      <c r="AC3011" s="119"/>
      <c r="AD3011" s="119"/>
      <c r="AE3011" s="120"/>
      <c r="AF3011" s="119"/>
      <c r="AG3011" s="119"/>
      <c r="AH3011" s="120"/>
      <c r="AI3011" s="121"/>
      <c r="AJ3011" s="121"/>
      <c r="AK3011" s="121"/>
      <c r="AL3011" s="121"/>
      <c r="AM3011" s="122"/>
      <c r="AN3011" s="121"/>
    </row>
    <row r="3012" spans="29:40">
      <c r="AC3012" s="119"/>
      <c r="AD3012" s="119"/>
      <c r="AE3012" s="120"/>
      <c r="AF3012" s="119"/>
      <c r="AG3012" s="119"/>
      <c r="AH3012" s="120"/>
      <c r="AI3012" s="121"/>
      <c r="AJ3012" s="121"/>
      <c r="AK3012" s="121"/>
      <c r="AL3012" s="121"/>
      <c r="AM3012" s="122"/>
      <c r="AN3012" s="121"/>
    </row>
    <row r="3013" spans="29:40">
      <c r="AC3013" s="119"/>
      <c r="AD3013" s="119"/>
      <c r="AE3013" s="120"/>
      <c r="AF3013" s="119"/>
      <c r="AG3013" s="119"/>
      <c r="AH3013" s="120"/>
      <c r="AI3013" s="121"/>
      <c r="AJ3013" s="121"/>
      <c r="AK3013" s="121"/>
      <c r="AL3013" s="121"/>
      <c r="AM3013" s="122"/>
      <c r="AN3013" s="121"/>
    </row>
    <row r="3014" spans="29:40">
      <c r="AC3014" s="119"/>
      <c r="AD3014" s="119"/>
      <c r="AE3014" s="120"/>
      <c r="AF3014" s="119"/>
      <c r="AG3014" s="119"/>
      <c r="AH3014" s="120"/>
      <c r="AI3014" s="121"/>
      <c r="AJ3014" s="121"/>
      <c r="AK3014" s="121"/>
      <c r="AL3014" s="121"/>
      <c r="AM3014" s="122"/>
      <c r="AN3014" s="121"/>
    </row>
    <row r="3015" spans="29:40">
      <c r="AC3015" s="119"/>
      <c r="AD3015" s="119"/>
      <c r="AE3015" s="120"/>
      <c r="AF3015" s="119"/>
      <c r="AG3015" s="119"/>
      <c r="AH3015" s="120"/>
      <c r="AI3015" s="121"/>
      <c r="AJ3015" s="121"/>
      <c r="AK3015" s="121"/>
      <c r="AL3015" s="121"/>
      <c r="AM3015" s="122"/>
      <c r="AN3015" s="121"/>
    </row>
    <row r="3016" spans="29:40">
      <c r="AC3016" s="119"/>
      <c r="AD3016" s="119"/>
      <c r="AE3016" s="120"/>
      <c r="AF3016" s="119"/>
      <c r="AG3016" s="119"/>
      <c r="AH3016" s="120"/>
      <c r="AI3016" s="121"/>
      <c r="AJ3016" s="121"/>
      <c r="AK3016" s="121"/>
      <c r="AL3016" s="121"/>
      <c r="AM3016" s="122"/>
      <c r="AN3016" s="121"/>
    </row>
    <row r="3017" spans="29:40">
      <c r="AC3017" s="119"/>
      <c r="AD3017" s="119"/>
      <c r="AE3017" s="120"/>
      <c r="AF3017" s="119"/>
      <c r="AG3017" s="119"/>
      <c r="AH3017" s="120"/>
      <c r="AI3017" s="121"/>
      <c r="AJ3017" s="121"/>
      <c r="AK3017" s="121"/>
      <c r="AL3017" s="121"/>
      <c r="AM3017" s="122"/>
      <c r="AN3017" s="121"/>
    </row>
    <row r="3018" spans="29:40">
      <c r="AM3018" s="85"/>
    </row>
    <row r="3019" spans="29:40">
      <c r="AM3019" s="85"/>
    </row>
    <row r="3020" spans="29:40">
      <c r="AM3020" s="85"/>
    </row>
    <row r="3021" spans="29:40">
      <c r="AM3021" s="85"/>
    </row>
    <row r="3022" spans="29:40">
      <c r="AM3022" s="85"/>
    </row>
    <row r="3023" spans="29:40">
      <c r="AM3023" s="85"/>
    </row>
    <row r="3024" spans="29:40">
      <c r="AM3024" s="85"/>
    </row>
    <row r="3025" spans="39:39">
      <c r="AM3025" s="85"/>
    </row>
    <row r="3026" spans="39:39">
      <c r="AM3026" s="85"/>
    </row>
    <row r="3027" spans="39:39">
      <c r="AM3027" s="85"/>
    </row>
    <row r="3028" spans="39:39">
      <c r="AM3028" s="85"/>
    </row>
    <row r="3029" spans="39:39">
      <c r="AM3029" s="85"/>
    </row>
    <row r="3030" spans="39:39">
      <c r="AM3030" s="85"/>
    </row>
    <row r="3031" spans="39:39">
      <c r="AM3031" s="85"/>
    </row>
    <row r="3032" spans="39:39">
      <c r="AM3032" s="85"/>
    </row>
    <row r="3033" spans="39:39">
      <c r="AM3033" s="85"/>
    </row>
    <row r="3034" spans="39:39">
      <c r="AM3034" s="85"/>
    </row>
    <row r="3035" spans="39:39">
      <c r="AM3035" s="85"/>
    </row>
    <row r="3036" spans="39:39">
      <c r="AM3036" s="85"/>
    </row>
    <row r="3037" spans="39:39">
      <c r="AM3037" s="85"/>
    </row>
    <row r="3038" spans="39:39">
      <c r="AM3038" s="85"/>
    </row>
    <row r="3039" spans="39:39">
      <c r="AM3039" s="85"/>
    </row>
    <row r="3040" spans="39:39">
      <c r="AM3040" s="85"/>
    </row>
    <row r="3041" spans="39:39">
      <c r="AM3041" s="85"/>
    </row>
    <row r="3042" spans="39:39">
      <c r="AM3042" s="85"/>
    </row>
    <row r="3043" spans="39:39">
      <c r="AM3043" s="85"/>
    </row>
    <row r="3044" spans="39:39">
      <c r="AM3044" s="85"/>
    </row>
    <row r="3045" spans="39:39">
      <c r="AM3045" s="85"/>
    </row>
    <row r="3046" spans="39:39">
      <c r="AM3046" s="85"/>
    </row>
    <row r="3047" spans="39:39">
      <c r="AM3047" s="85"/>
    </row>
    <row r="3048" spans="39:39">
      <c r="AM3048" s="85"/>
    </row>
    <row r="3049" spans="39:39">
      <c r="AM3049" s="85"/>
    </row>
    <row r="3050" spans="39:39">
      <c r="AM3050" s="85"/>
    </row>
    <row r="3051" spans="39:39">
      <c r="AM3051" s="85"/>
    </row>
    <row r="3052" spans="39:39">
      <c r="AM3052" s="85"/>
    </row>
    <row r="3053" spans="39:39">
      <c r="AM3053" s="85"/>
    </row>
    <row r="3054" spans="39:39">
      <c r="AM3054" s="85"/>
    </row>
    <row r="3055" spans="39:39">
      <c r="AM3055" s="85"/>
    </row>
    <row r="3056" spans="39:39">
      <c r="AM3056" s="85"/>
    </row>
    <row r="3057" spans="39:39">
      <c r="AM3057" s="85"/>
    </row>
    <row r="3058" spans="39:39">
      <c r="AM3058" s="85"/>
    </row>
    <row r="3059" spans="39:39">
      <c r="AM3059" s="85"/>
    </row>
    <row r="3060" spans="39:39">
      <c r="AM3060" s="85"/>
    </row>
    <row r="3061" spans="39:39">
      <c r="AM3061" s="85"/>
    </row>
    <row r="3062" spans="39:39">
      <c r="AM3062" s="85"/>
    </row>
    <row r="3063" spans="39:39">
      <c r="AM3063" s="85"/>
    </row>
    <row r="3064" spans="39:39">
      <c r="AM3064" s="85"/>
    </row>
    <row r="3065" spans="39:39">
      <c r="AM3065" s="85"/>
    </row>
    <row r="3066" spans="39:39">
      <c r="AM3066" s="85"/>
    </row>
    <row r="3067" spans="39:39">
      <c r="AM3067" s="85"/>
    </row>
    <row r="3068" spans="39:39">
      <c r="AM3068" s="85"/>
    </row>
    <row r="3069" spans="39:39">
      <c r="AM3069" s="85"/>
    </row>
    <row r="3070" spans="39:39">
      <c r="AM3070" s="85"/>
    </row>
    <row r="3071" spans="39:39">
      <c r="AM3071" s="85"/>
    </row>
    <row r="3072" spans="39:39">
      <c r="AM3072" s="85"/>
    </row>
    <row r="3073" spans="39:39">
      <c r="AM3073" s="85"/>
    </row>
    <row r="3074" spans="39:39">
      <c r="AM3074" s="85"/>
    </row>
    <row r="3075" spans="39:39">
      <c r="AM3075" s="85"/>
    </row>
    <row r="3076" spans="39:39">
      <c r="AM3076" s="85"/>
    </row>
    <row r="3077" spans="39:39">
      <c r="AM3077" s="85"/>
    </row>
    <row r="3078" spans="39:39">
      <c r="AM3078" s="85"/>
    </row>
    <row r="3079" spans="39:39">
      <c r="AM3079" s="85"/>
    </row>
    <row r="3080" spans="39:39">
      <c r="AM3080" s="85"/>
    </row>
    <row r="3081" spans="39:39">
      <c r="AM3081" s="85"/>
    </row>
    <row r="3082" spans="39:39">
      <c r="AM3082" s="85"/>
    </row>
    <row r="3083" spans="39:39">
      <c r="AM3083" s="85"/>
    </row>
    <row r="3084" spans="39:39">
      <c r="AM3084" s="85"/>
    </row>
    <row r="3085" spans="39:39">
      <c r="AM3085" s="85"/>
    </row>
    <row r="3086" spans="39:39">
      <c r="AM3086" s="85"/>
    </row>
    <row r="3087" spans="39:39">
      <c r="AM3087" s="85"/>
    </row>
    <row r="3088" spans="39:39">
      <c r="AM3088" s="85"/>
    </row>
    <row r="3089" spans="39:39">
      <c r="AM3089" s="85"/>
    </row>
    <row r="3090" spans="39:39">
      <c r="AM3090" s="85"/>
    </row>
    <row r="3091" spans="39:39">
      <c r="AM3091" s="85"/>
    </row>
    <row r="3092" spans="39:39">
      <c r="AM3092" s="85"/>
    </row>
    <row r="3093" spans="39:39">
      <c r="AM3093" s="85"/>
    </row>
    <row r="3094" spans="39:39">
      <c r="AM3094" s="85"/>
    </row>
    <row r="3095" spans="39:39">
      <c r="AM3095" s="85"/>
    </row>
    <row r="3096" spans="39:39">
      <c r="AM3096" s="85"/>
    </row>
    <row r="3097" spans="39:39">
      <c r="AM3097" s="85"/>
    </row>
    <row r="3098" spans="39:39">
      <c r="AM3098" s="85"/>
    </row>
    <row r="3099" spans="39:39">
      <c r="AM3099" s="85"/>
    </row>
    <row r="3100" spans="39:39">
      <c r="AM3100" s="85"/>
    </row>
    <row r="3101" spans="39:39">
      <c r="AM3101" s="85"/>
    </row>
    <row r="3102" spans="39:39">
      <c r="AM3102" s="85"/>
    </row>
    <row r="3103" spans="39:39">
      <c r="AM3103" s="85"/>
    </row>
    <row r="3104" spans="39:39">
      <c r="AM3104" s="85"/>
    </row>
    <row r="3105" spans="39:39">
      <c r="AM3105" s="85"/>
    </row>
    <row r="3106" spans="39:39">
      <c r="AM3106" s="85"/>
    </row>
    <row r="3107" spans="39:39">
      <c r="AM3107" s="85"/>
    </row>
    <row r="3108" spans="39:39">
      <c r="AM3108" s="85"/>
    </row>
    <row r="3109" spans="39:39">
      <c r="AM3109" s="85"/>
    </row>
    <row r="3110" spans="39:39">
      <c r="AM3110" s="85"/>
    </row>
    <row r="3111" spans="39:39">
      <c r="AM3111" s="85"/>
    </row>
    <row r="3112" spans="39:39">
      <c r="AM3112" s="85"/>
    </row>
    <row r="3113" spans="39:39">
      <c r="AM3113" s="85"/>
    </row>
    <row r="3114" spans="39:39">
      <c r="AM3114" s="85"/>
    </row>
    <row r="3115" spans="39:39">
      <c r="AM3115" s="85"/>
    </row>
    <row r="3116" spans="39:39">
      <c r="AM3116" s="85"/>
    </row>
    <row r="3117" spans="39:39">
      <c r="AM3117" s="85"/>
    </row>
    <row r="3118" spans="39:39">
      <c r="AM3118" s="85"/>
    </row>
    <row r="3119" spans="39:39">
      <c r="AM3119" s="85"/>
    </row>
    <row r="3120" spans="39:39">
      <c r="AM3120" s="85"/>
    </row>
    <row r="3121" spans="39:39">
      <c r="AM3121" s="85"/>
    </row>
    <row r="3122" spans="39:39">
      <c r="AM3122" s="85"/>
    </row>
    <row r="3123" spans="39:39">
      <c r="AM3123" s="85"/>
    </row>
    <row r="3124" spans="39:39">
      <c r="AM3124" s="85"/>
    </row>
    <row r="3125" spans="39:39">
      <c r="AM3125" s="85"/>
    </row>
    <row r="3126" spans="39:39">
      <c r="AM3126" s="85"/>
    </row>
    <row r="3127" spans="39:39">
      <c r="AM3127" s="85"/>
    </row>
    <row r="3128" spans="39:39">
      <c r="AM3128" s="85"/>
    </row>
    <row r="3129" spans="39:39">
      <c r="AM3129" s="85"/>
    </row>
    <row r="3130" spans="39:39">
      <c r="AM3130" s="85"/>
    </row>
    <row r="3131" spans="39:39">
      <c r="AM3131" s="85"/>
    </row>
    <row r="3132" spans="39:39">
      <c r="AM3132" s="85"/>
    </row>
    <row r="3133" spans="39:39">
      <c r="AM3133" s="85"/>
    </row>
    <row r="3134" spans="39:39">
      <c r="AM3134" s="85"/>
    </row>
    <row r="3135" spans="39:39">
      <c r="AM3135" s="85"/>
    </row>
    <row r="3136" spans="39:39">
      <c r="AM3136" s="85"/>
    </row>
    <row r="3137" spans="39:39">
      <c r="AM3137" s="85"/>
    </row>
    <row r="3138" spans="39:39">
      <c r="AM3138" s="85"/>
    </row>
    <row r="3139" spans="39:39">
      <c r="AM3139" s="85"/>
    </row>
    <row r="3140" spans="39:39">
      <c r="AM3140" s="85"/>
    </row>
    <row r="3141" spans="39:39">
      <c r="AM3141" s="85"/>
    </row>
    <row r="3142" spans="39:39">
      <c r="AM3142" s="85"/>
    </row>
    <row r="3143" spans="39:39">
      <c r="AM3143" s="85"/>
    </row>
    <row r="3144" spans="39:39">
      <c r="AM3144" s="85"/>
    </row>
    <row r="3145" spans="39:39">
      <c r="AM3145" s="85"/>
    </row>
    <row r="3146" spans="39:39">
      <c r="AM3146" s="85"/>
    </row>
    <row r="3147" spans="39:39">
      <c r="AM3147" s="85"/>
    </row>
    <row r="3148" spans="39:39">
      <c r="AM3148" s="85"/>
    </row>
    <row r="3149" spans="39:39">
      <c r="AM3149" s="85"/>
    </row>
    <row r="3150" spans="39:39">
      <c r="AM3150" s="85"/>
    </row>
    <row r="3151" spans="39:39">
      <c r="AM3151" s="85"/>
    </row>
    <row r="3152" spans="39:39">
      <c r="AM3152" s="85"/>
    </row>
    <row r="3153" spans="39:39">
      <c r="AM3153" s="85"/>
    </row>
    <row r="3154" spans="39:39">
      <c r="AM3154" s="85"/>
    </row>
    <row r="3155" spans="39:39">
      <c r="AM3155" s="85"/>
    </row>
    <row r="3156" spans="39:39">
      <c r="AM3156" s="85"/>
    </row>
    <row r="3157" spans="39:39">
      <c r="AM3157" s="85"/>
    </row>
    <row r="3158" spans="39:39">
      <c r="AM3158" s="85"/>
    </row>
    <row r="3159" spans="39:39">
      <c r="AM3159" s="85"/>
    </row>
    <row r="3160" spans="39:39">
      <c r="AM3160" s="85"/>
    </row>
    <row r="3161" spans="39:39">
      <c r="AM3161" s="85"/>
    </row>
    <row r="3162" spans="39:39">
      <c r="AM3162" s="85"/>
    </row>
    <row r="3163" spans="39:39">
      <c r="AM3163" s="85"/>
    </row>
    <row r="3164" spans="39:39">
      <c r="AM3164" s="85"/>
    </row>
    <row r="3165" spans="39:39">
      <c r="AM3165" s="85"/>
    </row>
    <row r="3166" spans="39:39">
      <c r="AM3166" s="85"/>
    </row>
    <row r="3167" spans="39:39">
      <c r="AM3167" s="85"/>
    </row>
    <row r="3168" spans="39:39">
      <c r="AM3168" s="85"/>
    </row>
    <row r="3169" spans="39:39">
      <c r="AM3169" s="85"/>
    </row>
    <row r="3170" spans="39:39">
      <c r="AM3170" s="85"/>
    </row>
    <row r="3171" spans="39:39">
      <c r="AM3171" s="85"/>
    </row>
    <row r="3172" spans="39:39">
      <c r="AM3172" s="85"/>
    </row>
    <row r="3173" spans="39:39">
      <c r="AM3173" s="85"/>
    </row>
    <row r="3174" spans="39:39">
      <c r="AM3174" s="85"/>
    </row>
    <row r="3175" spans="39:39">
      <c r="AM3175" s="85"/>
    </row>
    <row r="3176" spans="39:39">
      <c r="AM3176" s="85"/>
    </row>
    <row r="3177" spans="39:39">
      <c r="AM3177" s="85"/>
    </row>
    <row r="3178" spans="39:39">
      <c r="AM3178" s="85"/>
    </row>
    <row r="3179" spans="39:39">
      <c r="AM3179" s="85"/>
    </row>
    <row r="3180" spans="39:39">
      <c r="AM3180" s="85"/>
    </row>
    <row r="3181" spans="39:39">
      <c r="AM3181" s="85"/>
    </row>
    <row r="3182" spans="39:39">
      <c r="AM3182" s="85"/>
    </row>
    <row r="3183" spans="39:39">
      <c r="AM3183" s="85"/>
    </row>
    <row r="3184" spans="39:39">
      <c r="AM3184" s="85"/>
    </row>
    <row r="3185" spans="39:39">
      <c r="AM3185" s="85"/>
    </row>
    <row r="3186" spans="39:39">
      <c r="AM3186" s="85"/>
    </row>
    <row r="3187" spans="39:39">
      <c r="AM3187" s="85"/>
    </row>
    <row r="3188" spans="39:39">
      <c r="AM3188" s="85"/>
    </row>
    <row r="3189" spans="39:39">
      <c r="AM3189" s="85"/>
    </row>
    <row r="3190" spans="39:39">
      <c r="AM3190" s="85"/>
    </row>
    <row r="3191" spans="39:39">
      <c r="AM3191" s="85"/>
    </row>
    <row r="3192" spans="39:39">
      <c r="AM3192" s="85"/>
    </row>
    <row r="3193" spans="39:39">
      <c r="AM3193" s="85"/>
    </row>
    <row r="3194" spans="39:39">
      <c r="AM3194" s="85"/>
    </row>
    <row r="3195" spans="39:39">
      <c r="AM3195" s="85"/>
    </row>
    <row r="3196" spans="39:39">
      <c r="AM3196" s="85"/>
    </row>
    <row r="3197" spans="39:39">
      <c r="AM3197" s="85"/>
    </row>
    <row r="3198" spans="39:39">
      <c r="AM3198" s="85"/>
    </row>
    <row r="3199" spans="39:39">
      <c r="AM3199" s="85"/>
    </row>
    <row r="3200" spans="39:39">
      <c r="AM3200" s="85"/>
    </row>
    <row r="3201" spans="39:39">
      <c r="AM3201" s="85"/>
    </row>
    <row r="3202" spans="39:39">
      <c r="AM3202" s="85"/>
    </row>
    <row r="3203" spans="39:39">
      <c r="AM3203" s="85"/>
    </row>
    <row r="3204" spans="39:39">
      <c r="AM3204" s="85"/>
    </row>
    <row r="3205" spans="39:39">
      <c r="AM3205" s="85"/>
    </row>
    <row r="3206" spans="39:39">
      <c r="AM3206" s="85"/>
    </row>
    <row r="3207" spans="39:39">
      <c r="AM3207" s="85"/>
    </row>
    <row r="3208" spans="39:39">
      <c r="AM3208" s="85"/>
    </row>
    <row r="3209" spans="39:39">
      <c r="AM3209" s="85"/>
    </row>
    <row r="3210" spans="39:39">
      <c r="AM3210" s="85"/>
    </row>
    <row r="3211" spans="39:39">
      <c r="AM3211" s="85"/>
    </row>
    <row r="3212" spans="39:39">
      <c r="AM3212" s="85"/>
    </row>
    <row r="3213" spans="39:39">
      <c r="AM3213" s="85"/>
    </row>
    <row r="3214" spans="39:39">
      <c r="AM3214" s="85"/>
    </row>
    <row r="3215" spans="39:39">
      <c r="AM3215" s="85"/>
    </row>
    <row r="3216" spans="39:39">
      <c r="AM3216" s="85"/>
    </row>
    <row r="3217" spans="39:39">
      <c r="AM3217" s="85"/>
    </row>
    <row r="3218" spans="39:39">
      <c r="AM3218" s="85"/>
    </row>
    <row r="3219" spans="39:39">
      <c r="AM3219" s="85"/>
    </row>
    <row r="3220" spans="39:39">
      <c r="AM3220" s="85"/>
    </row>
    <row r="3221" spans="39:39">
      <c r="AM3221" s="85"/>
    </row>
    <row r="3222" spans="39:39">
      <c r="AM3222" s="85"/>
    </row>
    <row r="3223" spans="39:39">
      <c r="AM3223" s="85"/>
    </row>
    <row r="3224" spans="39:39">
      <c r="AM3224" s="85"/>
    </row>
    <row r="3225" spans="39:39">
      <c r="AM3225" s="85"/>
    </row>
    <row r="3226" spans="39:39">
      <c r="AM3226" s="85"/>
    </row>
    <row r="3227" spans="39:39">
      <c r="AM3227" s="85"/>
    </row>
    <row r="3228" spans="39:39">
      <c r="AM3228" s="85"/>
    </row>
    <row r="3229" spans="39:39">
      <c r="AM3229" s="85"/>
    </row>
    <row r="3230" spans="39:39">
      <c r="AM3230" s="85"/>
    </row>
    <row r="3231" spans="39:39">
      <c r="AM3231" s="85"/>
    </row>
    <row r="3232" spans="39:39">
      <c r="AM3232" s="85"/>
    </row>
    <row r="3233" spans="39:39">
      <c r="AM3233" s="85"/>
    </row>
    <row r="3234" spans="39:39">
      <c r="AM3234" s="85"/>
    </row>
    <row r="3235" spans="39:39">
      <c r="AM3235" s="85"/>
    </row>
    <row r="3236" spans="39:39">
      <c r="AM3236" s="85"/>
    </row>
    <row r="3237" spans="39:39">
      <c r="AM3237" s="85"/>
    </row>
    <row r="3238" spans="39:39">
      <c r="AM3238" s="85"/>
    </row>
    <row r="3239" spans="39:39">
      <c r="AM3239" s="85"/>
    </row>
    <row r="3240" spans="39:39">
      <c r="AM3240" s="85"/>
    </row>
    <row r="3241" spans="39:39">
      <c r="AM3241" s="85"/>
    </row>
    <row r="3242" spans="39:39">
      <c r="AM3242" s="85"/>
    </row>
    <row r="3243" spans="39:39">
      <c r="AM3243" s="85"/>
    </row>
    <row r="3244" spans="39:39">
      <c r="AM3244" s="85"/>
    </row>
    <row r="3245" spans="39:39">
      <c r="AM3245" s="85"/>
    </row>
    <row r="3246" spans="39:39">
      <c r="AM3246" s="85"/>
    </row>
    <row r="3247" spans="39:39">
      <c r="AM3247" s="85"/>
    </row>
    <row r="3248" spans="39:39">
      <c r="AM3248" s="85"/>
    </row>
    <row r="3249" spans="39:39">
      <c r="AM3249" s="85"/>
    </row>
    <row r="3250" spans="39:39">
      <c r="AM3250" s="85"/>
    </row>
    <row r="3251" spans="39:39">
      <c r="AM3251" s="85"/>
    </row>
    <row r="3252" spans="39:39">
      <c r="AM3252" s="85"/>
    </row>
    <row r="3253" spans="39:39">
      <c r="AM3253" s="85"/>
    </row>
    <row r="3254" spans="39:39">
      <c r="AM3254" s="85"/>
    </row>
    <row r="3255" spans="39:39">
      <c r="AM3255" s="85"/>
    </row>
    <row r="3256" spans="39:39">
      <c r="AM3256" s="85"/>
    </row>
    <row r="3257" spans="39:39">
      <c r="AM3257" s="85"/>
    </row>
    <row r="3258" spans="39:39">
      <c r="AM3258" s="85"/>
    </row>
    <row r="3259" spans="39:39">
      <c r="AM3259" s="85"/>
    </row>
    <row r="3260" spans="39:39">
      <c r="AM3260" s="85"/>
    </row>
    <row r="3261" spans="39:39">
      <c r="AM3261" s="85"/>
    </row>
    <row r="3262" spans="39:39">
      <c r="AM3262" s="85"/>
    </row>
    <row r="3263" spans="39:39">
      <c r="AM3263" s="85"/>
    </row>
    <row r="3264" spans="39:39">
      <c r="AM3264" s="85"/>
    </row>
    <row r="3265" spans="39:39">
      <c r="AM3265" s="85"/>
    </row>
    <row r="3266" spans="39:39">
      <c r="AM3266" s="85"/>
    </row>
    <row r="3267" spans="39:39">
      <c r="AM3267" s="85"/>
    </row>
    <row r="3268" spans="39:39">
      <c r="AM3268" s="85"/>
    </row>
    <row r="3269" spans="39:39">
      <c r="AM3269" s="85"/>
    </row>
    <row r="3270" spans="39:39">
      <c r="AM3270" s="85"/>
    </row>
    <row r="3271" spans="39:39">
      <c r="AM3271" s="85"/>
    </row>
    <row r="3272" spans="39:39">
      <c r="AM3272" s="85"/>
    </row>
    <row r="3273" spans="39:39">
      <c r="AM3273" s="85"/>
    </row>
    <row r="3274" spans="39:39">
      <c r="AM3274" s="85"/>
    </row>
    <row r="3275" spans="39:39">
      <c r="AM3275" s="85"/>
    </row>
    <row r="3276" spans="39:39">
      <c r="AM3276" s="85"/>
    </row>
    <row r="3277" spans="39:39">
      <c r="AM3277" s="85"/>
    </row>
    <row r="3278" spans="39:39">
      <c r="AM3278" s="85"/>
    </row>
    <row r="3279" spans="39:39">
      <c r="AM3279" s="85"/>
    </row>
    <row r="3280" spans="39:39">
      <c r="AM3280" s="85"/>
    </row>
    <row r="3281" spans="39:39">
      <c r="AM3281" s="85"/>
    </row>
    <row r="3282" spans="39:39">
      <c r="AM3282" s="85"/>
    </row>
    <row r="3283" spans="39:39">
      <c r="AM3283" s="85"/>
    </row>
    <row r="3284" spans="39:39">
      <c r="AM3284" s="85"/>
    </row>
    <row r="3285" spans="39:39">
      <c r="AM3285" s="85"/>
    </row>
    <row r="3286" spans="39:39">
      <c r="AM3286" s="85"/>
    </row>
    <row r="3287" spans="39:39">
      <c r="AM3287" s="85"/>
    </row>
    <row r="3288" spans="39:39">
      <c r="AM3288" s="85"/>
    </row>
    <row r="3289" spans="39:39">
      <c r="AM3289" s="85"/>
    </row>
    <row r="3290" spans="39:39">
      <c r="AM3290" s="85"/>
    </row>
    <row r="3291" spans="39:39">
      <c r="AM3291" s="85"/>
    </row>
    <row r="3292" spans="39:39">
      <c r="AM3292" s="85"/>
    </row>
    <row r="3293" spans="39:39">
      <c r="AM3293" s="85"/>
    </row>
    <row r="3294" spans="39:39">
      <c r="AM3294" s="85"/>
    </row>
    <row r="3295" spans="39:39">
      <c r="AM3295" s="85"/>
    </row>
    <row r="3296" spans="39:39">
      <c r="AM3296" s="85"/>
    </row>
    <row r="3297" spans="39:39">
      <c r="AM3297" s="85"/>
    </row>
    <row r="3298" spans="39:39">
      <c r="AM3298" s="85"/>
    </row>
    <row r="3299" spans="39:39">
      <c r="AM3299" s="85"/>
    </row>
    <row r="3300" spans="39:39">
      <c r="AM3300" s="85"/>
    </row>
    <row r="3301" spans="39:39">
      <c r="AM3301" s="85"/>
    </row>
    <row r="3302" spans="39:39">
      <c r="AM3302" s="85"/>
    </row>
    <row r="3303" spans="39:39">
      <c r="AM3303" s="85"/>
    </row>
    <row r="3304" spans="39:39">
      <c r="AM3304" s="85"/>
    </row>
    <row r="3305" spans="39:39">
      <c r="AM3305" s="85"/>
    </row>
    <row r="3306" spans="39:39">
      <c r="AM3306" s="85"/>
    </row>
    <row r="3307" spans="39:39">
      <c r="AM3307" s="85"/>
    </row>
    <row r="3308" spans="39:39">
      <c r="AM3308" s="85"/>
    </row>
    <row r="3309" spans="39:39">
      <c r="AM3309" s="85"/>
    </row>
    <row r="3310" spans="39:39">
      <c r="AM3310" s="85"/>
    </row>
    <row r="3311" spans="39:39">
      <c r="AM3311" s="85"/>
    </row>
    <row r="3312" spans="39:39">
      <c r="AM3312" s="85"/>
    </row>
    <row r="3313" spans="39:39">
      <c r="AM3313" s="85"/>
    </row>
    <row r="3314" spans="39:39">
      <c r="AM3314" s="85"/>
    </row>
    <row r="3315" spans="39:39">
      <c r="AM3315" s="85"/>
    </row>
    <row r="3316" spans="39:39">
      <c r="AM3316" s="85"/>
    </row>
    <row r="3317" spans="39:39">
      <c r="AM3317" s="85"/>
    </row>
    <row r="3318" spans="39:39">
      <c r="AM3318" s="85"/>
    </row>
    <row r="3319" spans="39:39">
      <c r="AM3319" s="85"/>
    </row>
    <row r="3320" spans="39:39">
      <c r="AM3320" s="85"/>
    </row>
    <row r="3321" spans="39:39">
      <c r="AM3321" s="85"/>
    </row>
    <row r="3322" spans="39:39">
      <c r="AM3322" s="85"/>
    </row>
    <row r="3323" spans="39:39">
      <c r="AM3323" s="85"/>
    </row>
    <row r="3324" spans="39:39">
      <c r="AM3324" s="85"/>
    </row>
    <row r="3325" spans="39:39">
      <c r="AM3325" s="85"/>
    </row>
    <row r="3326" spans="39:39">
      <c r="AM3326" s="85"/>
    </row>
    <row r="3327" spans="39:39">
      <c r="AM3327" s="85"/>
    </row>
    <row r="3328" spans="39:39">
      <c r="AM3328" s="85"/>
    </row>
    <row r="3329" spans="39:39">
      <c r="AM3329" s="85"/>
    </row>
    <row r="3330" spans="39:39">
      <c r="AM3330" s="85"/>
    </row>
    <row r="3331" spans="39:39">
      <c r="AM3331" s="85"/>
    </row>
    <row r="3332" spans="39:39">
      <c r="AM3332" s="85"/>
    </row>
    <row r="3333" spans="39:39">
      <c r="AM3333" s="85"/>
    </row>
    <row r="3334" spans="39:39">
      <c r="AM3334" s="85"/>
    </row>
    <row r="3335" spans="39:39">
      <c r="AM3335" s="85"/>
    </row>
    <row r="3336" spans="39:39">
      <c r="AM3336" s="85"/>
    </row>
    <row r="3337" spans="39:39">
      <c r="AM3337" s="85"/>
    </row>
    <row r="3338" spans="39:39">
      <c r="AM3338" s="85"/>
    </row>
    <row r="3339" spans="39:39">
      <c r="AM3339" s="85"/>
    </row>
    <row r="3340" spans="39:39">
      <c r="AM3340" s="85"/>
    </row>
    <row r="3341" spans="39:39">
      <c r="AM3341" s="85"/>
    </row>
    <row r="3342" spans="39:39">
      <c r="AM3342" s="85"/>
    </row>
    <row r="3343" spans="39:39">
      <c r="AM3343" s="85"/>
    </row>
    <row r="3344" spans="39:39">
      <c r="AM3344" s="85"/>
    </row>
    <row r="3345" spans="39:39">
      <c r="AM3345" s="85"/>
    </row>
    <row r="3346" spans="39:39">
      <c r="AM3346" s="85"/>
    </row>
    <row r="3347" spans="39:39">
      <c r="AM3347" s="85"/>
    </row>
    <row r="3348" spans="39:39">
      <c r="AM3348" s="85"/>
    </row>
    <row r="3349" spans="39:39">
      <c r="AM3349" s="85"/>
    </row>
    <row r="3350" spans="39:39">
      <c r="AM3350" s="85"/>
    </row>
    <row r="3351" spans="39:39">
      <c r="AM3351" s="85"/>
    </row>
    <row r="3352" spans="39:39">
      <c r="AM3352" s="85"/>
    </row>
    <row r="3353" spans="39:39">
      <c r="AM3353" s="85"/>
    </row>
    <row r="3354" spans="39:39">
      <c r="AM3354" s="85"/>
    </row>
    <row r="3355" spans="39:39">
      <c r="AM3355" s="85"/>
    </row>
    <row r="3356" spans="39:39">
      <c r="AM3356" s="85"/>
    </row>
    <row r="3357" spans="39:39">
      <c r="AM3357" s="85"/>
    </row>
    <row r="3358" spans="39:39">
      <c r="AM3358" s="85"/>
    </row>
    <row r="3359" spans="39:39">
      <c r="AM3359" s="85"/>
    </row>
    <row r="3360" spans="39:39">
      <c r="AM3360" s="85"/>
    </row>
    <row r="3361" spans="39:39">
      <c r="AM3361" s="85"/>
    </row>
    <row r="3362" spans="39:39">
      <c r="AM3362" s="85"/>
    </row>
    <row r="3363" spans="39:39">
      <c r="AM3363" s="85"/>
    </row>
    <row r="3364" spans="39:39">
      <c r="AM3364" s="85"/>
    </row>
    <row r="3365" spans="39:39">
      <c r="AM3365" s="85"/>
    </row>
    <row r="3366" spans="39:39">
      <c r="AM3366" s="85"/>
    </row>
    <row r="3367" spans="39:39">
      <c r="AM3367" s="85"/>
    </row>
    <row r="3368" spans="39:39">
      <c r="AM3368" s="85"/>
    </row>
    <row r="3369" spans="39:39">
      <c r="AM3369" s="85"/>
    </row>
    <row r="3370" spans="39:39">
      <c r="AM3370" s="85"/>
    </row>
    <row r="3371" spans="39:39">
      <c r="AM3371" s="85"/>
    </row>
    <row r="3372" spans="39:39">
      <c r="AM3372" s="85"/>
    </row>
    <row r="3373" spans="39:39">
      <c r="AM3373" s="85"/>
    </row>
    <row r="3374" spans="39:39">
      <c r="AM3374" s="85"/>
    </row>
    <row r="3375" spans="39:39">
      <c r="AM3375" s="85"/>
    </row>
    <row r="3376" spans="39:39">
      <c r="AM3376" s="85"/>
    </row>
    <row r="3377" spans="39:39">
      <c r="AM3377" s="85"/>
    </row>
    <row r="3378" spans="39:39">
      <c r="AM3378" s="85"/>
    </row>
    <row r="3379" spans="39:39">
      <c r="AM3379" s="85"/>
    </row>
    <row r="3380" spans="39:39">
      <c r="AM3380" s="85"/>
    </row>
    <row r="3381" spans="39:39">
      <c r="AM3381" s="85"/>
    </row>
    <row r="3382" spans="39:39">
      <c r="AM3382" s="85"/>
    </row>
    <row r="3383" spans="39:39">
      <c r="AM3383" s="85"/>
    </row>
    <row r="3384" spans="39:39">
      <c r="AM3384" s="85"/>
    </row>
    <row r="3385" spans="39:39">
      <c r="AM3385" s="85"/>
    </row>
    <row r="3386" spans="39:39">
      <c r="AM3386" s="85"/>
    </row>
    <row r="3387" spans="39:39">
      <c r="AM3387" s="85"/>
    </row>
    <row r="3388" spans="39:39">
      <c r="AM3388" s="85"/>
    </row>
    <row r="3389" spans="39:39">
      <c r="AM3389" s="85"/>
    </row>
    <row r="3390" spans="39:39">
      <c r="AM3390" s="85"/>
    </row>
    <row r="3391" spans="39:39">
      <c r="AM3391" s="85"/>
    </row>
    <row r="3392" spans="39:39">
      <c r="AM3392" s="85"/>
    </row>
    <row r="3393" spans="39:39">
      <c r="AM3393" s="85"/>
    </row>
    <row r="3394" spans="39:39">
      <c r="AM3394" s="85"/>
    </row>
    <row r="3395" spans="39:39">
      <c r="AM3395" s="85"/>
    </row>
    <row r="3396" spans="39:39">
      <c r="AM3396" s="85"/>
    </row>
    <row r="3397" spans="39:39">
      <c r="AM3397" s="85"/>
    </row>
    <row r="3398" spans="39:39">
      <c r="AM3398" s="85"/>
    </row>
    <row r="3399" spans="39:39">
      <c r="AM3399" s="85"/>
    </row>
    <row r="3400" spans="39:39">
      <c r="AM3400" s="85"/>
    </row>
    <row r="3401" spans="39:39">
      <c r="AM3401" s="85"/>
    </row>
    <row r="3402" spans="39:39">
      <c r="AM3402" s="85"/>
    </row>
    <row r="3403" spans="39:39">
      <c r="AM3403" s="85"/>
    </row>
    <row r="3404" spans="39:39">
      <c r="AM3404" s="85"/>
    </row>
    <row r="3405" spans="39:39">
      <c r="AM3405" s="85"/>
    </row>
    <row r="3406" spans="39:39">
      <c r="AM3406" s="85"/>
    </row>
    <row r="3407" spans="39:39">
      <c r="AM3407" s="85"/>
    </row>
    <row r="3408" spans="39:39">
      <c r="AM3408" s="85"/>
    </row>
    <row r="3409" spans="39:39">
      <c r="AM3409" s="85"/>
    </row>
    <row r="3410" spans="39:39">
      <c r="AM3410" s="85"/>
    </row>
    <row r="3411" spans="39:39">
      <c r="AM3411" s="85"/>
    </row>
    <row r="3412" spans="39:39">
      <c r="AM3412" s="85"/>
    </row>
    <row r="3413" spans="39:39">
      <c r="AM3413" s="85"/>
    </row>
    <row r="3414" spans="39:39">
      <c r="AM3414" s="85"/>
    </row>
    <row r="3415" spans="39:39">
      <c r="AM3415" s="85"/>
    </row>
    <row r="3416" spans="39:39">
      <c r="AM3416" s="85"/>
    </row>
    <row r="3417" spans="39:39">
      <c r="AM3417" s="85"/>
    </row>
    <row r="3418" spans="39:39">
      <c r="AM3418" s="85"/>
    </row>
    <row r="3419" spans="39:39">
      <c r="AM3419" s="85"/>
    </row>
    <row r="3420" spans="39:39">
      <c r="AM3420" s="85"/>
    </row>
    <row r="3421" spans="39:39">
      <c r="AM3421" s="85"/>
    </row>
    <row r="3422" spans="39:39">
      <c r="AM3422" s="85"/>
    </row>
    <row r="3423" spans="39:39">
      <c r="AM3423" s="85"/>
    </row>
    <row r="3424" spans="39:39">
      <c r="AM3424" s="85"/>
    </row>
    <row r="3425" spans="39:39">
      <c r="AM3425" s="85"/>
    </row>
    <row r="3426" spans="39:39">
      <c r="AM3426" s="85"/>
    </row>
    <row r="3427" spans="39:39">
      <c r="AM3427" s="85"/>
    </row>
    <row r="3428" spans="39:39">
      <c r="AM3428" s="85"/>
    </row>
    <row r="3429" spans="39:39">
      <c r="AM3429" s="85"/>
    </row>
    <row r="3430" spans="39:39">
      <c r="AM3430" s="85"/>
    </row>
    <row r="3431" spans="39:39">
      <c r="AM3431" s="85"/>
    </row>
    <row r="3432" spans="39:39">
      <c r="AM3432" s="85"/>
    </row>
    <row r="3433" spans="39:39">
      <c r="AM3433" s="85"/>
    </row>
    <row r="3434" spans="39:39">
      <c r="AM3434" s="85"/>
    </row>
    <row r="3435" spans="39:39">
      <c r="AM3435" s="85"/>
    </row>
    <row r="3436" spans="39:39">
      <c r="AM3436" s="85"/>
    </row>
    <row r="3437" spans="39:39">
      <c r="AM3437" s="85"/>
    </row>
    <row r="3438" spans="39:39">
      <c r="AM3438" s="85"/>
    </row>
    <row r="3439" spans="39:39">
      <c r="AM3439" s="85"/>
    </row>
    <row r="3440" spans="39:39">
      <c r="AM3440" s="85"/>
    </row>
    <row r="3441" spans="39:39">
      <c r="AM3441" s="85"/>
    </row>
    <row r="3442" spans="39:39">
      <c r="AM3442" s="85"/>
    </row>
    <row r="3443" spans="39:39">
      <c r="AM3443" s="85"/>
    </row>
    <row r="3444" spans="39:39">
      <c r="AM3444" s="85"/>
    </row>
    <row r="3445" spans="39:39">
      <c r="AM3445" s="85"/>
    </row>
    <row r="3446" spans="39:39">
      <c r="AM3446" s="85"/>
    </row>
    <row r="3447" spans="39:39">
      <c r="AM3447" s="85"/>
    </row>
    <row r="3448" spans="39:39">
      <c r="AM3448" s="85"/>
    </row>
    <row r="3449" spans="39:39">
      <c r="AM3449" s="85"/>
    </row>
    <row r="3450" spans="39:39">
      <c r="AM3450" s="85"/>
    </row>
    <row r="3451" spans="39:39">
      <c r="AM3451" s="85"/>
    </row>
    <row r="3452" spans="39:39">
      <c r="AM3452" s="85"/>
    </row>
    <row r="3453" spans="39:39">
      <c r="AM3453" s="85"/>
    </row>
    <row r="3454" spans="39:39">
      <c r="AM3454" s="85"/>
    </row>
    <row r="3455" spans="39:39">
      <c r="AM3455" s="85"/>
    </row>
    <row r="3456" spans="39:39">
      <c r="AM3456" s="85"/>
    </row>
    <row r="3457" spans="39:39">
      <c r="AM3457" s="85"/>
    </row>
    <row r="3458" spans="39:39">
      <c r="AM3458" s="85"/>
    </row>
    <row r="3459" spans="39:39">
      <c r="AM3459" s="85"/>
    </row>
    <row r="3460" spans="39:39">
      <c r="AM3460" s="85"/>
    </row>
    <row r="3461" spans="39:39">
      <c r="AM3461" s="85"/>
    </row>
    <row r="3462" spans="39:39">
      <c r="AM3462" s="85"/>
    </row>
    <row r="3463" spans="39:39">
      <c r="AM3463" s="85"/>
    </row>
    <row r="3464" spans="39:39">
      <c r="AM3464" s="85"/>
    </row>
    <row r="3465" spans="39:39">
      <c r="AM3465" s="85"/>
    </row>
    <row r="3466" spans="39:39">
      <c r="AM3466" s="85"/>
    </row>
    <row r="3467" spans="39:39">
      <c r="AM3467" s="85"/>
    </row>
    <row r="3468" spans="39:39">
      <c r="AM3468" s="85"/>
    </row>
    <row r="3469" spans="39:39">
      <c r="AM3469" s="85"/>
    </row>
    <row r="3470" spans="39:39">
      <c r="AM3470" s="85"/>
    </row>
    <row r="3471" spans="39:39">
      <c r="AM3471" s="85"/>
    </row>
    <row r="3472" spans="39:39">
      <c r="AM3472" s="85"/>
    </row>
    <row r="3473" spans="39:39">
      <c r="AM3473" s="85"/>
    </row>
    <row r="3474" spans="39:39">
      <c r="AM3474" s="85"/>
    </row>
    <row r="3475" spans="39:39">
      <c r="AM3475" s="85"/>
    </row>
    <row r="3476" spans="39:39">
      <c r="AM3476" s="85"/>
    </row>
    <row r="3477" spans="39:39">
      <c r="AM3477" s="85"/>
    </row>
    <row r="3478" spans="39:39">
      <c r="AM3478" s="85"/>
    </row>
    <row r="3479" spans="39:39">
      <c r="AM3479" s="85"/>
    </row>
    <row r="3480" spans="39:39">
      <c r="AM3480" s="85"/>
    </row>
    <row r="3481" spans="39:39">
      <c r="AM3481" s="85"/>
    </row>
    <row r="3482" spans="39:39">
      <c r="AM3482" s="85"/>
    </row>
    <row r="3483" spans="39:39">
      <c r="AM3483" s="85"/>
    </row>
    <row r="3484" spans="39:39">
      <c r="AM3484" s="85"/>
    </row>
    <row r="3485" spans="39:39">
      <c r="AM3485" s="85"/>
    </row>
    <row r="3486" spans="39:39">
      <c r="AM3486" s="85"/>
    </row>
    <row r="3487" spans="39:39">
      <c r="AM3487" s="85"/>
    </row>
    <row r="3488" spans="39:39">
      <c r="AM3488" s="85"/>
    </row>
    <row r="3489" spans="39:39">
      <c r="AM3489" s="85"/>
    </row>
    <row r="3490" spans="39:39">
      <c r="AM3490" s="85"/>
    </row>
    <row r="3491" spans="39:39">
      <c r="AM3491" s="85"/>
    </row>
    <row r="3492" spans="39:39">
      <c r="AM3492" s="85"/>
    </row>
    <row r="3493" spans="39:39">
      <c r="AM3493" s="85"/>
    </row>
    <row r="3494" spans="39:39">
      <c r="AM3494" s="85"/>
    </row>
    <row r="3495" spans="39:39">
      <c r="AM3495" s="85"/>
    </row>
    <row r="3496" spans="39:39">
      <c r="AM3496" s="85"/>
    </row>
    <row r="3497" spans="39:39">
      <c r="AM3497" s="85"/>
    </row>
    <row r="3498" spans="39:39">
      <c r="AM3498" s="85"/>
    </row>
    <row r="3499" spans="39:39">
      <c r="AM3499" s="85"/>
    </row>
    <row r="3500" spans="39:39">
      <c r="AM3500" s="85"/>
    </row>
    <row r="3501" spans="39:39">
      <c r="AM3501" s="85"/>
    </row>
    <row r="3502" spans="39:39">
      <c r="AM3502" s="85"/>
    </row>
    <row r="3503" spans="39:39">
      <c r="AM3503" s="85"/>
    </row>
    <row r="3504" spans="39:39">
      <c r="AM3504" s="85"/>
    </row>
    <row r="3505" spans="39:39">
      <c r="AM3505" s="85"/>
    </row>
    <row r="3506" spans="39:39">
      <c r="AM3506" s="85"/>
    </row>
    <row r="3507" spans="39:39">
      <c r="AM3507" s="85"/>
    </row>
    <row r="3508" spans="39:39">
      <c r="AM3508" s="85"/>
    </row>
    <row r="3509" spans="39:39">
      <c r="AM3509" s="85"/>
    </row>
    <row r="3510" spans="39:39">
      <c r="AM3510" s="85"/>
    </row>
    <row r="3511" spans="39:39">
      <c r="AM3511" s="85"/>
    </row>
    <row r="3512" spans="39:39">
      <c r="AM3512" s="85"/>
    </row>
    <row r="3513" spans="39:39">
      <c r="AM3513" s="85"/>
    </row>
    <row r="3514" spans="39:39">
      <c r="AM3514" s="85"/>
    </row>
    <row r="3515" spans="39:39">
      <c r="AM3515" s="85"/>
    </row>
    <row r="3516" spans="39:39">
      <c r="AM3516" s="85"/>
    </row>
    <row r="3517" spans="39:39">
      <c r="AM3517" s="85"/>
    </row>
    <row r="3518" spans="39:39">
      <c r="AM3518" s="85"/>
    </row>
    <row r="3519" spans="39:39">
      <c r="AM3519" s="85"/>
    </row>
    <row r="3520" spans="39:39">
      <c r="AM3520" s="85"/>
    </row>
    <row r="3521" spans="39:39">
      <c r="AM3521" s="85"/>
    </row>
    <row r="3522" spans="39:39">
      <c r="AM3522" s="85"/>
    </row>
    <row r="3523" spans="39:39">
      <c r="AM3523" s="85"/>
    </row>
    <row r="3524" spans="39:39">
      <c r="AM3524" s="85"/>
    </row>
    <row r="3525" spans="39:39">
      <c r="AM3525" s="85"/>
    </row>
    <row r="3526" spans="39:39">
      <c r="AM3526" s="85"/>
    </row>
    <row r="3527" spans="39:39">
      <c r="AM3527" s="85"/>
    </row>
    <row r="3528" spans="39:39">
      <c r="AM3528" s="85"/>
    </row>
    <row r="3529" spans="39:39">
      <c r="AM3529" s="85"/>
    </row>
    <row r="3530" spans="39:39">
      <c r="AM3530" s="85"/>
    </row>
    <row r="3531" spans="39:39">
      <c r="AM3531" s="85"/>
    </row>
    <row r="3532" spans="39:39">
      <c r="AM3532" s="85"/>
    </row>
    <row r="3533" spans="39:39">
      <c r="AM3533" s="85"/>
    </row>
    <row r="3534" spans="39:39">
      <c r="AM3534" s="85"/>
    </row>
    <row r="3535" spans="39:39">
      <c r="AM3535" s="85"/>
    </row>
    <row r="3536" spans="39:39">
      <c r="AM3536" s="85"/>
    </row>
    <row r="3537" spans="39:39">
      <c r="AM3537" s="85"/>
    </row>
    <row r="3538" spans="39:39">
      <c r="AM3538" s="85"/>
    </row>
    <row r="3539" spans="39:39">
      <c r="AM3539" s="85"/>
    </row>
    <row r="3540" spans="39:39">
      <c r="AM3540" s="85"/>
    </row>
    <row r="3541" spans="39:39">
      <c r="AM3541" s="85"/>
    </row>
    <row r="3542" spans="39:39">
      <c r="AM3542" s="85"/>
    </row>
    <row r="3543" spans="39:39">
      <c r="AM3543" s="85"/>
    </row>
    <row r="3544" spans="39:39">
      <c r="AM3544" s="85"/>
    </row>
    <row r="3545" spans="39:39">
      <c r="AM3545" s="85"/>
    </row>
    <row r="3546" spans="39:39">
      <c r="AM3546" s="85"/>
    </row>
    <row r="3547" spans="39:39">
      <c r="AM3547" s="85"/>
    </row>
    <row r="3548" spans="39:39">
      <c r="AM3548" s="85"/>
    </row>
    <row r="3549" spans="39:39">
      <c r="AM3549" s="85"/>
    </row>
    <row r="3550" spans="39:39">
      <c r="AM3550" s="85"/>
    </row>
    <row r="3551" spans="39:39">
      <c r="AM3551" s="85"/>
    </row>
    <row r="3552" spans="39:39">
      <c r="AM3552" s="85"/>
    </row>
    <row r="3553" spans="39:39">
      <c r="AM3553" s="85"/>
    </row>
    <row r="3554" spans="39:39">
      <c r="AM3554" s="85"/>
    </row>
    <row r="3555" spans="39:39">
      <c r="AM3555" s="85"/>
    </row>
    <row r="3556" spans="39:39">
      <c r="AM3556" s="85"/>
    </row>
    <row r="3557" spans="39:39">
      <c r="AM3557" s="85"/>
    </row>
    <row r="3558" spans="39:39">
      <c r="AM3558" s="85"/>
    </row>
    <row r="3559" spans="39:39">
      <c r="AM3559" s="85"/>
    </row>
    <row r="3560" spans="39:39">
      <c r="AM3560" s="85"/>
    </row>
    <row r="3561" spans="39:39">
      <c r="AM3561" s="85"/>
    </row>
    <row r="3562" spans="39:39">
      <c r="AM3562" s="85"/>
    </row>
    <row r="3563" spans="39:39">
      <c r="AM3563" s="85"/>
    </row>
    <row r="3564" spans="39:39">
      <c r="AM3564" s="85"/>
    </row>
    <row r="3565" spans="39:39">
      <c r="AM3565" s="85"/>
    </row>
    <row r="3566" spans="39:39">
      <c r="AM3566" s="85"/>
    </row>
    <row r="3567" spans="39:39">
      <c r="AM3567" s="85"/>
    </row>
    <row r="3568" spans="39:39">
      <c r="AM3568" s="85"/>
    </row>
    <row r="3569" spans="39:39">
      <c r="AM3569" s="85"/>
    </row>
    <row r="3570" spans="39:39">
      <c r="AM3570" s="85"/>
    </row>
    <row r="3571" spans="39:39">
      <c r="AM3571" s="85"/>
    </row>
    <row r="3572" spans="39:39">
      <c r="AM3572" s="85"/>
    </row>
    <row r="3573" spans="39:39">
      <c r="AM3573" s="85"/>
    </row>
    <row r="3574" spans="39:39">
      <c r="AM3574" s="85"/>
    </row>
    <row r="3575" spans="39:39">
      <c r="AM3575" s="85"/>
    </row>
    <row r="3576" spans="39:39">
      <c r="AM3576" s="85"/>
    </row>
    <row r="3577" spans="39:39">
      <c r="AM3577" s="85"/>
    </row>
    <row r="3578" spans="39:39">
      <c r="AM3578" s="85"/>
    </row>
    <row r="3579" spans="39:39">
      <c r="AM3579" s="85"/>
    </row>
    <row r="3580" spans="39:39">
      <c r="AM3580" s="85"/>
    </row>
    <row r="3581" spans="39:39">
      <c r="AM3581" s="85"/>
    </row>
    <row r="3582" spans="39:39">
      <c r="AM3582" s="85"/>
    </row>
    <row r="3583" spans="39:39">
      <c r="AM3583" s="85"/>
    </row>
    <row r="3584" spans="39:39">
      <c r="AM3584" s="85"/>
    </row>
    <row r="3585" spans="39:39">
      <c r="AM3585" s="85"/>
    </row>
    <row r="3586" spans="39:39">
      <c r="AM3586" s="85"/>
    </row>
    <row r="3587" spans="39:39">
      <c r="AM3587" s="85"/>
    </row>
    <row r="3588" spans="39:39">
      <c r="AM3588" s="85"/>
    </row>
    <row r="3589" spans="39:39">
      <c r="AM3589" s="85"/>
    </row>
    <row r="3590" spans="39:39">
      <c r="AM3590" s="85"/>
    </row>
    <row r="3591" spans="39:39">
      <c r="AM3591" s="85"/>
    </row>
    <row r="3592" spans="39:39">
      <c r="AM3592" s="85"/>
    </row>
    <row r="3593" spans="39:39">
      <c r="AM3593" s="85"/>
    </row>
    <row r="3594" spans="39:39">
      <c r="AM3594" s="85"/>
    </row>
    <row r="3595" spans="39:39">
      <c r="AM3595" s="85"/>
    </row>
    <row r="3596" spans="39:39">
      <c r="AM3596" s="85"/>
    </row>
    <row r="3597" spans="39:39">
      <c r="AM3597" s="85"/>
    </row>
    <row r="3598" spans="39:39">
      <c r="AM3598" s="85"/>
    </row>
    <row r="3599" spans="39:39">
      <c r="AM3599" s="85"/>
    </row>
    <row r="3600" spans="39:39">
      <c r="AM3600" s="85"/>
    </row>
    <row r="3601" spans="39:39">
      <c r="AM3601" s="85"/>
    </row>
    <row r="3602" spans="39:39">
      <c r="AM3602" s="85"/>
    </row>
    <row r="3603" spans="39:39">
      <c r="AM3603" s="85"/>
    </row>
    <row r="3604" spans="39:39">
      <c r="AM3604" s="85"/>
    </row>
    <row r="3605" spans="39:39">
      <c r="AM3605" s="85"/>
    </row>
    <row r="3606" spans="39:39">
      <c r="AM3606" s="85"/>
    </row>
    <row r="3607" spans="39:39">
      <c r="AM3607" s="85"/>
    </row>
    <row r="3608" spans="39:39">
      <c r="AM3608" s="85"/>
    </row>
    <row r="3609" spans="39:39">
      <c r="AM3609" s="85"/>
    </row>
    <row r="3610" spans="39:39">
      <c r="AM3610" s="85"/>
    </row>
    <row r="3611" spans="39:39">
      <c r="AM3611" s="85"/>
    </row>
    <row r="3612" spans="39:39">
      <c r="AM3612" s="85"/>
    </row>
    <row r="3613" spans="39:39">
      <c r="AM3613" s="85"/>
    </row>
    <row r="3614" spans="39:39">
      <c r="AM3614" s="85"/>
    </row>
    <row r="3615" spans="39:39">
      <c r="AM3615" s="85"/>
    </row>
    <row r="3616" spans="39:39">
      <c r="AM3616" s="85"/>
    </row>
    <row r="3617" spans="39:39">
      <c r="AM3617" s="85"/>
    </row>
    <row r="3618" spans="39:39">
      <c r="AM3618" s="85"/>
    </row>
    <row r="3619" spans="39:39">
      <c r="AM3619" s="85"/>
    </row>
    <row r="3620" spans="39:39">
      <c r="AM3620" s="85"/>
    </row>
    <row r="3621" spans="39:39">
      <c r="AM3621" s="85"/>
    </row>
    <row r="3622" spans="39:39">
      <c r="AM3622" s="85"/>
    </row>
    <row r="3623" spans="39:39">
      <c r="AM3623" s="85"/>
    </row>
    <row r="3624" spans="39:39">
      <c r="AM3624" s="85"/>
    </row>
    <row r="3625" spans="39:39">
      <c r="AM3625" s="85"/>
    </row>
    <row r="3626" spans="39:39">
      <c r="AM3626" s="85"/>
    </row>
    <row r="3627" spans="39:39">
      <c r="AM3627" s="85"/>
    </row>
    <row r="3628" spans="39:39">
      <c r="AM3628" s="85"/>
    </row>
    <row r="3629" spans="39:39">
      <c r="AM3629" s="85"/>
    </row>
    <row r="3630" spans="39:39">
      <c r="AM3630" s="85"/>
    </row>
    <row r="3631" spans="39:39">
      <c r="AM3631" s="85"/>
    </row>
    <row r="3632" spans="39:39">
      <c r="AM3632" s="85"/>
    </row>
    <row r="3633" spans="39:39">
      <c r="AM3633" s="85"/>
    </row>
    <row r="3634" spans="39:39">
      <c r="AM3634" s="85"/>
    </row>
    <row r="3635" spans="39:39">
      <c r="AM3635" s="85"/>
    </row>
    <row r="3636" spans="39:39">
      <c r="AM3636" s="85"/>
    </row>
    <row r="3637" spans="39:39">
      <c r="AM3637" s="85"/>
    </row>
    <row r="3638" spans="39:39">
      <c r="AM3638" s="85"/>
    </row>
    <row r="3639" spans="39:39">
      <c r="AM3639" s="85"/>
    </row>
    <row r="3640" spans="39:39">
      <c r="AM3640" s="85"/>
    </row>
    <row r="3641" spans="39:39">
      <c r="AM3641" s="85"/>
    </row>
    <row r="3642" spans="39:39">
      <c r="AM3642" s="85"/>
    </row>
    <row r="3643" spans="39:39">
      <c r="AM3643" s="85"/>
    </row>
    <row r="3644" spans="39:39">
      <c r="AM3644" s="85"/>
    </row>
    <row r="3645" spans="39:39">
      <c r="AM3645" s="85"/>
    </row>
    <row r="3646" spans="39:39">
      <c r="AM3646" s="85"/>
    </row>
    <row r="3647" spans="39:39">
      <c r="AM3647" s="85"/>
    </row>
    <row r="3648" spans="39:39">
      <c r="AM3648" s="85"/>
    </row>
    <row r="3649" spans="39:39">
      <c r="AM3649" s="85"/>
    </row>
    <row r="3650" spans="39:39">
      <c r="AM3650" s="85"/>
    </row>
    <row r="3651" spans="39:39">
      <c r="AM3651" s="85"/>
    </row>
    <row r="3652" spans="39:39">
      <c r="AM3652" s="85"/>
    </row>
    <row r="3653" spans="39:39">
      <c r="AM3653" s="85"/>
    </row>
    <row r="3654" spans="39:39">
      <c r="AM3654" s="85"/>
    </row>
    <row r="3655" spans="39:39">
      <c r="AM3655" s="85"/>
    </row>
    <row r="3656" spans="39:39">
      <c r="AM3656" s="85"/>
    </row>
    <row r="3657" spans="39:39">
      <c r="AM3657" s="85"/>
    </row>
    <row r="3658" spans="39:39">
      <c r="AM3658" s="85"/>
    </row>
    <row r="3659" spans="39:39">
      <c r="AM3659" s="85"/>
    </row>
    <row r="3660" spans="39:39">
      <c r="AM3660" s="85"/>
    </row>
    <row r="3661" spans="39:39">
      <c r="AM3661" s="85"/>
    </row>
    <row r="3662" spans="39:39">
      <c r="AM3662" s="85"/>
    </row>
    <row r="3663" spans="39:39">
      <c r="AM3663" s="85"/>
    </row>
    <row r="3664" spans="39:39">
      <c r="AM3664" s="85"/>
    </row>
    <row r="3665" spans="39:39">
      <c r="AM3665" s="85"/>
    </row>
    <row r="3666" spans="39:39">
      <c r="AM3666" s="85"/>
    </row>
    <row r="3667" spans="39:39">
      <c r="AM3667" s="85"/>
    </row>
    <row r="3668" spans="39:39">
      <c r="AM3668" s="85"/>
    </row>
    <row r="3669" spans="39:39">
      <c r="AM3669" s="85"/>
    </row>
    <row r="3670" spans="39:39">
      <c r="AM3670" s="85"/>
    </row>
    <row r="3671" spans="39:39">
      <c r="AM3671" s="85"/>
    </row>
    <row r="3672" spans="39:39">
      <c r="AM3672" s="85"/>
    </row>
    <row r="3673" spans="39:39">
      <c r="AM3673" s="85"/>
    </row>
    <row r="3674" spans="39:39">
      <c r="AM3674" s="85"/>
    </row>
    <row r="3675" spans="39:39">
      <c r="AM3675" s="85"/>
    </row>
    <row r="3676" spans="39:39">
      <c r="AM3676" s="85"/>
    </row>
    <row r="3677" spans="39:39">
      <c r="AM3677" s="85"/>
    </row>
    <row r="3678" spans="39:39">
      <c r="AM3678" s="85"/>
    </row>
    <row r="3679" spans="39:39">
      <c r="AM3679" s="85"/>
    </row>
    <row r="3680" spans="39:39">
      <c r="AM3680" s="85"/>
    </row>
    <row r="3681" spans="39:39">
      <c r="AM3681" s="85"/>
    </row>
    <row r="3682" spans="39:39">
      <c r="AM3682" s="85"/>
    </row>
    <row r="3683" spans="39:39">
      <c r="AM3683" s="85"/>
    </row>
    <row r="3684" spans="39:39">
      <c r="AM3684" s="85"/>
    </row>
    <row r="3685" spans="39:39">
      <c r="AM3685" s="85"/>
    </row>
    <row r="3686" spans="39:39">
      <c r="AM3686" s="85"/>
    </row>
    <row r="3687" spans="39:39">
      <c r="AM3687" s="85"/>
    </row>
    <row r="3688" spans="39:39">
      <c r="AM3688" s="85"/>
    </row>
    <row r="3689" spans="39:39">
      <c r="AM3689" s="85"/>
    </row>
    <row r="3690" spans="39:39">
      <c r="AM3690" s="85"/>
    </row>
    <row r="3691" spans="39:39">
      <c r="AM3691" s="85"/>
    </row>
    <row r="3692" spans="39:39">
      <c r="AM3692" s="85"/>
    </row>
    <row r="3693" spans="39:39">
      <c r="AM3693" s="85"/>
    </row>
    <row r="3694" spans="39:39">
      <c r="AM3694" s="85"/>
    </row>
    <row r="3695" spans="39:39">
      <c r="AM3695" s="85"/>
    </row>
    <row r="3696" spans="39:39">
      <c r="AM3696" s="85"/>
    </row>
    <row r="3697" spans="39:39">
      <c r="AM3697" s="85"/>
    </row>
    <row r="3698" spans="39:39">
      <c r="AM3698" s="85"/>
    </row>
    <row r="3699" spans="39:39">
      <c r="AM3699" s="85"/>
    </row>
    <row r="3700" spans="39:39">
      <c r="AM3700" s="85"/>
    </row>
    <row r="3701" spans="39:39">
      <c r="AM3701" s="85"/>
    </row>
    <row r="3702" spans="39:39">
      <c r="AM3702" s="85"/>
    </row>
    <row r="3703" spans="39:39">
      <c r="AM3703" s="85"/>
    </row>
    <row r="3704" spans="39:39">
      <c r="AM3704" s="85"/>
    </row>
    <row r="3705" spans="39:39">
      <c r="AM3705" s="85"/>
    </row>
    <row r="3706" spans="39:39">
      <c r="AM3706" s="85"/>
    </row>
    <row r="3707" spans="39:39">
      <c r="AM3707" s="85"/>
    </row>
    <row r="3708" spans="39:39">
      <c r="AM3708" s="85"/>
    </row>
    <row r="3709" spans="39:39">
      <c r="AM3709" s="85"/>
    </row>
    <row r="3710" spans="39:39">
      <c r="AM3710" s="85"/>
    </row>
    <row r="3711" spans="39:39">
      <c r="AM3711" s="85"/>
    </row>
    <row r="3712" spans="39:39">
      <c r="AM3712" s="85"/>
    </row>
    <row r="3713" spans="39:39">
      <c r="AM3713" s="85"/>
    </row>
    <row r="3714" spans="39:39">
      <c r="AM3714" s="85"/>
    </row>
    <row r="3715" spans="39:39">
      <c r="AM3715" s="85"/>
    </row>
    <row r="3716" spans="39:39">
      <c r="AM3716" s="85"/>
    </row>
    <row r="3717" spans="39:39">
      <c r="AM3717" s="85"/>
    </row>
    <row r="3718" spans="39:39">
      <c r="AM3718" s="85"/>
    </row>
    <row r="3719" spans="39:39">
      <c r="AM3719" s="85"/>
    </row>
    <row r="3720" spans="39:39">
      <c r="AM3720" s="85"/>
    </row>
    <row r="3721" spans="39:39">
      <c r="AM3721" s="85"/>
    </row>
    <row r="3722" spans="39:39">
      <c r="AM3722" s="85"/>
    </row>
    <row r="3723" spans="39:39">
      <c r="AM3723" s="85"/>
    </row>
    <row r="3724" spans="39:39">
      <c r="AM3724" s="85"/>
    </row>
    <row r="3725" spans="39:39">
      <c r="AM3725" s="85"/>
    </row>
    <row r="3726" spans="39:39">
      <c r="AM3726" s="85"/>
    </row>
    <row r="3727" spans="39:39">
      <c r="AM3727" s="85"/>
    </row>
    <row r="3728" spans="39:39">
      <c r="AM3728" s="85"/>
    </row>
    <row r="3729" spans="39:39">
      <c r="AM3729" s="85"/>
    </row>
    <row r="3730" spans="39:39">
      <c r="AM3730" s="85"/>
    </row>
    <row r="3731" spans="39:39">
      <c r="AM3731" s="85"/>
    </row>
    <row r="3732" spans="39:39">
      <c r="AM3732" s="85"/>
    </row>
    <row r="3733" spans="39:39">
      <c r="AM3733" s="85"/>
    </row>
    <row r="3734" spans="39:39">
      <c r="AM3734" s="85"/>
    </row>
    <row r="3735" spans="39:39">
      <c r="AM3735" s="85"/>
    </row>
    <row r="3736" spans="39:39">
      <c r="AM3736" s="85"/>
    </row>
    <row r="3737" spans="39:39">
      <c r="AM3737" s="85"/>
    </row>
    <row r="3738" spans="39:39">
      <c r="AM3738" s="85"/>
    </row>
    <row r="3739" spans="39:39">
      <c r="AM3739" s="85"/>
    </row>
    <row r="3740" spans="39:39">
      <c r="AM3740" s="85"/>
    </row>
    <row r="3741" spans="39:39">
      <c r="AM3741" s="85"/>
    </row>
    <row r="3742" spans="39:39">
      <c r="AM3742" s="85"/>
    </row>
    <row r="3743" spans="39:39">
      <c r="AM3743" s="85"/>
    </row>
    <row r="3744" spans="39:39">
      <c r="AM3744" s="85"/>
    </row>
    <row r="3745" spans="39:39">
      <c r="AM3745" s="85"/>
    </row>
    <row r="3746" spans="39:39">
      <c r="AM3746" s="85"/>
    </row>
    <row r="3747" spans="39:39">
      <c r="AM3747" s="85"/>
    </row>
    <row r="3748" spans="39:39">
      <c r="AM3748" s="85"/>
    </row>
    <row r="3749" spans="39:39">
      <c r="AM3749" s="85"/>
    </row>
    <row r="3750" spans="39:39">
      <c r="AM3750" s="85"/>
    </row>
    <row r="3751" spans="39:39">
      <c r="AM3751" s="85"/>
    </row>
    <row r="3752" spans="39:39">
      <c r="AM3752" s="85"/>
    </row>
    <row r="3753" spans="39:39">
      <c r="AM3753" s="85"/>
    </row>
    <row r="3754" spans="39:39">
      <c r="AM3754" s="85"/>
    </row>
    <row r="3755" spans="39:39">
      <c r="AM3755" s="85"/>
    </row>
    <row r="3756" spans="39:39">
      <c r="AM3756" s="85"/>
    </row>
    <row r="3757" spans="39:39">
      <c r="AM3757" s="85"/>
    </row>
    <row r="3758" spans="39:39">
      <c r="AM3758" s="85"/>
    </row>
    <row r="3759" spans="39:39">
      <c r="AM3759" s="85"/>
    </row>
    <row r="3760" spans="39:39">
      <c r="AM3760" s="85"/>
    </row>
    <row r="3761" spans="39:39">
      <c r="AM3761" s="85"/>
    </row>
    <row r="3762" spans="39:39">
      <c r="AM3762" s="85"/>
    </row>
    <row r="3763" spans="39:39">
      <c r="AM3763" s="85"/>
    </row>
    <row r="3764" spans="39:39">
      <c r="AM3764" s="85"/>
    </row>
    <row r="3765" spans="39:39">
      <c r="AM3765" s="85"/>
    </row>
    <row r="3766" spans="39:39">
      <c r="AM3766" s="85"/>
    </row>
    <row r="3767" spans="39:39">
      <c r="AM3767" s="85"/>
    </row>
    <row r="3768" spans="39:39">
      <c r="AM3768" s="85"/>
    </row>
    <row r="3769" spans="39:39">
      <c r="AM3769" s="85"/>
    </row>
    <row r="3770" spans="39:39">
      <c r="AM3770" s="85"/>
    </row>
    <row r="3771" spans="39:39">
      <c r="AM3771" s="85"/>
    </row>
    <row r="3772" spans="39:39">
      <c r="AM3772" s="85"/>
    </row>
    <row r="3773" spans="39:39">
      <c r="AM3773" s="85"/>
    </row>
    <row r="3774" spans="39:39">
      <c r="AM3774" s="85"/>
    </row>
    <row r="3775" spans="39:39">
      <c r="AM3775" s="85"/>
    </row>
    <row r="3776" spans="39:39">
      <c r="AM3776" s="85"/>
    </row>
    <row r="3777" spans="39:39">
      <c r="AM3777" s="85"/>
    </row>
    <row r="3778" spans="39:39">
      <c r="AM3778" s="85"/>
    </row>
    <row r="3779" spans="39:39">
      <c r="AM3779" s="85"/>
    </row>
    <row r="3780" spans="39:39">
      <c r="AM3780" s="85"/>
    </row>
    <row r="3781" spans="39:39">
      <c r="AM3781" s="85"/>
    </row>
    <row r="3782" spans="39:39">
      <c r="AM3782" s="85"/>
    </row>
    <row r="3783" spans="39:39">
      <c r="AM3783" s="85"/>
    </row>
    <row r="3784" spans="39:39">
      <c r="AM3784" s="85"/>
    </row>
    <row r="3785" spans="39:39">
      <c r="AM3785" s="85"/>
    </row>
    <row r="3786" spans="39:39">
      <c r="AM3786" s="85"/>
    </row>
    <row r="3787" spans="39:39">
      <c r="AM3787" s="85"/>
    </row>
    <row r="3788" spans="39:39">
      <c r="AM3788" s="85"/>
    </row>
    <row r="3789" spans="39:39">
      <c r="AM3789" s="85"/>
    </row>
    <row r="3790" spans="39:39">
      <c r="AM3790" s="85"/>
    </row>
    <row r="3791" spans="39:39">
      <c r="AM3791" s="85"/>
    </row>
    <row r="3792" spans="39:39">
      <c r="AM3792" s="85"/>
    </row>
    <row r="3793" spans="39:39">
      <c r="AM3793" s="85"/>
    </row>
    <row r="3794" spans="39:39">
      <c r="AM3794" s="85"/>
    </row>
    <row r="3795" spans="39:39">
      <c r="AM3795" s="85"/>
    </row>
    <row r="3796" spans="39:39">
      <c r="AM3796" s="85"/>
    </row>
    <row r="3797" spans="39:39">
      <c r="AM3797" s="85"/>
    </row>
    <row r="3798" spans="39:39">
      <c r="AM3798" s="85"/>
    </row>
    <row r="3799" spans="39:39">
      <c r="AM3799" s="85"/>
    </row>
    <row r="3800" spans="39:39">
      <c r="AM3800" s="85"/>
    </row>
    <row r="3801" spans="39:39">
      <c r="AM3801" s="85"/>
    </row>
    <row r="3802" spans="39:39">
      <c r="AM3802" s="85"/>
    </row>
    <row r="3803" spans="39:39">
      <c r="AM3803" s="85"/>
    </row>
    <row r="3804" spans="39:39">
      <c r="AM3804" s="85"/>
    </row>
    <row r="3805" spans="39:39">
      <c r="AM3805" s="85"/>
    </row>
    <row r="3806" spans="39:39">
      <c r="AM3806" s="85"/>
    </row>
    <row r="3807" spans="39:39">
      <c r="AM3807" s="85"/>
    </row>
    <row r="3808" spans="39:39">
      <c r="AM3808" s="85"/>
    </row>
    <row r="3809" spans="39:39">
      <c r="AM3809" s="85"/>
    </row>
    <row r="3810" spans="39:39">
      <c r="AM3810" s="85"/>
    </row>
    <row r="3811" spans="39:39">
      <c r="AM3811" s="85"/>
    </row>
    <row r="3812" spans="39:39">
      <c r="AM3812" s="85"/>
    </row>
    <row r="3813" spans="39:39">
      <c r="AM3813" s="85"/>
    </row>
    <row r="3814" spans="39:39">
      <c r="AM3814" s="85"/>
    </row>
    <row r="3815" spans="39:39">
      <c r="AM3815" s="85"/>
    </row>
    <row r="3816" spans="39:39">
      <c r="AM3816" s="85"/>
    </row>
    <row r="3817" spans="39:39">
      <c r="AM3817" s="85"/>
    </row>
    <row r="3818" spans="39:39">
      <c r="AM3818" s="85"/>
    </row>
    <row r="3819" spans="39:39">
      <c r="AM3819" s="85"/>
    </row>
    <row r="3820" spans="39:39">
      <c r="AM3820" s="85"/>
    </row>
    <row r="3821" spans="39:39">
      <c r="AM3821" s="85"/>
    </row>
    <row r="3822" spans="39:39">
      <c r="AM3822" s="85"/>
    </row>
    <row r="3823" spans="39:39">
      <c r="AM3823" s="85"/>
    </row>
    <row r="3824" spans="39:39">
      <c r="AM3824" s="85"/>
    </row>
    <row r="3825" spans="39:39">
      <c r="AM3825" s="85"/>
    </row>
    <row r="3826" spans="39:39">
      <c r="AM3826" s="85"/>
    </row>
    <row r="3827" spans="39:39">
      <c r="AM3827" s="85"/>
    </row>
    <row r="3828" spans="39:39">
      <c r="AM3828" s="85"/>
    </row>
    <row r="3829" spans="39:39">
      <c r="AM3829" s="85"/>
    </row>
    <row r="3830" spans="39:39">
      <c r="AM3830" s="85"/>
    </row>
    <row r="3831" spans="39:39">
      <c r="AM3831" s="85"/>
    </row>
    <row r="3832" spans="39:39">
      <c r="AM3832" s="85"/>
    </row>
    <row r="3833" spans="39:39">
      <c r="AM3833" s="85"/>
    </row>
    <row r="3834" spans="39:39">
      <c r="AM3834" s="85"/>
    </row>
    <row r="3835" spans="39:39">
      <c r="AM3835" s="85"/>
    </row>
    <row r="3836" spans="39:39">
      <c r="AM3836" s="85"/>
    </row>
    <row r="3837" spans="39:39">
      <c r="AM3837" s="85"/>
    </row>
    <row r="3838" spans="39:39">
      <c r="AM3838" s="85"/>
    </row>
    <row r="3839" spans="39:39">
      <c r="AM3839" s="85"/>
    </row>
    <row r="3840" spans="39:39">
      <c r="AM3840" s="85"/>
    </row>
    <row r="3841" spans="39:39">
      <c r="AM3841" s="85"/>
    </row>
    <row r="3842" spans="39:39">
      <c r="AM3842" s="85"/>
    </row>
    <row r="3843" spans="39:39">
      <c r="AM3843" s="85"/>
    </row>
    <row r="3844" spans="39:39">
      <c r="AM3844" s="85"/>
    </row>
    <row r="3845" spans="39:39">
      <c r="AM3845" s="85"/>
    </row>
    <row r="3846" spans="39:39">
      <c r="AM3846" s="85"/>
    </row>
    <row r="3847" spans="39:39">
      <c r="AM3847" s="85"/>
    </row>
    <row r="3848" spans="39:39">
      <c r="AM3848" s="85"/>
    </row>
    <row r="3849" spans="39:39">
      <c r="AM3849" s="85"/>
    </row>
    <row r="3850" spans="39:39">
      <c r="AM3850" s="85"/>
    </row>
    <row r="3851" spans="39:39">
      <c r="AM3851" s="85"/>
    </row>
    <row r="3852" spans="39:39">
      <c r="AM3852" s="85"/>
    </row>
    <row r="3853" spans="39:39">
      <c r="AM3853" s="85"/>
    </row>
    <row r="3854" spans="39:39">
      <c r="AM3854" s="85"/>
    </row>
    <row r="3855" spans="39:39">
      <c r="AM3855" s="85"/>
    </row>
    <row r="3856" spans="39:39">
      <c r="AM3856" s="85"/>
    </row>
    <row r="3857" spans="39:39">
      <c r="AM3857" s="85"/>
    </row>
    <row r="3858" spans="39:39">
      <c r="AM3858" s="85"/>
    </row>
    <row r="3859" spans="39:39">
      <c r="AM3859" s="85"/>
    </row>
    <row r="3860" spans="39:39">
      <c r="AM3860" s="85"/>
    </row>
    <row r="3861" spans="39:39">
      <c r="AM3861" s="85"/>
    </row>
    <row r="3862" spans="39:39">
      <c r="AM3862" s="85"/>
    </row>
    <row r="3863" spans="39:39">
      <c r="AM3863" s="85"/>
    </row>
    <row r="3864" spans="39:39">
      <c r="AM3864" s="85"/>
    </row>
    <row r="3865" spans="39:39">
      <c r="AM3865" s="85"/>
    </row>
    <row r="3866" spans="39:39">
      <c r="AM3866" s="85"/>
    </row>
    <row r="3867" spans="39:39">
      <c r="AM3867" s="85"/>
    </row>
    <row r="3868" spans="39:39">
      <c r="AM3868" s="85"/>
    </row>
    <row r="3869" spans="39:39">
      <c r="AM3869" s="85"/>
    </row>
    <row r="3870" spans="39:39">
      <c r="AM3870" s="85"/>
    </row>
    <row r="3871" spans="39:39">
      <c r="AM3871" s="85"/>
    </row>
    <row r="3872" spans="39:39">
      <c r="AM3872" s="85"/>
    </row>
    <row r="3873" spans="39:39">
      <c r="AM3873" s="85"/>
    </row>
    <row r="3874" spans="39:39">
      <c r="AM3874" s="85"/>
    </row>
    <row r="3875" spans="39:39">
      <c r="AM3875" s="85"/>
    </row>
    <row r="3876" spans="39:39">
      <c r="AM3876" s="85"/>
    </row>
    <row r="3877" spans="39:39">
      <c r="AM3877" s="85"/>
    </row>
    <row r="3878" spans="39:39">
      <c r="AM3878" s="85"/>
    </row>
    <row r="3879" spans="39:39">
      <c r="AM3879" s="85"/>
    </row>
    <row r="3880" spans="39:39">
      <c r="AM3880" s="85"/>
    </row>
    <row r="3881" spans="39:39">
      <c r="AM3881" s="85"/>
    </row>
    <row r="3882" spans="39:39">
      <c r="AM3882" s="85"/>
    </row>
    <row r="3883" spans="39:39">
      <c r="AM3883" s="85"/>
    </row>
    <row r="3884" spans="39:39">
      <c r="AM3884" s="85"/>
    </row>
    <row r="3885" spans="39:39">
      <c r="AM3885" s="85"/>
    </row>
    <row r="3886" spans="39:39">
      <c r="AM3886" s="85"/>
    </row>
    <row r="3887" spans="39:39">
      <c r="AM3887" s="85"/>
    </row>
    <row r="3888" spans="39:39">
      <c r="AM3888" s="85"/>
    </row>
    <row r="3889" spans="39:39">
      <c r="AM3889" s="85"/>
    </row>
    <row r="3890" spans="39:39">
      <c r="AM3890" s="85"/>
    </row>
    <row r="3891" spans="39:39">
      <c r="AM3891" s="85"/>
    </row>
    <row r="3892" spans="39:39">
      <c r="AM3892" s="85"/>
    </row>
    <row r="3893" spans="39:39">
      <c r="AM3893" s="85"/>
    </row>
    <row r="3894" spans="39:39">
      <c r="AM3894" s="85"/>
    </row>
    <row r="3895" spans="39:39">
      <c r="AM3895" s="85"/>
    </row>
    <row r="3896" spans="39:39">
      <c r="AM3896" s="85"/>
    </row>
    <row r="3897" spans="39:39">
      <c r="AM3897" s="85"/>
    </row>
    <row r="3898" spans="39:39">
      <c r="AM3898" s="85"/>
    </row>
    <row r="3899" spans="39:39">
      <c r="AM3899" s="85"/>
    </row>
    <row r="3900" spans="39:39">
      <c r="AM3900" s="85"/>
    </row>
    <row r="3901" spans="39:39">
      <c r="AM3901" s="85"/>
    </row>
    <row r="3902" spans="39:39">
      <c r="AM3902" s="85"/>
    </row>
    <row r="3903" spans="39:39">
      <c r="AM3903" s="85"/>
    </row>
    <row r="3904" spans="39:39">
      <c r="AM3904" s="85"/>
    </row>
    <row r="3905" spans="39:39">
      <c r="AM3905" s="85"/>
    </row>
    <row r="3906" spans="39:39">
      <c r="AM3906" s="85"/>
    </row>
    <row r="3907" spans="39:39">
      <c r="AM3907" s="85"/>
    </row>
    <row r="3908" spans="39:39">
      <c r="AM3908" s="85"/>
    </row>
    <row r="3909" spans="39:39">
      <c r="AM3909" s="85"/>
    </row>
    <row r="3910" spans="39:39">
      <c r="AM3910" s="85"/>
    </row>
    <row r="3911" spans="39:39">
      <c r="AM3911" s="85"/>
    </row>
    <row r="3912" spans="39:39">
      <c r="AM3912" s="85"/>
    </row>
    <row r="3913" spans="39:39">
      <c r="AM3913" s="85"/>
    </row>
    <row r="3914" spans="39:39">
      <c r="AM3914" s="85"/>
    </row>
    <row r="3915" spans="39:39">
      <c r="AM3915" s="85"/>
    </row>
    <row r="3916" spans="39:39">
      <c r="AM3916" s="85"/>
    </row>
    <row r="3917" spans="39:39">
      <c r="AM3917" s="85"/>
    </row>
    <row r="3918" spans="39:39">
      <c r="AM3918" s="85"/>
    </row>
    <row r="3919" spans="39:39">
      <c r="AM3919" s="85"/>
    </row>
    <row r="3920" spans="39:39">
      <c r="AM3920" s="85"/>
    </row>
    <row r="3921" spans="39:39">
      <c r="AM3921" s="85"/>
    </row>
    <row r="3922" spans="39:39">
      <c r="AM3922" s="85"/>
    </row>
    <row r="3923" spans="39:39">
      <c r="AM3923" s="85"/>
    </row>
    <row r="3924" spans="39:39">
      <c r="AM3924" s="85"/>
    </row>
    <row r="3925" spans="39:39">
      <c r="AM3925" s="85"/>
    </row>
    <row r="3926" spans="39:39">
      <c r="AM3926" s="85"/>
    </row>
    <row r="3927" spans="39:39">
      <c r="AM3927" s="85"/>
    </row>
    <row r="3928" spans="39:39">
      <c r="AM3928" s="85"/>
    </row>
    <row r="3929" spans="39:39">
      <c r="AM3929" s="85"/>
    </row>
    <row r="3930" spans="39:39">
      <c r="AM3930" s="85"/>
    </row>
    <row r="3931" spans="39:39">
      <c r="AM3931" s="85"/>
    </row>
    <row r="3932" spans="39:39">
      <c r="AM3932" s="85"/>
    </row>
    <row r="3933" spans="39:39">
      <c r="AM3933" s="85"/>
    </row>
    <row r="3934" spans="39:39">
      <c r="AM3934" s="85"/>
    </row>
    <row r="3935" spans="39:39">
      <c r="AM3935" s="85"/>
    </row>
    <row r="3936" spans="39:39">
      <c r="AM3936" s="85"/>
    </row>
    <row r="3937" spans="39:39">
      <c r="AM3937" s="85"/>
    </row>
    <row r="3938" spans="39:39">
      <c r="AM3938" s="85"/>
    </row>
    <row r="3939" spans="39:39">
      <c r="AM3939" s="85"/>
    </row>
    <row r="3940" spans="39:39">
      <c r="AM3940" s="85"/>
    </row>
    <row r="3941" spans="39:39">
      <c r="AM3941" s="85"/>
    </row>
    <row r="3942" spans="39:39">
      <c r="AM3942" s="85"/>
    </row>
    <row r="3943" spans="39:39">
      <c r="AM3943" s="85"/>
    </row>
    <row r="3944" spans="39:39">
      <c r="AM3944" s="85"/>
    </row>
    <row r="3945" spans="39:39">
      <c r="AM3945" s="85"/>
    </row>
    <row r="3946" spans="39:39">
      <c r="AM3946" s="85"/>
    </row>
    <row r="3947" spans="39:39">
      <c r="AM3947" s="85"/>
    </row>
    <row r="3948" spans="39:39">
      <c r="AM3948" s="85"/>
    </row>
    <row r="3949" spans="39:39">
      <c r="AM3949" s="85"/>
    </row>
    <row r="3950" spans="39:39">
      <c r="AM3950" s="85"/>
    </row>
    <row r="3951" spans="39:39">
      <c r="AM3951" s="85"/>
    </row>
    <row r="3952" spans="39:39">
      <c r="AM3952" s="85"/>
    </row>
    <row r="3953" spans="39:39">
      <c r="AM3953" s="85"/>
    </row>
    <row r="3954" spans="39:39">
      <c r="AM3954" s="85"/>
    </row>
    <row r="3955" spans="39:39">
      <c r="AM3955" s="85"/>
    </row>
    <row r="3956" spans="39:39">
      <c r="AM3956" s="85"/>
    </row>
    <row r="3957" spans="39:39">
      <c r="AM3957" s="85"/>
    </row>
    <row r="3958" spans="39:39">
      <c r="AM3958" s="85"/>
    </row>
    <row r="3959" spans="39:39">
      <c r="AM3959" s="85"/>
    </row>
    <row r="3960" spans="39:39">
      <c r="AM3960" s="85"/>
    </row>
    <row r="3961" spans="39:39">
      <c r="AM3961" s="85"/>
    </row>
    <row r="3962" spans="39:39">
      <c r="AM3962" s="85"/>
    </row>
    <row r="3963" spans="39:39">
      <c r="AM3963" s="85"/>
    </row>
    <row r="3964" spans="39:39">
      <c r="AM3964" s="85"/>
    </row>
    <row r="3965" spans="39:39">
      <c r="AM3965" s="85"/>
    </row>
    <row r="3966" spans="39:39">
      <c r="AM3966" s="85"/>
    </row>
    <row r="3967" spans="39:39">
      <c r="AM3967" s="85"/>
    </row>
    <row r="3968" spans="39:39">
      <c r="AM3968" s="85"/>
    </row>
    <row r="3969" spans="39:39">
      <c r="AM3969" s="85"/>
    </row>
    <row r="3970" spans="39:39">
      <c r="AM3970" s="85"/>
    </row>
    <row r="3971" spans="39:39">
      <c r="AM3971" s="85"/>
    </row>
    <row r="3972" spans="39:39">
      <c r="AM3972" s="85"/>
    </row>
    <row r="3973" spans="39:39">
      <c r="AM3973" s="85"/>
    </row>
    <row r="3974" spans="39:39">
      <c r="AM3974" s="85"/>
    </row>
    <row r="3975" spans="39:39">
      <c r="AM3975" s="85"/>
    </row>
    <row r="3976" spans="39:39">
      <c r="AM3976" s="85"/>
    </row>
    <row r="3977" spans="39:39">
      <c r="AM3977" s="85"/>
    </row>
    <row r="3978" spans="39:39">
      <c r="AM3978" s="85"/>
    </row>
    <row r="3979" spans="39:39">
      <c r="AM3979" s="85"/>
    </row>
    <row r="3980" spans="39:39">
      <c r="AM3980" s="85"/>
    </row>
    <row r="3981" spans="39:39">
      <c r="AM3981" s="85"/>
    </row>
    <row r="3982" spans="39:39">
      <c r="AM3982" s="85"/>
    </row>
    <row r="3983" spans="39:39">
      <c r="AM3983" s="85"/>
    </row>
    <row r="3984" spans="39:39">
      <c r="AM3984" s="85"/>
    </row>
    <row r="3985" spans="39:39">
      <c r="AM3985" s="85"/>
    </row>
    <row r="3986" spans="39:39">
      <c r="AM3986" s="85"/>
    </row>
    <row r="3987" spans="39:39">
      <c r="AM3987" s="85"/>
    </row>
    <row r="3988" spans="39:39">
      <c r="AM3988" s="85"/>
    </row>
    <row r="3989" spans="39:39">
      <c r="AM3989" s="85"/>
    </row>
    <row r="3990" spans="39:39">
      <c r="AM3990" s="85"/>
    </row>
    <row r="3991" spans="39:39">
      <c r="AM3991" s="85"/>
    </row>
    <row r="3992" spans="39:39">
      <c r="AM3992" s="85"/>
    </row>
    <row r="3993" spans="39:39">
      <c r="AM3993" s="85"/>
    </row>
    <row r="3994" spans="39:39">
      <c r="AM3994" s="85"/>
    </row>
    <row r="3995" spans="39:39">
      <c r="AM3995" s="85"/>
    </row>
    <row r="3996" spans="39:39">
      <c r="AM3996" s="85"/>
    </row>
    <row r="3997" spans="39:39">
      <c r="AM3997" s="85"/>
    </row>
    <row r="3998" spans="39:39">
      <c r="AM3998" s="85"/>
    </row>
    <row r="3999" spans="39:39">
      <c r="AM3999" s="85"/>
    </row>
    <row r="4000" spans="39:39">
      <c r="AM4000" s="85"/>
    </row>
    <row r="4001" spans="39:39">
      <c r="AM4001" s="85"/>
    </row>
    <row r="4002" spans="39:39">
      <c r="AM4002" s="85"/>
    </row>
    <row r="4003" spans="39:39">
      <c r="AM4003" s="85"/>
    </row>
    <row r="4004" spans="39:39">
      <c r="AM4004" s="85"/>
    </row>
    <row r="4005" spans="39:39">
      <c r="AM4005" s="85"/>
    </row>
    <row r="4006" spans="39:39">
      <c r="AM4006" s="85"/>
    </row>
    <row r="4007" spans="39:39">
      <c r="AM4007" s="85"/>
    </row>
    <row r="4008" spans="39:39">
      <c r="AM4008" s="85"/>
    </row>
    <row r="4009" spans="39:39">
      <c r="AM4009" s="85"/>
    </row>
    <row r="4010" spans="39:39">
      <c r="AM4010" s="85"/>
    </row>
    <row r="4011" spans="39:39">
      <c r="AM4011" s="85"/>
    </row>
    <row r="4012" spans="39:39">
      <c r="AM4012" s="85"/>
    </row>
    <row r="4013" spans="39:39">
      <c r="AM4013" s="85"/>
    </row>
    <row r="4014" spans="39:39">
      <c r="AM4014" s="85"/>
    </row>
    <row r="4015" spans="39:39">
      <c r="AM4015" s="85"/>
    </row>
    <row r="4016" spans="39:39">
      <c r="AM4016" s="85"/>
    </row>
    <row r="4017" spans="39:39">
      <c r="AM4017" s="85"/>
    </row>
    <row r="4018" spans="39:39">
      <c r="AM4018" s="85"/>
    </row>
    <row r="4019" spans="39:39">
      <c r="AM4019" s="85"/>
    </row>
    <row r="4020" spans="39:39">
      <c r="AM4020" s="85"/>
    </row>
    <row r="4021" spans="39:39">
      <c r="AM4021" s="85"/>
    </row>
    <row r="4022" spans="39:39">
      <c r="AM4022" s="85"/>
    </row>
    <row r="4023" spans="39:39">
      <c r="AM4023" s="85"/>
    </row>
    <row r="4024" spans="39:39">
      <c r="AM4024" s="85"/>
    </row>
    <row r="4025" spans="39:39">
      <c r="AM4025" s="85"/>
    </row>
    <row r="4026" spans="39:39">
      <c r="AM4026" s="85"/>
    </row>
    <row r="4027" spans="39:39">
      <c r="AM4027" s="85"/>
    </row>
    <row r="4028" spans="39:39">
      <c r="AM4028" s="85"/>
    </row>
    <row r="4029" spans="39:39">
      <c r="AM4029" s="85"/>
    </row>
    <row r="4030" spans="39:39">
      <c r="AM4030" s="85"/>
    </row>
    <row r="4031" spans="39:39">
      <c r="AM4031" s="85"/>
    </row>
    <row r="4032" spans="39:39">
      <c r="AM4032" s="85"/>
    </row>
    <row r="4033" spans="39:39">
      <c r="AM4033" s="85"/>
    </row>
    <row r="4034" spans="39:39">
      <c r="AM4034" s="85"/>
    </row>
    <row r="4035" spans="39:39">
      <c r="AM4035" s="85"/>
    </row>
    <row r="4036" spans="39:39">
      <c r="AM4036" s="85"/>
    </row>
    <row r="4037" spans="39:39">
      <c r="AM4037" s="85"/>
    </row>
    <row r="4038" spans="39:39">
      <c r="AM4038" s="85"/>
    </row>
    <row r="4039" spans="39:39">
      <c r="AM4039" s="85"/>
    </row>
    <row r="4040" spans="39:39">
      <c r="AM4040" s="85"/>
    </row>
    <row r="4041" spans="39:39">
      <c r="AM4041" s="85"/>
    </row>
    <row r="4042" spans="39:39">
      <c r="AM4042" s="85"/>
    </row>
    <row r="4043" spans="39:39">
      <c r="AM4043" s="85"/>
    </row>
    <row r="4044" spans="39:39">
      <c r="AM4044" s="85"/>
    </row>
    <row r="4045" spans="39:39">
      <c r="AM4045" s="85"/>
    </row>
    <row r="4046" spans="39:39">
      <c r="AM4046" s="85"/>
    </row>
    <row r="4047" spans="39:39">
      <c r="AM4047" s="85"/>
    </row>
    <row r="4048" spans="39:39">
      <c r="AM4048" s="85"/>
    </row>
    <row r="4049" spans="39:39">
      <c r="AM4049" s="85"/>
    </row>
    <row r="4050" spans="39:39">
      <c r="AM4050" s="85"/>
    </row>
    <row r="4051" spans="39:39">
      <c r="AM4051" s="85"/>
    </row>
    <row r="4052" spans="39:39">
      <c r="AM4052" s="85"/>
    </row>
    <row r="4053" spans="39:39">
      <c r="AM4053" s="85"/>
    </row>
    <row r="4054" spans="39:39">
      <c r="AM4054" s="85"/>
    </row>
  </sheetData>
  <sortState xmlns:xlrd2="http://schemas.microsoft.com/office/spreadsheetml/2017/richdata2" ref="A1000:AN1990">
    <sortCondition ref="A1000:A1990"/>
  </sortState>
  <mergeCells count="46">
    <mergeCell ref="BD7:BI7"/>
    <mergeCell ref="BK7:BL8"/>
    <mergeCell ref="BM7:BR7"/>
    <mergeCell ref="BB9:BB15"/>
    <mergeCell ref="BK9:BK15"/>
    <mergeCell ref="BB8:BC8"/>
    <mergeCell ref="BB7:BC7"/>
    <mergeCell ref="BM113:BR113"/>
    <mergeCell ref="BB104:BC105"/>
    <mergeCell ref="BD104:BI104"/>
    <mergeCell ref="BK104:BL105"/>
    <mergeCell ref="BM104:BR104"/>
    <mergeCell ref="BB106:BB112"/>
    <mergeCell ref="BK106:BK112"/>
    <mergeCell ref="BT7:BU8"/>
    <mergeCell ref="BV7:CA7"/>
    <mergeCell ref="BV24:BX25"/>
    <mergeCell ref="BB115:BB121"/>
    <mergeCell ref="BK115:BK121"/>
    <mergeCell ref="BT9:BT15"/>
    <mergeCell ref="BT17:BX17"/>
    <mergeCell ref="BT20:BX20"/>
    <mergeCell ref="BV21:BW22"/>
    <mergeCell ref="BX21:BX22"/>
    <mergeCell ref="BZ22:CA22"/>
    <mergeCell ref="BT23:BX23"/>
    <mergeCell ref="BZ17:CA18"/>
    <mergeCell ref="BV18:BW19"/>
    <mergeCell ref="BX18:BX19"/>
    <mergeCell ref="BB113:BC114"/>
    <mergeCell ref="BB137:BB143"/>
    <mergeCell ref="BK137:BK143"/>
    <mergeCell ref="BT27:BX27"/>
    <mergeCell ref="BT28:BU28"/>
    <mergeCell ref="BT29:BU29"/>
    <mergeCell ref="BT30:BU30"/>
    <mergeCell ref="BB123:BI124"/>
    <mergeCell ref="BB125:BC126"/>
    <mergeCell ref="BD125:BI125"/>
    <mergeCell ref="BB127:BB133"/>
    <mergeCell ref="BB135:BC136"/>
    <mergeCell ref="BD135:BI135"/>
    <mergeCell ref="BK135:BL136"/>
    <mergeCell ref="BM135:BR135"/>
    <mergeCell ref="BD113:BI113"/>
    <mergeCell ref="BK113:BL114"/>
  </mergeCells>
  <conditionalFormatting sqref="BV18:BW19">
    <cfRule type="cellIs" dxfId="2" priority="3" stopIfTrue="1" operator="notBetween">
      <formula>$BV$28-$BV$28*$BX$28</formula>
      <formula>$BV$28+$BX$28*$BV$28</formula>
    </cfRule>
  </conditionalFormatting>
  <conditionalFormatting sqref="BV21:BW22">
    <cfRule type="cellIs" dxfId="1" priority="2" stopIfTrue="1" operator="notBetween">
      <formula>$BV$29-$BV$29*$BX$29</formula>
      <formula>$BV$29+$BX$29*$BV$29</formula>
    </cfRule>
  </conditionalFormatting>
  <conditionalFormatting sqref="BV24:BX25">
    <cfRule type="cellIs" dxfId="0" priority="1" stopIfTrue="1" operator="notBetween">
      <formula>$BV$30-$BX$30*$BV$30</formula>
      <formula>$BV$30+$BX$30*$BV$30</formula>
    </cfRule>
  </conditionalFormatting>
  <dataValidations disablePrompts="1" count="8">
    <dataValidation type="list" allowBlank="1" sqref="BG2" xr:uid="{00000000-0002-0000-0000-000000000000}">
      <formula1>VSD_compressors</formula1>
    </dataValidation>
    <dataValidation type="list" allowBlank="1" showInputMessage="1" showErrorMessage="1" sqref="BE2" xr:uid="{00000000-0002-0000-0000-000001000000}">
      <formula1>volt</formula1>
    </dataValidation>
    <dataValidation type="list" allowBlank="1" showInputMessage="1" showErrorMessage="1" sqref="BD2" xr:uid="{00000000-0002-0000-0000-000002000000}">
      <formula1>Hz</formula1>
    </dataValidation>
    <dataValidation type="list" allowBlank="1" sqref="BB2" xr:uid="{00000000-0002-0000-0000-000003000000}">
      <formula1>manufacturer</formula1>
    </dataValidation>
    <dataValidation type="list" allowBlank="1" showInputMessage="1" showErrorMessage="1" sqref="BF2" xr:uid="{00000000-0002-0000-0000-000004000000}">
      <formula1>BF200:BF201</formula1>
    </dataValidation>
    <dataValidation type="list" allowBlank="1" showInputMessage="1" showErrorMessage="1" sqref="CA23" xr:uid="{00000000-0002-0000-0000-000005000000}">
      <formula1>$BC$200:$BC$201</formula1>
    </dataValidation>
    <dataValidation type="list" allowBlank="1" showInputMessage="1" showErrorMessage="1" sqref="BC2" xr:uid="{00000000-0002-0000-0000-000006000000}">
      <formula1>$BC$200:$BC$202</formula1>
    </dataValidation>
    <dataValidation type="list" allowBlank="1" showInputMessage="1" showErrorMessage="1" sqref="BB8:BC8" xr:uid="{00000000-0002-0000-0000-000007000000}">
      <formula1>$BP$200:$BP$201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228679ABBE97D419F1B05527C27A901" ma:contentTypeVersion="10" ma:contentTypeDescription="Create a new document." ma:contentTypeScope="" ma:versionID="4545dc28fc8fec95112d46237a7df5d1">
  <xsd:schema xmlns:xsd="http://www.w3.org/2001/XMLSchema" xmlns:xs="http://www.w3.org/2001/XMLSchema" xmlns:p="http://schemas.microsoft.com/office/2006/metadata/properties" xmlns:ns2="4b3d413d-91c2-405f-9a8d-0d678961f3b4" xmlns:ns3="7acae92b-f728-4d2e-b8f1-4afb66d795c5" targetNamespace="http://schemas.microsoft.com/office/2006/metadata/properties" ma:root="true" ma:fieldsID="0c4772f44eca8b339c0ebb55d5136f39" ns2:_="" ns3:_="">
    <xsd:import namespace="4b3d413d-91c2-405f-9a8d-0d678961f3b4"/>
    <xsd:import namespace="7acae92b-f728-4d2e-b8f1-4afb66d795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3d413d-91c2-405f-9a8d-0d678961f3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cae92b-f728-4d2e-b8f1-4afb66d795c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acae92b-f728-4d2e-b8f1-4afb66d795c5">
      <UserInfo>
        <DisplayName>Richard Furberg</DisplayName>
        <AccountId>35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28D513-D8BE-4CAE-A093-027AB92700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3d413d-91c2-405f-9a8d-0d678961f3b4"/>
    <ds:schemaRef ds:uri="7acae92b-f728-4d2e-b8f1-4afb66d795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1CBB7E-5599-495C-A16D-868403CFF29E}">
  <ds:schemaRefs>
    <ds:schemaRef ds:uri="7acae92b-f728-4d2e-b8f1-4afb66d795c5"/>
    <ds:schemaRef ds:uri="http://purl.org/dc/elements/1.1/"/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4b3d413d-91c2-405f-9a8d-0d678961f3b4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A938496-7669-499B-A3C6-2B80C9736F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Compressor_curves</vt:lpstr>
      <vt:lpstr>compressor_names</vt:lpstr>
      <vt:lpstr>Compressor_curves!Extract</vt:lpstr>
      <vt:lpstr>Hz</vt:lpstr>
      <vt:lpstr>manufacturer</vt:lpstr>
      <vt:lpstr>volt</vt:lpstr>
      <vt:lpstr>VSD_compressors</vt:lpstr>
    </vt:vector>
  </TitlesOfParts>
  <Manager/>
  <Company>Electrolux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Electrolux</dc:creator>
  <cp:keywords/>
  <dc:description/>
  <cp:lastModifiedBy>Sagar Zade</cp:lastModifiedBy>
  <cp:revision/>
  <dcterms:created xsi:type="dcterms:W3CDTF">2009-06-10T14:54:29Z</dcterms:created>
  <dcterms:modified xsi:type="dcterms:W3CDTF">2023-03-27T17:06:12Z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0x010100A228679ABBE97D419F1B05527C27A901</vt:lpwstr>
  </property>
  <property fmtid="{D5CDD505-2E9C-101B-9397-08002B2CF9AE}" pid="3" name="MSIP_Label_477eab6e-04c6-4822-9252-98ab9f25736b_Enabled">
    <vt:lpwstr>true</vt:lpwstr>
  </property>
  <property fmtid="{D5CDD505-2E9C-101B-9397-08002B2CF9AE}" pid="4" name="MSIP_Label_477eab6e-04c6-4822-9252-98ab9f25736b_SetDate">
    <vt:lpwstr>2021-06-08T13:03:39Z</vt:lpwstr>
  </property>
  <property fmtid="{D5CDD505-2E9C-101B-9397-08002B2CF9AE}" pid="5" name="MSIP_Label_477eab6e-04c6-4822-9252-98ab9f25736b_Method">
    <vt:lpwstr>Standard</vt:lpwstr>
  </property>
  <property fmtid="{D5CDD505-2E9C-101B-9397-08002B2CF9AE}" pid="6" name="MSIP_Label_477eab6e-04c6-4822-9252-98ab9f25736b_Name">
    <vt:lpwstr>477eab6e-04c6-4822-9252-98ab9f25736b</vt:lpwstr>
  </property>
  <property fmtid="{D5CDD505-2E9C-101B-9397-08002B2CF9AE}" pid="7" name="MSIP_Label_477eab6e-04c6-4822-9252-98ab9f25736b_SiteId">
    <vt:lpwstr>d2007bef-127d-4591-97ac-10d72fe28031</vt:lpwstr>
  </property>
  <property fmtid="{D5CDD505-2E9C-101B-9397-08002B2CF9AE}" pid="8" name="MSIP_Label_477eab6e-04c6-4822-9252-98ab9f25736b_ActionId">
    <vt:lpwstr>479e431f-5850-4e37-93b4-fc7de43c54b9</vt:lpwstr>
  </property>
  <property fmtid="{D5CDD505-2E9C-101B-9397-08002B2CF9AE}" pid="9" name="MSIP_Label_477eab6e-04c6-4822-9252-98ab9f25736b_ContentBits">
    <vt:lpwstr>2</vt:lpwstr>
  </property>
</Properties>
</file>